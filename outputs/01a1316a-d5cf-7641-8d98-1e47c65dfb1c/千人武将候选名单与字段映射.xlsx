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d6cd01b90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名单" sheetId="1" r:id="R63b1bd1ee5e74ee9"/>
    <x:sheet xmlns:r="http://schemas.openxmlformats.org/officeDocument/2006/relationships" name="剧本年代" sheetId="2" r:id="R9bd13b4b1fb64d60"/>
    <x:sheet xmlns:r="http://schemas.openxmlformats.org/officeDocument/2006/relationships" name="字段映射" sheetId="3" r:id="R7a4ec7b3f11e416f"/>
    <x:sheet xmlns:r="http://schemas.openxmlformats.org/officeDocument/2006/relationships" name="去重与来源" sheetId="4" r:id="Rc1dbe09eec40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2424"/>
      <x:name val="Arial"/>
    </x:font>
    <x:font>
      <x:b/>
      <x:sz val="16"/>
      <x:color rgb="FF5A4637"/>
      <x:name val="Arial"/>
    </x:font>
    <x:font>
      <x:i/>
      <x:sz val="11"/>
      <x:color rgb="FF65554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F"/>
      </x:patternFill>
    </x:fill>
    <x:fill>
      <x:patternFill patternType="solid">
        <x:fgColor rgb="FF5A463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C927B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7A3D11"/>
      </x:font>
      <x:fill>
        <x:patternFill patternType="solid">
          <x:bgColor rgb="FFFFF0CF"/>
        </x:patternFill>
      </x:fill>
    </x:dxf>
    <x:dxf>
      <x:font>
        <x:color rgb="FF7A3D11"/>
      </x:font>
      <x:fill>
        <x:patternFill patternType="solid">
          <x:bgColor rgb="FFFFF0CF"/>
        </x:patternFill>
      </x:fill>
    </x:dxf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ab70fbf2c4cd1" /><Relationship Type="http://schemas.openxmlformats.org/officeDocument/2006/relationships/theme" Target="/xl/theme/theme1.xml" Id="Ree85162284ea4cee" /><Relationship Type="http://schemas.openxmlformats.org/officeDocument/2006/relationships/sharedStrings" Target="/xl/sharedStrings.xml" Id="Rda20c6b06c31482a" /><Relationship Type="http://schemas.openxmlformats.org/officeDocument/2006/relationships/worksheet" Target="/xl/worksheets/sheet1.xml" Id="R63b1bd1ee5e74ee9" /><Relationship Type="http://schemas.openxmlformats.org/officeDocument/2006/relationships/worksheet" Target="/xl/worksheets/sheet2.xml" Id="R9bd13b4b1fb64d60" /><Relationship Type="http://schemas.openxmlformats.org/officeDocument/2006/relationships/worksheet" Target="/xl/worksheets/sheet3.xml" Id="R7a4ec7b3f11e416f" /><Relationship Type="http://schemas.openxmlformats.org/officeDocument/2006/relationships/worksheet" Target="/xl/worksheets/sheet4.xml" Id="Rc1dbe09eec4042e0" /></Relationships>
</file>

<file path=xl/tables/table1.xml><?xml version="1.0" encoding="utf-8"?>
<x:table xmlns:x="http://schemas.openxmlformats.org/spreadsheetml/2006/main" id="1" name="OfficerCandidates" displayName="OfficerCandidates" ref="A8:O1008" headerRowCount="1" totalsRowCount="0" totalsRowShown="0">
  <x:autoFilter ref="A8:O1008"/>
  <x:tableColumns count="15">
    <x:tableColumn id="1" name="官方序号"/>
    <x:tableColumn id="2" name="简体姓名"/>
    <x:tableColumn id="3" name="繁体姓名"/>
    <x:tableColumn id="4" name="同名辨识"/>
    <x:tableColumn id="5" name="生年"/>
    <x:tableColumn id="6" name="登场年"/>
    <x:tableColumn id="7" name="卒年"/>
    <x:tableColumn id="8" name="参考年状态"/>
    <x:tableColumn id="9" name="原版ID"/>
    <x:tableColumn id="10" name="年代依据"/>
    <x:tableColumn id="11" name="核对标记"/>
    <x:tableColumn id="12" name="来源原名"/>
    <x:tableColumn id="13" name="人物ID"/>
    <x:tableColumn id="14" name="日文名"/>
    <x:tableColumn id="15" name="日文读音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cenarioStates" displayName="ScenarioStates" ref="A8:L1008" headerRowCount="1" totalsRowCount="0" totalsRowShown="0">
  <x:autoFilter ref="A8:L1008"/>
  <x:tableColumns count="12">
    <x:tableColumn id="1" name="官方序号"/>
    <x:tableColumn id="2" name="姓名"/>
    <x:tableColumn id="3" name="184 黃巾"/>
    <x:tableColumn id="4" name="190 反董"/>
    <x:tableColumn id="5" name="194 群雄"/>
    <x:tableColumn id="6" name="200 官渡"/>
    <x:tableColumn id="7" name="207 三顧"/>
    <x:tableColumn id="8" name="217 漢中"/>
    <x:tableColumn id="9" name="221 夷陵"/>
    <x:tableColumn id="10" name="227 出師"/>
    <x:tableColumn id="11" name="249 正始"/>
    <x:tableColumn id="12" name="251 英雄（假想）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FieldMapping" displayName="FieldMapping" ref="A8:H37" headerRowCount="1" totalsRowCount="0" totalsRowShown="0">
  <x:autoFilter ref="A8:H37"/>
  <x:tableColumns count="8">
    <x:tableColumn id="1" name="字段"/>
    <x:tableColumn id="2" name="来源字段"/>
    <x:tableColumn id="3" name="目标字段"/>
    <x:tableColumn id="4" name="原版存储"/>
    <x:tableColumn id="5" name="转换规则"/>
    <x:tableColumn id="6" name="方案状态"/>
    <x:tableColumn id="7" name="备注"/>
    <x:tableColumn id="8" name="证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bc5b37d7874e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7f18c7ef56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3a72b3766447a4" /></Relationships>
</file>

<file path=xl/worksheets/sheet1.xml><?xml version="1.0" encoding="utf-8"?>
<x:worksheet xmlns:x="http://schemas.openxmlformats.org/spreadsheetml/2006/main">
  <x:sheetPr>
    <x:tabColor rgb="FF5A4637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36" hidden="0" customWidth="1"/>
    <x:col min="5" max="5" width="9" hidden="0" customWidth="1"/>
    <x:col min="6" max="6" width="9" hidden="0" customWidth="1"/>
    <x:col min="7" max="7" width="9" hidden="0" customWidth="1"/>
    <x:col min="8" max="8" width="19" hidden="0" customWidth="1"/>
    <x:col min="9" max="9" width="10" hidden="0" customWidth="1"/>
    <x:col min="10" max="10" width="21" hidden="0" customWidth="1"/>
    <x:col min="11" max="11" width="28" hidden="0" customWidth="1"/>
    <x:col min="12" max="12" width="14" hidden="0" customWidth="1"/>
    <x:col min="13" max="13" width="30" hidden="0" customWidth="1"/>
    <x:col min="14" max="14" width="14" hidden="0" customWidth="1"/>
    <x:col min="15" max="15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4" t="str">
        <x:v>千人武将候选名单与年代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2" t="str">
        <x:v>候选人物</x:v>
      </x:c>
      <x:c r="B4" s="2" t="n">
        <x:f>COUNTA(M9:M1008)</x:f>
        <x:v>1000</x:v>
      </x:c>
      <x:c r="C4" s="2"/>
      <x:c r="D4" s="2" t="str">
        <x:v>参考年份</x:v>
      </x:c>
      <x:c r="E4" s="6" t="n">
        <x:v>230</x:v>
      </x:c>
      <x:c r="F4" s="2" t="str">
        <x:v>年表可登场</x:v>
      </x:c>
      <x:c r="G4" s="2" t="n">
        <x:f>IF(OR($E$4="",NOT(ISNUMBER($E$4)),$E$4&lt;1,$E$4&gt;400),"参考年待填",COUNTIFS(H9:H1008,"年表可登场"))</x:f>
        <x:v>326</x:v>
      </x:c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2" t="str">
        <x:v>不同姓名</x:v>
      </x:c>
      <x:c r="B5" s="2" t="n">
        <x:v>994</x:v>
      </x:c>
      <x:c r="C5" s="2"/>
      <x:c r="D5" s="2" t="str">
        <x:v>卒年边界待核</x:v>
      </x:c>
      <x:c r="E5" s="2" t="n">
        <x:f>IF(OR($E$4="",NOT(ISNUMBER($E$4)),$E$4&lt;1,$E$4&gt;400),"参考年待填",COUNTIFS(H9:H1008,"卒年边界待核"))</x:f>
        <x:v>12</x:v>
      </x:c>
      <x:c r="F5" s="2" t="str">
        <x:v>同名人数</x:v>
      </x:c>
      <x:c r="G5" s="2" t="n">
        <x:v>11</x:v>
      </x:c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7" t="str">
        <x:v>生年、登场、卒年为第三方整理的SAN14游戏设定。参考年可修改，卒年当年单列待核。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2" customHeight="1">
      <x:c r="A8" s="11" t="str">
        <x:v>官方序号</x:v>
      </x:c>
      <x:c r="B8" s="11" t="str">
        <x:v>简体姓名</x:v>
      </x:c>
      <x:c r="C8" s="11" t="str">
        <x:v>繁体姓名</x:v>
      </x:c>
      <x:c r="D8" s="11" t="str">
        <x:v>同名辨识</x:v>
      </x:c>
      <x:c r="E8" s="11" t="str">
        <x:v>生年</x:v>
      </x:c>
      <x:c r="F8" s="11" t="str">
        <x:v>登场年</x:v>
      </x:c>
      <x:c r="G8" s="11" t="str">
        <x:v>卒年</x:v>
      </x:c>
      <x:c r="H8" s="11" t="str">
        <x:v>参考年状态</x:v>
      </x:c>
      <x:c r="I8" s="11" t="str">
        <x:v>原版ID</x:v>
      </x:c>
      <x:c r="J8" s="11" t="str">
        <x:v>年代依据</x:v>
      </x:c>
      <x:c r="K8" s="11" t="str">
        <x:v>核对标记</x:v>
      </x:c>
      <x:c r="L8" s="11" t="str">
        <x:v>来源原名</x:v>
      </x:c>
      <x:c r="M8" s="11" t="str">
        <x:v>人物ID</x:v>
      </x:c>
      <x:c r="N8" s="11" t="str">
        <x:v>日文名</x:v>
      </x:c>
      <x:c r="O8" s="11" t="str">
        <x:v>日文读音</x:v>
      </x:c>
    </x:row>
    <x:row r="9" ht="23" customHeight="1">
      <x:c r="A9" s="13" t="n">
        <x:v>1</x:v>
      </x:c>
      <x:c r="B9" s="2" t="str">
        <x:v>阿会喃</x:v>
      </x:c>
      <x:c r="C9" s="2" t="str">
        <x:v>阿會喃</x:v>
      </x:c>
      <x:c r="D9" s="2" t="str"/>
      <x:c r="E9" s="13" t="n">
        <x:v>190</x:v>
      </x:c>
      <x:c r="F9" s="13" t="n">
        <x:v>217</x:v>
      </x:c>
      <x:c r="G9" s="13" t="n">
        <x:v>225</x:v>
      </x:c>
      <x:c r="H9" s="2" t="str">
        <x:f>IF(OR($E$4="",NOT(ISNUMBER($E$4)),$E$4&lt;1,$E$4&gt;400),"参考年待填",IF(OR(E9="",F9="",G9=""),"年代待核",IF($E$4&lt;E9,"未出生",IF($E$4&lt;F9,"未登场",IF($E$4&gt;G9,"已过卒年",IF($E$4=G9,"卒年边界待核","年表可登场"))))))</x:f>
        <x:v>已过卒年</x:v>
      </x:c>
      <x:c r="I9" s="12" t="n">
        <x:v>0</x:v>
      </x:c>
      <x:c r="J9" s="2" t="str">
        <x:v>SAN14游戏设定</x:v>
      </x:c>
      <x:c r="K9" s="2" t="str"/>
      <x:c r="L9" s="2" t="str">
        <x:v>阿會喃</x:v>
      </x:c>
      <x:c r="M9" s="2" t="str">
        <x:v>san14-candidate-0001</x:v>
      </x:c>
      <x:c r="N9" s="2" t="str">
        <x:v>阿会喃</x:v>
      </x:c>
      <x:c r="O9" s="2" t="str">
        <x:v>アカイナン</x:v>
      </x:c>
    </x:row>
    <x:row r="10" ht="23" customHeight="1">
      <x:c r="A10" s="13" t="n">
        <x:v>2</x:v>
      </x:c>
      <x:c r="B10" s="2" t="str">
        <x:v>阿贵</x:v>
      </x:c>
      <x:c r="C10" s="2" t="str">
        <x:v>阿貴</x:v>
      </x:c>
      <x:c r="D10" s="2" t="str"/>
      <x:c r="E10" s="13" t="n">
        <x:v>172</x:v>
      </x:c>
      <x:c r="F10" s="13" t="n">
        <x:v>191</x:v>
      </x:c>
      <x:c r="G10" s="13" t="n">
        <x:v>214</x:v>
      </x:c>
      <x:c r="H10" s="2" t="str">
        <x:f>IF(OR($E$4="",NOT(ISNUMBER($E$4)),$E$4&lt;1,$E$4&gt;400),"参考年待填",IF(OR(E10="",F10="",G10=""),"年代待核",IF($E$4&lt;E10,"未出生",IF($E$4&lt;F10,"未登场",IF($E$4&gt;G10,"已过卒年",IF($E$4=G10,"卒年边界待核","年表可登场"))))))</x:f>
        <x:v>已过卒年</x:v>
      </x:c>
      <x:c r="I10" s="12"/>
      <x:c r="J10" s="2" t="str">
        <x:v>SAN14游戏设定</x:v>
      </x:c>
      <x:c r="K10" s="2" t="str"/>
      <x:c r="L10" s="2" t="str">
        <x:v>阿貴</x:v>
      </x:c>
      <x:c r="M10" s="2" t="str">
        <x:v>san14-candidate-0002</x:v>
      </x:c>
      <x:c r="N10" s="2" t="str">
        <x:v>阿貴</x:v>
      </x:c>
      <x:c r="O10" s="2" t="str">
        <x:v>アキ</x:v>
      </x:c>
    </x:row>
    <x:row r="11" ht="23" customHeight="1">
      <x:c r="A11" s="13" t="n">
        <x:v>3</x:v>
      </x:c>
      <x:c r="B11" s="2" t="str">
        <x:v>韦康</x:v>
      </x:c>
      <x:c r="C11" s="2" t="str">
        <x:v>韋康</x:v>
      </x:c>
      <x:c r="D11" s="2" t="str"/>
      <x:c r="E11" s="13" t="n">
        <x:v>168</x:v>
      </x:c>
      <x:c r="F11" s="13" t="n">
        <x:v>196</x:v>
      </x:c>
      <x:c r="G11" s="13" t="n">
        <x:v>212</x:v>
      </x:c>
      <x:c r="H11" s="2" t="str">
        <x:f>IF(OR($E$4="",NOT(ISNUMBER($E$4)),$E$4&lt;1,$E$4&gt;400),"参考年待填",IF(OR(E11="",F11="",G11=""),"年代待核",IF($E$4&lt;E11,"未出生",IF($E$4&lt;F11,"未登场",IF($E$4&gt;G11,"已过卒年",IF($E$4=G11,"卒年边界待核","年表可登场"))))))</x:f>
        <x:v>已过卒年</x:v>
      </x:c>
      <x:c r="I11" s="12"/>
      <x:c r="J11" s="2" t="str">
        <x:v>SAN14游戏设定</x:v>
      </x:c>
      <x:c r="K11" s="2" t="str"/>
      <x:c r="L11" s="2" t="str">
        <x:v>韋康</x:v>
      </x:c>
      <x:c r="M11" s="2" t="str">
        <x:v>san14-candidate-0003</x:v>
      </x:c>
      <x:c r="N11" s="2" t="str">
        <x:v>韋康</x:v>
      </x:c>
      <x:c r="O11" s="2" t="str">
        <x:v>イコウ</x:v>
      </x:c>
    </x:row>
    <x:row r="12" ht="23" customHeight="1">
      <x:c r="A12" s="13" t="n">
        <x:v>4</x:v>
      </x:c>
      <x:c r="B12" s="2" t="str">
        <x:v>韦昭</x:v>
      </x:c>
      <x:c r="C12" s="2" t="str">
        <x:v>韋昭</x:v>
      </x:c>
      <x:c r="D12" s="2" t="str"/>
      <x:c r="E12" s="13" t="n">
        <x:v>204</x:v>
      </x:c>
      <x:c r="F12" s="13" t="n">
        <x:v>223</x:v>
      </x:c>
      <x:c r="G12" s="13" t="n">
        <x:v>273</x:v>
      </x:c>
      <x:c r="H12" s="2" t="str">
        <x:f>IF(OR($E$4="",NOT(ISNUMBER($E$4)),$E$4&lt;1,$E$4&gt;400),"参考年待填",IF(OR(E12="",F12="",G12=""),"年代待核",IF($E$4&lt;E12,"未出生",IF($E$4&lt;F12,"未登场",IF($E$4&gt;G12,"已过卒年",IF($E$4=G12,"卒年边界待核","年表可登场"))))))</x:f>
        <x:v>年表可登场</x:v>
      </x:c>
      <x:c r="I12" s="12"/>
      <x:c r="J12" s="2" t="str">
        <x:v>SAN14游戏设定</x:v>
      </x:c>
      <x:c r="K12" s="2" t="str"/>
      <x:c r="L12" s="2" t="str">
        <x:v>韋昭</x:v>
      </x:c>
      <x:c r="M12" s="2" t="str">
        <x:v>san14-candidate-0004</x:v>
      </x:c>
      <x:c r="N12" s="2" t="str">
        <x:v>韋昭</x:v>
      </x:c>
      <x:c r="O12" s="2" t="str">
        <x:v>イショウ</x:v>
      </x:c>
    </x:row>
    <x:row r="13" ht="23" customHeight="1">
      <x:c r="A13" s="13" t="n">
        <x:v>5</x:v>
      </x:c>
      <x:c r="B13" s="2" t="str">
        <x:v>伊籍</x:v>
      </x:c>
      <x:c r="C13" s="2" t="str">
        <x:v>伊籍</x:v>
      </x:c>
      <x:c r="D13" s="2" t="str"/>
      <x:c r="E13" s="13" t="n">
        <x:v>162</x:v>
      </x:c>
      <x:c r="F13" s="13" t="n">
        <x:v>189</x:v>
      </x:c>
      <x:c r="G13" s="13" t="n">
        <x:v>226</x:v>
      </x:c>
      <x:c r="H13" s="2" t="str">
        <x:f>IF(OR($E$4="",NOT(ISNUMBER($E$4)),$E$4&lt;1,$E$4&gt;400),"参考年待填",IF(OR(E13="",F13="",G13=""),"年代待核",IF($E$4&lt;E13,"未出生",IF($E$4&lt;F13,"未登场",IF($E$4&gt;G13,"已过卒年",IF($E$4=G13,"卒年边界待核","年表可登场"))))))</x:f>
        <x:v>已过卒年</x:v>
      </x:c>
      <x:c r="I13" s="12" t="n">
        <x:v>2</x:v>
      </x:c>
      <x:c r="J13" s="2" t="str">
        <x:v>SAN14游戏设定</x:v>
      </x:c>
      <x:c r="K13" s="2" t="str"/>
      <x:c r="L13" s="2" t="str">
        <x:v>伊籍</x:v>
      </x:c>
      <x:c r="M13" s="2" t="str">
        <x:v>san14-candidate-0005</x:v>
      </x:c>
      <x:c r="N13" s="2" t="str">
        <x:v>伊籍</x:v>
      </x:c>
      <x:c r="O13" s="2" t="str">
        <x:v>イセキ</x:v>
      </x:c>
    </x:row>
    <x:row r="14" ht="23" customHeight="1">
      <x:c r="A14" s="13" t="n">
        <x:v>6</x:v>
      </x:c>
      <x:c r="B14" s="2" t="str">
        <x:v>尹楷</x:v>
      </x:c>
      <x:c r="C14" s="2" t="str">
        <x:v>尹楷</x:v>
      </x:c>
      <x:c r="D14" s="2" t="str"/>
      <x:c r="E14" s="13" t="n">
        <x:v>161</x:v>
      </x:c>
      <x:c r="F14" s="13" t="n">
        <x:v>190</x:v>
      </x:c>
      <x:c r="G14" s="13" t="n">
        <x:v>204</x:v>
      </x:c>
      <x:c r="H14" s="2" t="str">
        <x:f>IF(OR($E$4="",NOT(ISNUMBER($E$4)),$E$4&lt;1,$E$4&gt;400),"参考年待填",IF(OR(E14="",F14="",G14=""),"年代待核",IF($E$4&lt;E14,"未出生",IF($E$4&lt;F14,"未登场",IF($E$4&gt;G14,"已过卒年",IF($E$4=G14,"卒年边界待核","年表可登场"))))))</x:f>
        <x:v>已过卒年</x:v>
      </x:c>
      <x:c r="I14" s="12"/>
      <x:c r="J14" s="2" t="str">
        <x:v>SAN14游戏设定</x:v>
      </x:c>
      <x:c r="K14" s="2" t="str"/>
      <x:c r="L14" s="2" t="str">
        <x:v>尹楷</x:v>
      </x:c>
      <x:c r="M14" s="2" t="str">
        <x:v>san14-candidate-0006</x:v>
      </x:c>
      <x:c r="N14" s="2" t="str">
        <x:v>尹楷</x:v>
      </x:c>
      <x:c r="O14" s="2" t="str">
        <x:v>インカイ</x:v>
      </x:c>
    </x:row>
    <x:row r="15" ht="23" customHeight="1">
      <x:c r="A15" s="13" t="n">
        <x:v>7</x:v>
      </x:c>
      <x:c r="B15" s="2" t="str">
        <x:v>殷观</x:v>
      </x:c>
      <x:c r="C15" s="2" t="str">
        <x:v>殷觀</x:v>
      </x:c>
      <x:c r="D15" s="2" t="str"/>
      <x:c r="E15" s="13" t="n">
        <x:v>166</x:v>
      </x:c>
      <x:c r="F15" s="13" t="n">
        <x:v>195</x:v>
      </x:c>
      <x:c r="G15" s="13" t="n">
        <x:v>218</x:v>
      </x:c>
      <x:c r="H15" s="2" t="str">
        <x:f>IF(OR($E$4="",NOT(ISNUMBER($E$4)),$E$4&lt;1,$E$4&gt;400),"参考年待填",IF(OR(E15="",F15="",G15=""),"年代待核",IF($E$4&lt;E15,"未出生",IF($E$4&lt;F15,"未登场",IF($E$4&gt;G15,"已过卒年",IF($E$4=G15,"卒年边界待核","年表可登场"))))))</x:f>
        <x:v>已过卒年</x:v>
      </x:c>
      <x:c r="I15" s="12"/>
      <x:c r="J15" s="2" t="str">
        <x:v>SAN14游戏设定</x:v>
      </x:c>
      <x:c r="K15" s="2" t="str"/>
      <x:c r="L15" s="2" t="str">
        <x:v>殷觀</x:v>
      </x:c>
      <x:c r="M15" s="2" t="str">
        <x:v>san14-candidate-0007</x:v>
      </x:c>
      <x:c r="N15" s="2" t="str">
        <x:v>殷観</x:v>
      </x:c>
      <x:c r="O15" s="2" t="str">
        <x:v>インカン</x:v>
      </x:c>
    </x:row>
    <x:row r="16" ht="23" customHeight="1">
      <x:c r="A16" s="13" t="n">
        <x:v>8</x:v>
      </x:c>
      <x:c r="B16" s="2" t="str">
        <x:v>阴夔</x:v>
      </x:c>
      <x:c r="C16" s="2" t="str">
        <x:v>陰夔</x:v>
      </x:c>
      <x:c r="D16" s="2" t="str"/>
      <x:c r="E16" s="13" t="n">
        <x:v>152</x:v>
      </x:c>
      <x:c r="F16" s="13" t="n">
        <x:v>184</x:v>
      </x:c>
      <x:c r="G16" s="13" t="n">
        <x:v>206</x:v>
      </x:c>
      <x:c r="H16" s="2" t="str">
        <x:f>IF(OR($E$4="",NOT(ISNUMBER($E$4)),$E$4&lt;1,$E$4&gt;400),"参考年待填",IF(OR(E16="",F16="",G16=""),"年代待核",IF($E$4&lt;E16,"未出生",IF($E$4&lt;F16,"未登场",IF($E$4&gt;G16,"已过卒年",IF($E$4=G16,"卒年边界待核","年表可登场"))))))</x:f>
        <x:v>已过卒年</x:v>
      </x:c>
      <x:c r="I16" s="12"/>
      <x:c r="J16" s="2" t="str">
        <x:v>SAN14游戏设定</x:v>
      </x:c>
      <x:c r="K16" s="2" t="str"/>
      <x:c r="L16" s="2" t="str">
        <x:v>陰夔</x:v>
      </x:c>
      <x:c r="M16" s="2" t="str">
        <x:v>san14-candidate-0008</x:v>
      </x:c>
      <x:c r="N16" s="2" t="str">
        <x:v>陰キ</x:v>
      </x:c>
      <x:c r="O16" s="2" t="str">
        <x:v>インキ</x:v>
      </x:c>
    </x:row>
    <x:row r="17" ht="23" customHeight="1">
      <x:c r="A17" s="13" t="n">
        <x:v>9</x:v>
      </x:c>
      <x:c r="B17" s="2" t="str">
        <x:v>殷署</x:v>
      </x:c>
      <x:c r="C17" s="2" t="str">
        <x:v>殷署</x:v>
      </x:c>
      <x:c r="D17" s="2" t="str"/>
      <x:c r="E17" s="13" t="n">
        <x:v>177</x:v>
      </x:c>
      <x:c r="F17" s="13" t="n">
        <x:v>196</x:v>
      </x:c>
      <x:c r="G17" s="13" t="n">
        <x:v>223</x:v>
      </x:c>
      <x:c r="H17" s="2" t="str">
        <x:f>IF(OR($E$4="",NOT(ISNUMBER($E$4)),$E$4&lt;1,$E$4&gt;400),"参考年待填",IF(OR(E17="",F17="",G17=""),"年代待核",IF($E$4&lt;E17,"未出生",IF($E$4&lt;F17,"未登场",IF($E$4&gt;G17,"已过卒年",IF($E$4=G17,"卒年边界待核","年表可登场"))))))</x:f>
        <x:v>已过卒年</x:v>
      </x:c>
      <x:c r="I17" s="12"/>
      <x:c r="J17" s="2" t="str">
        <x:v>SAN14游戏设定</x:v>
      </x:c>
      <x:c r="K17" s="2" t="str"/>
      <x:c r="L17" s="2" t="str">
        <x:v>殷署</x:v>
      </x:c>
      <x:c r="M17" s="2" t="str">
        <x:v>san14-candidate-0009</x:v>
      </x:c>
      <x:c r="N17" s="2" t="str">
        <x:v>殷署</x:v>
      </x:c>
      <x:c r="O17" s="2" t="str">
        <x:v>インショ</x:v>
      </x:c>
    </x:row>
    <x:row r="18" ht="23" customHeight="1">
      <x:c r="A18" s="13" t="n">
        <x:v>10</x:v>
      </x:c>
      <x:c r="B18" s="2" t="str">
        <x:v>尹赏</x:v>
      </x:c>
      <x:c r="C18" s="2" t="str">
        <x:v>尹賞</x:v>
      </x:c>
      <x:c r="D18" s="2" t="str"/>
      <x:c r="E18" s="13" t="n">
        <x:v>194</x:v>
      </x:c>
      <x:c r="F18" s="13" t="n">
        <x:v>213</x:v>
      </x:c>
      <x:c r="G18" s="13" t="n">
        <x:v>260</x:v>
      </x:c>
      <x:c r="H18" s="2" t="str">
        <x:f>IF(OR($E$4="",NOT(ISNUMBER($E$4)),$E$4&lt;1,$E$4&gt;400),"参考年待填",IF(OR(E18="",F18="",G18=""),"年代待核",IF($E$4&lt;E18,"未出生",IF($E$4&lt;F18,"未登场",IF($E$4&gt;G18,"已过卒年",IF($E$4=G18,"卒年边界待核","年表可登场"))))))</x:f>
        <x:v>年表可登场</x:v>
      </x:c>
      <x:c r="I18" s="12"/>
      <x:c r="J18" s="2" t="str">
        <x:v>SAN14游戏设定</x:v>
      </x:c>
      <x:c r="K18" s="2" t="str"/>
      <x:c r="L18" s="2" t="str">
        <x:v>尹賞</x:v>
      </x:c>
      <x:c r="M18" s="2" t="str">
        <x:v>san14-candidate-0010</x:v>
      </x:c>
      <x:c r="N18" s="2" t="str">
        <x:v>尹賞</x:v>
      </x:c>
      <x:c r="O18" s="2" t="str">
        <x:v>インショウ</x:v>
      </x:c>
    </x:row>
    <x:row r="19" ht="23" customHeight="1">
      <x:c r="A19" s="13" t="n">
        <x:v>11</x:v>
      </x:c>
      <x:c r="B19" s="2" t="str">
        <x:v>尹大目</x:v>
      </x:c>
      <x:c r="C19" s="2" t="str">
        <x:v>尹大目</x:v>
      </x:c>
      <x:c r="D19" s="2" t="str"/>
      <x:c r="E19" s="13" t="n">
        <x:v>211</x:v>
      </x:c>
      <x:c r="F19" s="13" t="n">
        <x:v>230</x:v>
      </x:c>
      <x:c r="G19" s="13" t="n">
        <x:v>270</x:v>
      </x:c>
      <x:c r="H19" s="2" t="str">
        <x:f>IF(OR($E$4="",NOT(ISNUMBER($E$4)),$E$4&lt;1,$E$4&gt;400),"参考年待填",IF(OR(E19="",F19="",G19=""),"年代待核",IF($E$4&lt;E19,"未出生",IF($E$4&lt;F19,"未登场",IF($E$4&gt;G19,"已过卒年",IF($E$4=G19,"卒年边界待核","年表可登场"))))))</x:f>
        <x:v>年表可登场</x:v>
      </x:c>
      <x:c r="I19" s="12"/>
      <x:c r="J19" s="2" t="str">
        <x:v>SAN14游戏设定</x:v>
      </x:c>
      <x:c r="K19" s="2" t="str"/>
      <x:c r="L19" s="2" t="str">
        <x:v>尹大目</x:v>
      </x:c>
      <x:c r="M19" s="2" t="str">
        <x:v>san14-candidate-0011</x:v>
      </x:c>
      <x:c r="N19" s="2" t="str">
        <x:v>尹大目</x:v>
      </x:c>
      <x:c r="O19" s="2" t="str">
        <x:v>インダイモク</x:v>
      </x:c>
    </x:row>
    <x:row r="20" ht="23" customHeight="1">
      <x:c r="A20" s="13" t="n">
        <x:v>12</x:v>
      </x:c>
      <x:c r="B20" s="2" t="str">
        <x:v>隐蕃</x:v>
      </x:c>
      <x:c r="C20" s="2" t="str">
        <x:v>隱蕃</x:v>
      </x:c>
      <x:c r="D20" s="2" t="str"/>
      <x:c r="E20" s="13" t="n">
        <x:v>195</x:v>
      </x:c>
      <x:c r="F20" s="13" t="n">
        <x:v>224</x:v>
      </x:c>
      <x:c r="G20" s="13" t="n">
        <x:v>233</x:v>
      </x:c>
      <x:c r="H20" s="2" t="str">
        <x:f>IF(OR($E$4="",NOT(ISNUMBER($E$4)),$E$4&lt;1,$E$4&gt;400),"参考年待填",IF(OR(E20="",F20="",G20=""),"年代待核",IF($E$4&lt;E20,"未出生",IF($E$4&lt;F20,"未登场",IF($E$4&gt;G20,"已过卒年",IF($E$4=G20,"卒年边界待核","年表可登场"))))))</x:f>
        <x:v>年表可登场</x:v>
      </x:c>
      <x:c r="I20" s="12"/>
      <x:c r="J20" s="2" t="str">
        <x:v>SAN14游戏设定</x:v>
      </x:c>
      <x:c r="K20" s="2" t="str"/>
      <x:c r="L20" s="2" t="str">
        <x:v>隱蕃</x:v>
      </x:c>
      <x:c r="M20" s="2" t="str">
        <x:v>san14-candidate-0012</x:v>
      </x:c>
      <x:c r="N20" s="2" t="str">
        <x:v>隠蕃</x:v>
      </x:c>
      <x:c r="O20" s="2" t="str">
        <x:v>インバン</x:v>
      </x:c>
    </x:row>
    <x:row r="21" ht="23" customHeight="1">
      <x:c r="A21" s="13" t="n">
        <x:v>13</x:v>
      </x:c>
      <x:c r="B21" s="2" t="str">
        <x:v>尹默</x:v>
      </x:c>
      <x:c r="C21" s="2" t="str">
        <x:v>尹默</x:v>
      </x:c>
      <x:c r="D21" s="2" t="str"/>
      <x:c r="E21" s="13" t="n">
        <x:v>183</x:v>
      </x:c>
      <x:c r="F21" s="13" t="n">
        <x:v>212</x:v>
      </x:c>
      <x:c r="G21" s="13" t="n">
        <x:v>239</x:v>
      </x:c>
      <x:c r="H21" s="2" t="str">
        <x:f>IF(OR($E$4="",NOT(ISNUMBER($E$4)),$E$4&lt;1,$E$4&gt;400),"参考年待填",IF(OR(E21="",F21="",G21=""),"年代待核",IF($E$4&lt;E21,"未出生",IF($E$4&lt;F21,"未登场",IF($E$4&gt;G21,"已过卒年",IF($E$4=G21,"卒年边界待核","年表可登场"))))))</x:f>
        <x:v>年表可登场</x:v>
      </x:c>
      <x:c r="I21" s="12"/>
      <x:c r="J21" s="2" t="str">
        <x:v>SAN14游戏设定</x:v>
      </x:c>
      <x:c r="K21" s="2" t="str"/>
      <x:c r="L21" s="2" t="str">
        <x:v>尹默</x:v>
      </x:c>
      <x:c r="M21" s="2" t="str">
        <x:v>san14-candidate-0013</x:v>
      </x:c>
      <x:c r="N21" s="2" t="str">
        <x:v>尹黙</x:v>
      </x:c>
      <x:c r="O21" s="2" t="str">
        <x:v>インモク</x:v>
      </x:c>
    </x:row>
    <x:row r="22" ht="23" customHeight="1">
      <x:c r="A22" s="13" t="n">
        <x:v>14</x:v>
      </x:c>
      <x:c r="B22" s="2" t="str">
        <x:v>尹礼</x:v>
      </x:c>
      <x:c r="C22" s="2" t="str">
        <x:v>尹禮</x:v>
      </x:c>
      <x:c r="D22" s="2" t="str"/>
      <x:c r="E22" s="13" t="n">
        <x:v>165</x:v>
      </x:c>
      <x:c r="F22" s="13" t="n">
        <x:v>184</x:v>
      </x:c>
      <x:c r="G22" s="13" t="n">
        <x:v>222</x:v>
      </x:c>
      <x:c r="H22" s="2" t="str">
        <x:f>IF(OR($E$4="",NOT(ISNUMBER($E$4)),$E$4&lt;1,$E$4&gt;400),"参考年待填",IF(OR(E22="",F22="",G22=""),"年代待核",IF($E$4&lt;E22,"未出生",IF($E$4&lt;F22,"未登场",IF($E$4&gt;G22,"已过卒年",IF($E$4=G22,"卒年边界待核","年表可登场"))))))</x:f>
        <x:v>已过卒年</x:v>
      </x:c>
      <x:c r="I22" s="12"/>
      <x:c r="J22" s="2" t="str">
        <x:v>SAN14游戏设定</x:v>
      </x:c>
      <x:c r="K22" s="2" t="str"/>
      <x:c r="L22" s="2" t="str">
        <x:v>尹禮</x:v>
      </x:c>
      <x:c r="M22" s="2" t="str">
        <x:v>san14-candidate-0014</x:v>
      </x:c>
      <x:c r="N22" s="2" t="str">
        <x:v>尹礼</x:v>
      </x:c>
      <x:c r="O22" s="2" t="str">
        <x:v>インレイ</x:v>
      </x:c>
    </x:row>
    <x:row r="23" ht="23" customHeight="1">
      <x:c r="A23" s="13" t="n">
        <x:v>15</x:v>
      </x:c>
      <x:c r="B23" s="2" t="str">
        <x:v>殷礼</x:v>
      </x:c>
      <x:c r="C23" s="2" t="str">
        <x:v>殷禮</x:v>
      </x:c>
      <x:c r="D23" s="2" t="str"/>
      <x:c r="E23" s="13" t="n">
        <x:v>199</x:v>
      </x:c>
      <x:c r="F23" s="13" t="n">
        <x:v>217</x:v>
      </x:c>
      <x:c r="G23" s="13" t="n">
        <x:v>256</x:v>
      </x:c>
      <x:c r="H23" s="2" t="str">
        <x:f>IF(OR($E$4="",NOT(ISNUMBER($E$4)),$E$4&lt;1,$E$4&gt;400),"参考年待填",IF(OR(E23="",F23="",G23=""),"年代待核",IF($E$4&lt;E23,"未出生",IF($E$4&lt;F23,"未登场",IF($E$4&gt;G23,"已过卒年",IF($E$4=G23,"卒年边界待核","年表可登场"))))))</x:f>
        <x:v>年表可登场</x:v>
      </x:c>
      <x:c r="I23" s="12"/>
      <x:c r="J23" s="2" t="str">
        <x:v>SAN14游戏设定</x:v>
      </x:c>
      <x:c r="K23" s="2" t="str"/>
      <x:c r="L23" s="2" t="str">
        <x:v>殷禮</x:v>
      </x:c>
      <x:c r="M23" s="2" t="str">
        <x:v>san14-candidate-0015</x:v>
      </x:c>
      <x:c r="N23" s="2" t="str">
        <x:v>殷礼</x:v>
      </x:c>
      <x:c r="O23" s="2" t="str">
        <x:v>インレイ</x:v>
      </x:c>
    </x:row>
    <x:row r="24" ht="23" customHeight="1">
      <x:c r="A24" s="13" t="n">
        <x:v>16</x:v>
      </x:c>
      <x:c r="B24" s="2" t="str">
        <x:v>于禁</x:v>
      </x:c>
      <x:c r="C24" s="2" t="str">
        <x:v>于禁</x:v>
      </x:c>
      <x:c r="D24" s="2" t="str"/>
      <x:c r="E24" s="13" t="n">
        <x:v>159</x:v>
      </x:c>
      <x:c r="F24" s="13" t="n">
        <x:v>184</x:v>
      </x:c>
      <x:c r="G24" s="13" t="n">
        <x:v>221</x:v>
      </x:c>
      <x:c r="H24" s="2" t="str">
        <x:f>IF(OR($E$4="",NOT(ISNUMBER($E$4)),$E$4&lt;1,$E$4&gt;400),"参考年待填",IF(OR(E24="",F24="",G24=""),"年代待核",IF($E$4&lt;E24,"未出生",IF($E$4&lt;F24,"未登场",IF($E$4&gt;G24,"已过卒年",IF($E$4=G24,"卒年边界待核","年表可登场"))))))</x:f>
        <x:v>已过卒年</x:v>
      </x:c>
      <x:c r="I24" s="12"/>
      <x:c r="J24" s="2" t="str">
        <x:v>SAN14游戏设定</x:v>
      </x:c>
      <x:c r="K24" s="2" t="str"/>
      <x:c r="L24" s="2" t="str">
        <x:v>于禁</x:v>
      </x:c>
      <x:c r="M24" s="2" t="str">
        <x:v>san14-candidate-0016</x:v>
      </x:c>
      <x:c r="N24" s="2" t="str">
        <x:v>于禁</x:v>
      </x:c>
      <x:c r="O24" s="2" t="str">
        <x:v>ウキン</x:v>
      </x:c>
    </x:row>
    <x:row r="25" ht="23" customHeight="1">
      <x:c r="A25" s="13" t="n">
        <x:v>17</x:v>
      </x:c>
      <x:c r="B25" s="2" t="str">
        <x:v>于诠</x:v>
      </x:c>
      <x:c r="C25" s="2" t="str">
        <x:v>于詮</x:v>
      </x:c>
      <x:c r="D25" s="2" t="str"/>
      <x:c r="E25" s="13" t="n">
        <x:v>204</x:v>
      </x:c>
      <x:c r="F25" s="13" t="n">
        <x:v>223</x:v>
      </x:c>
      <x:c r="G25" s="13" t="n">
        <x:v>258</x:v>
      </x:c>
      <x:c r="H25" s="2" t="str">
        <x:f>IF(OR($E$4="",NOT(ISNUMBER($E$4)),$E$4&lt;1,$E$4&gt;400),"参考年待填",IF(OR(E25="",F25="",G25=""),"年代待核",IF($E$4&lt;E25,"未出生",IF($E$4&lt;F25,"未登场",IF($E$4&gt;G25,"已过卒年",IF($E$4=G25,"卒年边界待核","年表可登场"))))))</x:f>
        <x:v>年表可登场</x:v>
      </x:c>
      <x:c r="I25" s="12"/>
      <x:c r="J25" s="2" t="str">
        <x:v>SAN14游戏设定</x:v>
      </x:c>
      <x:c r="K25" s="2" t="str"/>
      <x:c r="L25" s="2" t="str">
        <x:v>于詮</x:v>
      </x:c>
      <x:c r="M25" s="2" t="str">
        <x:v>san14-candidate-0017</x:v>
      </x:c>
      <x:c r="N25" s="2" t="str">
        <x:v>于詮</x:v>
      </x:c>
      <x:c r="O25" s="2" t="str">
        <x:v>ウセン</x:v>
      </x:c>
    </x:row>
    <x:row r="26" ht="23" customHeight="1">
      <x:c r="A26" s="13" t="n">
        <x:v>18</x:v>
      </x:c>
      <x:c r="B26" s="2" t="str">
        <x:v>于毒</x:v>
      </x:c>
      <x:c r="C26" s="2" t="str">
        <x:v>于毒</x:v>
      </x:c>
      <x:c r="D26" s="2" t="str"/>
      <x:c r="E26" s="13" t="n">
        <x:v>155</x:v>
      </x:c>
      <x:c r="F26" s="13" t="n">
        <x:v>184</x:v>
      </x:c>
      <x:c r="G26" s="13" t="n">
        <x:v>193</x:v>
      </x:c>
      <x:c r="H26" s="2" t="str">
        <x:f>IF(OR($E$4="",NOT(ISNUMBER($E$4)),$E$4&lt;1,$E$4&gt;400),"参考年待填",IF(OR(E26="",F26="",G26=""),"年代待核",IF($E$4&lt;E26,"未出生",IF($E$4&lt;F26,"未登场",IF($E$4&gt;G26,"已过卒年",IF($E$4=G26,"卒年边界待核","年表可登场"))))))</x:f>
        <x:v>已过卒年</x:v>
      </x:c>
      <x:c r="I26" s="12"/>
      <x:c r="J26" s="2" t="str">
        <x:v>SAN14游戏设定</x:v>
      </x:c>
      <x:c r="K26" s="2" t="str"/>
      <x:c r="L26" s="2" t="str">
        <x:v>于毒</x:v>
      </x:c>
      <x:c r="M26" s="2" t="str">
        <x:v>san14-candidate-0018</x:v>
      </x:c>
      <x:c r="N26" s="2" t="str">
        <x:v>于毒</x:v>
      </x:c>
      <x:c r="O26" s="2" t="str">
        <x:v>ウドク</x:v>
      </x:c>
    </x:row>
    <x:row r="27" ht="23" customHeight="1">
      <x:c r="A27" s="13" t="n">
        <x:v>19</x:v>
      </x:c>
      <x:c r="B27" s="2" t="str">
        <x:v>于糜</x:v>
      </x:c>
      <x:c r="C27" s="2" t="str">
        <x:v>于糜</x:v>
      </x:c>
      <x:c r="D27" s="2" t="str"/>
      <x:c r="E27" s="13" t="n">
        <x:v>160</x:v>
      </x:c>
      <x:c r="F27" s="13" t="n">
        <x:v>184</x:v>
      </x:c>
      <x:c r="G27" s="13" t="n">
        <x:v>194</x:v>
      </x:c>
      <x:c r="H27" s="2" t="str">
        <x:f>IF(OR($E$4="",NOT(ISNUMBER($E$4)),$E$4&lt;1,$E$4&gt;400),"参考年待填",IF(OR(E27="",F27="",G27=""),"年代待核",IF($E$4&lt;E27,"未出生",IF($E$4&lt;F27,"未登场",IF($E$4&gt;G27,"已过卒年",IF($E$4=G27,"卒年边界待核","年表可登场"))))))</x:f>
        <x:v>已过卒年</x:v>
      </x:c>
      <x:c r="I27" s="12"/>
      <x:c r="J27" s="2" t="str">
        <x:v>SAN14游戏设定</x:v>
      </x:c>
      <x:c r="K27" s="2" t="str"/>
      <x:c r="L27" s="2" t="str">
        <x:v>于糜</x:v>
      </x:c>
      <x:c r="M27" s="2" t="str">
        <x:v>san14-candidate-0019</x:v>
      </x:c>
      <x:c r="N27" s="2" t="str">
        <x:v>于糜</x:v>
      </x:c>
      <x:c r="O27" s="2" t="str">
        <x:v>ウビ</x:v>
      </x:c>
    </x:row>
    <x:row r="28" ht="23" customHeight="1">
      <x:c r="A28" s="13" t="n">
        <x:v>20</x:v>
      </x:c>
      <x:c r="B28" s="2" t="str">
        <x:v>卫瓘</x:v>
      </x:c>
      <x:c r="C28" s="2" t="str">
        <x:v>衛瓘</x:v>
      </x:c>
      <x:c r="D28" s="2" t="str"/>
      <x:c r="E28" s="13" t="n">
        <x:v>220</x:v>
      </x:c>
      <x:c r="F28" s="13" t="n">
        <x:v>239</x:v>
      </x:c>
      <x:c r="G28" s="13" t="n">
        <x:v>291</x:v>
      </x:c>
      <x:c r="H28" s="2" t="str">
        <x:f>IF(OR($E$4="",NOT(ISNUMBER($E$4)),$E$4&lt;1,$E$4&gt;400),"参考年待填",IF(OR(E28="",F28="",G28=""),"年代待核",IF($E$4&lt;E28,"未出生",IF($E$4&lt;F28,"未登场",IF($E$4&gt;G28,"已过卒年",IF($E$4=G28,"卒年边界待核","年表可登场"))))))</x:f>
        <x:v>未登场</x:v>
      </x:c>
      <x:c r="I28" s="12"/>
      <x:c r="J28" s="2" t="str">
        <x:v>SAN14游戏设定</x:v>
      </x:c>
      <x:c r="K28" s="2" t="str"/>
      <x:c r="L28" s="2" t="str">
        <x:v>衛瓘</x:v>
      </x:c>
      <x:c r="M28" s="2" t="str">
        <x:v>san14-candidate-0020</x:v>
      </x:c>
      <x:c r="N28" s="2" t="str">
        <x:v>衛カン</x:v>
      </x:c>
      <x:c r="O28" s="2" t="str">
        <x:v>エイカン</x:v>
      </x:c>
    </x:row>
    <x:row r="29" ht="23" customHeight="1">
      <x:c r="A29" s="13" t="n">
        <x:v>21</x:v>
      </x:c>
      <x:c r="B29" s="2" t="str">
        <x:v>卫兹</x:v>
      </x:c>
      <x:c r="C29" s="2" t="str">
        <x:v>衛茲</x:v>
      </x:c>
      <x:c r="D29" s="2" t="str"/>
      <x:c r="E29" s="13" t="n">
        <x:v>150</x:v>
      </x:c>
      <x:c r="F29" s="13" t="n">
        <x:v>184</x:v>
      </x:c>
      <x:c r="G29" s="13" t="n">
        <x:v>190</x:v>
      </x:c>
      <x:c r="H29" s="2" t="str">
        <x:f>IF(OR($E$4="",NOT(ISNUMBER($E$4)),$E$4&lt;1,$E$4&gt;400),"参考年待填",IF(OR(E29="",F29="",G29=""),"年代待核",IF($E$4&lt;E29,"未出生",IF($E$4&lt;F29,"未登场",IF($E$4&gt;G29,"已过卒年",IF($E$4=G29,"卒年边界待核","年表可登场"))))))</x:f>
        <x:v>已过卒年</x:v>
      </x:c>
      <x:c r="I29" s="12"/>
      <x:c r="J29" s="2" t="str">
        <x:v>SAN14游戏设定</x:v>
      </x:c>
      <x:c r="K29" s="2" t="str"/>
      <x:c r="L29" s="2" t="str">
        <x:v>衛茲</x:v>
      </x:c>
      <x:c r="M29" s="2" t="str">
        <x:v>san14-candidate-0021</x:v>
      </x:c>
      <x:c r="N29" s="2" t="str">
        <x:v>衛茲</x:v>
      </x:c>
      <x:c r="O29" s="2" t="str">
        <x:v>エイジ</x:v>
      </x:c>
    </x:row>
    <x:row r="30" ht="23" customHeight="1">
      <x:c r="A30" s="13" t="n">
        <x:v>22</x:v>
      </x:c>
      <x:c r="B30" s="2" t="str">
        <x:v>卫臻</x:v>
      </x:c>
      <x:c r="C30" s="2" t="str">
        <x:v>衛臻</x:v>
      </x:c>
      <x:c r="D30" s="2" t="str"/>
      <x:c r="E30" s="13" t="n">
        <x:v>176</x:v>
      </x:c>
      <x:c r="F30" s="13" t="n">
        <x:v>195</x:v>
      </x:c>
      <x:c r="G30" s="13" t="n">
        <x:v>250</x:v>
      </x:c>
      <x:c r="H30" s="2" t="str">
        <x:f>IF(OR($E$4="",NOT(ISNUMBER($E$4)),$E$4&lt;1,$E$4&gt;400),"参考年待填",IF(OR(E30="",F30="",G30=""),"年代待核",IF($E$4&lt;E30,"未出生",IF($E$4&lt;F30,"未登场",IF($E$4&gt;G30,"已过卒年",IF($E$4=G30,"卒年边界待核","年表可登场"))))))</x:f>
        <x:v>年表可登场</x:v>
      </x:c>
      <x:c r="I30" s="12"/>
      <x:c r="J30" s="2" t="str">
        <x:v>SAN14游戏设定</x:v>
      </x:c>
      <x:c r="K30" s="2" t="str"/>
      <x:c r="L30" s="2" t="str">
        <x:v>衛臻</x:v>
      </x:c>
      <x:c r="M30" s="2" t="str">
        <x:v>san14-candidate-0022</x:v>
      </x:c>
      <x:c r="N30" s="2" t="str">
        <x:v>衛臻</x:v>
      </x:c>
      <x:c r="O30" s="2" t="str">
        <x:v>エイシン</x:v>
      </x:c>
    </x:row>
    <x:row r="31" ht="23" customHeight="1">
      <x:c r="A31" s="13" t="n">
        <x:v>23</x:v>
      </x:c>
      <x:c r="B31" s="2" t="str">
        <x:v>越吉</x:v>
      </x:c>
      <x:c r="C31" s="2" t="str">
        <x:v>越吉</x:v>
      </x:c>
      <x:c r="D31" s="2" t="str"/>
      <x:c r="E31" s="13" t="n">
        <x:v>190</x:v>
      </x:c>
      <x:c r="F31" s="13" t="n">
        <x:v>210</x:v>
      </x:c>
      <x:c r="G31" s="13" t="n">
        <x:v>227</x:v>
      </x:c>
      <x:c r="H31" s="2" t="str">
        <x:f>IF(OR($E$4="",NOT(ISNUMBER($E$4)),$E$4&lt;1,$E$4&gt;400),"参考年待填",IF(OR(E31="",F31="",G31=""),"年代待核",IF($E$4&lt;E31,"未出生",IF($E$4&lt;F31,"未登场",IF($E$4&gt;G31,"已过卒年",IF($E$4=G31,"卒年边界待核","年表可登场"))))))</x:f>
        <x:v>已过卒年</x:v>
      </x:c>
      <x:c r="I31" s="12"/>
      <x:c r="J31" s="2" t="str">
        <x:v>SAN14游戏设定</x:v>
      </x:c>
      <x:c r="K31" s="2" t="str"/>
      <x:c r="L31" s="2" t="str">
        <x:v>越吉</x:v>
      </x:c>
      <x:c r="M31" s="2" t="str">
        <x:v>san14-candidate-0023</x:v>
      </x:c>
      <x:c r="N31" s="2" t="str">
        <x:v>越吉</x:v>
      </x:c>
      <x:c r="O31" s="2" t="str">
        <x:v>エツキツ</x:v>
      </x:c>
    </x:row>
    <x:row r="32" ht="23" customHeight="1">
      <x:c r="A32" s="13" t="n">
        <x:v>24</x:v>
      </x:c>
      <x:c r="B32" s="2" t="str">
        <x:v>袁遗</x:v>
      </x:c>
      <x:c r="C32" s="2" t="str">
        <x:v>袁遺</x:v>
      </x:c>
      <x:c r="D32" s="2" t="str"/>
      <x:c r="E32" s="13" t="n">
        <x:v>150</x:v>
      </x:c>
      <x:c r="F32" s="13" t="n">
        <x:v>184</x:v>
      </x:c>
      <x:c r="G32" s="13" t="n">
        <x:v>193</x:v>
      </x:c>
      <x:c r="H32" s="2" t="str">
        <x:f>IF(OR($E$4="",NOT(ISNUMBER($E$4)),$E$4&lt;1,$E$4&gt;400),"参考年待填",IF(OR(E32="",F32="",G32=""),"年代待核",IF($E$4&lt;E32,"未出生",IF($E$4&lt;F32,"未登场",IF($E$4&gt;G32,"已过卒年",IF($E$4=G32,"卒年边界待核","年表可登场"))))))</x:f>
        <x:v>已过卒年</x:v>
      </x:c>
      <x:c r="I32" s="12"/>
      <x:c r="J32" s="2" t="str">
        <x:v>SAN14游戏设定</x:v>
      </x:c>
      <x:c r="K32" s="2" t="str"/>
      <x:c r="L32" s="2" t="str">
        <x:v>袁遺</x:v>
      </x:c>
      <x:c r="M32" s="2" t="str">
        <x:v>san14-candidate-0024</x:v>
      </x:c>
      <x:c r="N32" s="2" t="str">
        <x:v>袁遺</x:v>
      </x:c>
      <x:c r="O32" s="2" t="str">
        <x:v>エンイ</x:v>
      </x:c>
    </x:row>
    <x:row r="33" ht="23" customHeight="1">
      <x:c r="A33" s="13" t="n">
        <x:v>25</x:v>
      </x:c>
      <x:c r="B33" s="2" t="str">
        <x:v>袁胤</x:v>
      </x:c>
      <x:c r="C33" s="2" t="str">
        <x:v>袁胤</x:v>
      </x:c>
      <x:c r="D33" s="2" t="str"/>
      <x:c r="E33" s="13" t="n">
        <x:v>163</x:v>
      </x:c>
      <x:c r="F33" s="13" t="n">
        <x:v>184</x:v>
      </x:c>
      <x:c r="G33" s="13" t="n">
        <x:v>199</x:v>
      </x:c>
      <x:c r="H33" s="2" t="str">
        <x:f>IF(OR($E$4="",NOT(ISNUMBER($E$4)),$E$4&lt;1,$E$4&gt;400),"参考年待填",IF(OR(E33="",F33="",G33=""),"年代待核",IF($E$4&lt;E33,"未出生",IF($E$4&lt;F33,"未登场",IF($E$4&gt;G33,"已过卒年",IF($E$4=G33,"卒年边界待核","年表可登场"))))))</x:f>
        <x:v>已过卒年</x:v>
      </x:c>
      <x:c r="I33" s="12"/>
      <x:c r="J33" s="2" t="str">
        <x:v>SAN14游戏设定</x:v>
      </x:c>
      <x:c r="K33" s="2" t="str"/>
      <x:c r="L33" s="2" t="str">
        <x:v>袁胤</x:v>
      </x:c>
      <x:c r="M33" s="2" t="str">
        <x:v>san14-candidate-0025</x:v>
      </x:c>
      <x:c r="N33" s="2" t="str">
        <x:v>袁胤</x:v>
      </x:c>
      <x:c r="O33" s="2" t="str">
        <x:v>エンイン</x:v>
      </x:c>
    </x:row>
    <x:row r="34" ht="23" customHeight="1">
      <x:c r="A34" s="13" t="n">
        <x:v>26</x:v>
      </x:c>
      <x:c r="B34" s="2" t="str">
        <x:v>阎宇</x:v>
      </x:c>
      <x:c r="C34" s="2" t="str">
        <x:v>閻宇</x:v>
      </x:c>
      <x:c r="D34" s="2" t="str"/>
      <x:c r="E34" s="13" t="n">
        <x:v>209</x:v>
      </x:c>
      <x:c r="F34" s="13" t="n">
        <x:v>228</x:v>
      </x:c>
      <x:c r="G34" s="13" t="n">
        <x:v>264</x:v>
      </x:c>
      <x:c r="H34" s="2" t="str">
        <x:f>IF(OR($E$4="",NOT(ISNUMBER($E$4)),$E$4&lt;1,$E$4&gt;400),"参考年待填",IF(OR(E34="",F34="",G34=""),"年代待核",IF($E$4&lt;E34,"未出生",IF($E$4&lt;F34,"未登场",IF($E$4&gt;G34,"已过卒年",IF($E$4=G34,"卒年边界待核","年表可登场"))))))</x:f>
        <x:v>年表可登场</x:v>
      </x:c>
      <x:c r="I34" s="12"/>
      <x:c r="J34" s="2" t="str">
        <x:v>SAN14游戏设定</x:v>
      </x:c>
      <x:c r="K34" s="2" t="str"/>
      <x:c r="L34" s="2" t="str">
        <x:v>閻宇</x:v>
      </x:c>
      <x:c r="M34" s="2" t="str">
        <x:v>san14-candidate-0026</x:v>
      </x:c>
      <x:c r="N34" s="2" t="str">
        <x:v>閻宇</x:v>
      </x:c>
      <x:c r="O34" s="2" t="str">
        <x:v>エンウ</x:v>
      </x:c>
    </x:row>
    <x:row r="35" ht="23" customHeight="1">
      <x:c r="A35" s="13" t="n">
        <x:v>27</x:v>
      </x:c>
      <x:c r="B35" s="2" t="str">
        <x:v>阎温</x:v>
      </x:c>
      <x:c r="C35" s="2" t="str">
        <x:v>閻溫</x:v>
      </x:c>
      <x:c r="D35" s="2" t="str"/>
      <x:c r="E35" s="13" t="n">
        <x:v>180</x:v>
      </x:c>
      <x:c r="F35" s="13" t="n">
        <x:v>199</x:v>
      </x:c>
      <x:c r="G35" s="13" t="n">
        <x:v>213</x:v>
      </x:c>
      <x:c r="H35" s="2" t="str">
        <x:f>IF(OR($E$4="",NOT(ISNUMBER($E$4)),$E$4&lt;1,$E$4&gt;400),"参考年待填",IF(OR(E35="",F35="",G35=""),"年代待核",IF($E$4&lt;E35,"未出生",IF($E$4&lt;F35,"未登场",IF($E$4&gt;G35,"已过卒年",IF($E$4=G35,"卒年边界待核","年表可登场"))))))</x:f>
        <x:v>已过卒年</x:v>
      </x:c>
      <x:c r="I35" s="12"/>
      <x:c r="J35" s="2" t="str">
        <x:v>SAN14游戏设定</x:v>
      </x:c>
      <x:c r="K35" s="2" t="str"/>
      <x:c r="L35" s="2" t="str">
        <x:v>閻溫</x:v>
      </x:c>
      <x:c r="M35" s="2" t="str">
        <x:v>san14-candidate-0027</x:v>
      </x:c>
      <x:c r="N35" s="2" t="str">
        <x:v>閻温</x:v>
      </x:c>
      <x:c r="O35" s="2" t="str">
        <x:v>エンオン</x:v>
      </x:c>
    </x:row>
    <x:row r="36" ht="23" customHeight="1">
      <x:c r="A36" s="13" t="n">
        <x:v>28</x:v>
      </x:c>
      <x:c r="B36" s="2" t="str">
        <x:v>袁涣</x:v>
      </x:c>
      <x:c r="C36" s="2" t="str">
        <x:v>袁渙</x:v>
      </x:c>
      <x:c r="D36" s="2" t="str"/>
      <x:c r="E36" s="13" t="n">
        <x:v>165</x:v>
      </x:c>
      <x:c r="F36" s="13" t="n">
        <x:v>184</x:v>
      </x:c>
      <x:c r="G36" s="13" t="n">
        <x:v>219</x:v>
      </x:c>
      <x:c r="H36" s="2" t="str">
        <x:f>IF(OR($E$4="",NOT(ISNUMBER($E$4)),$E$4&lt;1,$E$4&gt;400),"参考年待填",IF(OR(E36="",F36="",G36=""),"年代待核",IF($E$4&lt;E36,"未出生",IF($E$4&lt;F36,"未登场",IF($E$4&gt;G36,"已过卒年",IF($E$4=G36,"卒年边界待核","年表可登场"))))))</x:f>
        <x:v>已过卒年</x:v>
      </x:c>
      <x:c r="I36" s="12"/>
      <x:c r="J36" s="2" t="str">
        <x:v>SAN14游戏设定</x:v>
      </x:c>
      <x:c r="K36" s="2" t="str"/>
      <x:c r="L36" s="2" t="str">
        <x:v>袁渙</x:v>
      </x:c>
      <x:c r="M36" s="2" t="str">
        <x:v>san14-candidate-0028</x:v>
      </x:c>
      <x:c r="N36" s="2" t="str">
        <x:v>袁渙</x:v>
      </x:c>
      <x:c r="O36" s="2" t="str">
        <x:v>エンカン</x:v>
      </x:c>
    </x:row>
    <x:row r="37" ht="23" customHeight="1">
      <x:c r="A37" s="13" t="n">
        <x:v>29</x:v>
      </x:c>
      <x:c r="B37" s="2" t="str">
        <x:v>袁熙</x:v>
      </x:c>
      <x:c r="C37" s="2" t="str">
        <x:v>袁熙</x:v>
      </x:c>
      <x:c r="D37" s="2" t="str"/>
      <x:c r="E37" s="13" t="n">
        <x:v>176</x:v>
      </x:c>
      <x:c r="F37" s="13" t="n">
        <x:v>190</x:v>
      </x:c>
      <x:c r="G37" s="13" t="n">
        <x:v>207</x:v>
      </x:c>
      <x:c r="H37" s="2" t="str">
        <x:f>IF(OR($E$4="",NOT(ISNUMBER($E$4)),$E$4&lt;1,$E$4&gt;400),"参考年待填",IF(OR(E37="",F37="",G37=""),"年代待核",IF($E$4&lt;E37,"未出生",IF($E$4&lt;F37,"未登场",IF($E$4&gt;G37,"已过卒年",IF($E$4=G37,"卒年边界待核","年表可登场"))))))</x:f>
        <x:v>已过卒年</x:v>
      </x:c>
      <x:c r="I37" s="12"/>
      <x:c r="J37" s="2" t="str">
        <x:v>SAN14游戏设定</x:v>
      </x:c>
      <x:c r="K37" s="2" t="str"/>
      <x:c r="L37" s="2" t="str">
        <x:v>袁熙</x:v>
      </x:c>
      <x:c r="M37" s="2" t="str">
        <x:v>san14-candidate-0029</x:v>
      </x:c>
      <x:c r="N37" s="2" t="str">
        <x:v>袁煕</x:v>
      </x:c>
      <x:c r="O37" s="2" t="str">
        <x:v>エンキ</x:v>
      </x:c>
    </x:row>
    <x:row r="38" ht="23" customHeight="1">
      <x:c r="A38" s="13" t="n">
        <x:v>30</x:v>
      </x:c>
      <x:c r="B38" s="2" t="str">
        <x:v>阎行</x:v>
      </x:c>
      <x:c r="C38" s="2" t="str">
        <x:v>閻行</x:v>
      </x:c>
      <x:c r="D38" s="2" t="str"/>
      <x:c r="E38" s="13" t="n">
        <x:v>159</x:v>
      </x:c>
      <x:c r="F38" s="13" t="n">
        <x:v>184</x:v>
      </x:c>
      <x:c r="G38" s="13" t="n">
        <x:v>222</x:v>
      </x:c>
      <x:c r="H38" s="2" t="str">
        <x:f>IF(OR($E$4="",NOT(ISNUMBER($E$4)),$E$4&lt;1,$E$4&gt;400),"参考年待填",IF(OR(E38="",F38="",G38=""),"年代待核",IF($E$4&lt;E38,"未出生",IF($E$4&lt;F38,"未登场",IF($E$4&gt;G38,"已过卒年",IF($E$4=G38,"卒年边界待核","年表可登场"))))))</x:f>
        <x:v>已过卒年</x:v>
      </x:c>
      <x:c r="I38" s="12"/>
      <x:c r="J38" s="2" t="str">
        <x:v>SAN14游戏设定</x:v>
      </x:c>
      <x:c r="K38" s="2" t="str"/>
      <x:c r="L38" s="2" t="str">
        <x:v>閻行</x:v>
      </x:c>
      <x:c r="M38" s="2" t="str">
        <x:v>san14-candidate-0030</x:v>
      </x:c>
      <x:c r="N38" s="2" t="str">
        <x:v>閻行</x:v>
      </x:c>
      <x:c r="O38" s="2" t="str">
        <x:v>エンコウ</x:v>
      </x:c>
    </x:row>
    <x:row r="39" ht="23" customHeight="1">
      <x:c r="A39" s="13" t="n">
        <x:v>31</x:v>
      </x:c>
      <x:c r="B39" s="2" t="str">
        <x:v>阎柔</x:v>
      </x:c>
      <x:c r="C39" s="2" t="str">
        <x:v>閻柔</x:v>
      </x:c>
      <x:c r="D39" s="2" t="str"/>
      <x:c r="E39" s="13" t="n">
        <x:v>168</x:v>
      </x:c>
      <x:c r="F39" s="13" t="n">
        <x:v>189</x:v>
      </x:c>
      <x:c r="G39" s="13" t="n">
        <x:v>227</x:v>
      </x:c>
      <x:c r="H39" s="2" t="str">
        <x:f>IF(OR($E$4="",NOT(ISNUMBER($E$4)),$E$4&lt;1,$E$4&gt;400),"参考年待填",IF(OR(E39="",F39="",G39=""),"年代待核",IF($E$4&lt;E39,"未出生",IF($E$4&lt;F39,"未登场",IF($E$4&gt;G39,"已过卒年",IF($E$4=G39,"卒年边界待核","年表可登场"))))))</x:f>
        <x:v>已过卒年</x:v>
      </x:c>
      <x:c r="I39" s="12"/>
      <x:c r="J39" s="2" t="str">
        <x:v>SAN14游戏设定</x:v>
      </x:c>
      <x:c r="K39" s="2" t="str"/>
      <x:c r="L39" s="2" t="str">
        <x:v>閻柔</x:v>
      </x:c>
      <x:c r="M39" s="2" t="str">
        <x:v>san14-candidate-0031</x:v>
      </x:c>
      <x:c r="N39" s="2" t="str">
        <x:v>閻柔</x:v>
      </x:c>
      <x:c r="O39" s="2" t="str">
        <x:v>エンジュウ</x:v>
      </x:c>
    </x:row>
    <x:row r="40" ht="23" customHeight="1">
      <x:c r="A40" s="13" t="n">
        <x:v>32</x:v>
      </x:c>
      <x:c r="B40" s="2" t="str">
        <x:v>袁术</x:v>
      </x:c>
      <x:c r="C40" s="2" t="str">
        <x:v>袁術</x:v>
      </x:c>
      <x:c r="D40" s="2" t="str"/>
      <x:c r="E40" s="13" t="n">
        <x:v>155</x:v>
      </x:c>
      <x:c r="F40" s="13" t="n">
        <x:v>184</x:v>
      </x:c>
      <x:c r="G40" s="13" t="n">
        <x:v>199</x:v>
      </x:c>
      <x:c r="H40" s="2" t="str">
        <x:f>IF(OR($E$4="",NOT(ISNUMBER($E$4)),$E$4&lt;1,$E$4&gt;400),"参考年待填",IF(OR(E40="",F40="",G40=""),"年代待核",IF($E$4&lt;E40,"未出生",IF($E$4&lt;F40,"未登场",IF($E$4&gt;G40,"已过卒年",IF($E$4=G40,"卒年边界待核","年表可登场"))))))</x:f>
        <x:v>已过卒年</x:v>
      </x:c>
      <x:c r="I40" s="12"/>
      <x:c r="J40" s="2" t="str">
        <x:v>SAN14游戏设定</x:v>
      </x:c>
      <x:c r="K40" s="2" t="str"/>
      <x:c r="L40" s="2" t="str">
        <x:v>袁術</x:v>
      </x:c>
      <x:c r="M40" s="2" t="str">
        <x:v>san14-candidate-0032</x:v>
      </x:c>
      <x:c r="N40" s="2" t="str">
        <x:v>袁術</x:v>
      </x:c>
      <x:c r="O40" s="2" t="str">
        <x:v>エンジュツ</x:v>
      </x:c>
    </x:row>
    <x:row r="41" ht="23" customHeight="1">
      <x:c r="A41" s="13" t="n">
        <x:v>33</x:v>
      </x:c>
      <x:c r="B41" s="2" t="str">
        <x:v>袁春卿</x:v>
      </x:c>
      <x:c r="C41" s="2" t="str">
        <x:v>袁春卿</x:v>
      </x:c>
      <x:c r="D41" s="2" t="str"/>
      <x:c r="E41" s="13" t="n">
        <x:v>177</x:v>
      </x:c>
      <x:c r="F41" s="13" t="n">
        <x:v>191</x:v>
      </x:c>
      <x:c r="G41" s="13" t="n">
        <x:v>204</x:v>
      </x:c>
      <x:c r="H41" s="2" t="str">
        <x:f>IF(OR($E$4="",NOT(ISNUMBER($E$4)),$E$4&lt;1,$E$4&gt;400),"参考年待填",IF(OR(E41="",F41="",G41=""),"年代待核",IF($E$4&lt;E41,"未出生",IF($E$4&lt;F41,"未登场",IF($E$4&gt;G41,"已过卒年",IF($E$4=G41,"卒年边界待核","年表可登场"))))))</x:f>
        <x:v>已过卒年</x:v>
      </x:c>
      <x:c r="I41" s="12"/>
      <x:c r="J41" s="2" t="str">
        <x:v>SAN14游戏设定</x:v>
      </x:c>
      <x:c r="K41" s="2" t="str"/>
      <x:c r="L41" s="2" t="str">
        <x:v>袁春卿</x:v>
      </x:c>
      <x:c r="M41" s="2" t="str">
        <x:v>san14-candidate-0033</x:v>
      </x:c>
      <x:c r="N41" s="2" t="str">
        <x:v>袁春卿</x:v>
      </x:c>
      <x:c r="O41" s="2" t="str">
        <x:v>エンシュンケイ</x:v>
      </x:c>
    </x:row>
    <x:row r="42" ht="23" customHeight="1">
      <x:c r="A42" s="13" t="n">
        <x:v>34</x:v>
      </x:c>
      <x:c r="B42" s="2" t="str">
        <x:v>袁尚</x:v>
      </x:c>
      <x:c r="C42" s="2" t="str">
        <x:v>袁尚</x:v>
      </x:c>
      <x:c r="D42" s="2" t="str"/>
      <x:c r="E42" s="13" t="n">
        <x:v>179</x:v>
      </x:c>
      <x:c r="F42" s="13" t="n">
        <x:v>193</x:v>
      </x:c>
      <x:c r="G42" s="13" t="n">
        <x:v>207</x:v>
      </x:c>
      <x:c r="H42" s="2" t="str">
        <x:f>IF(OR($E$4="",NOT(ISNUMBER($E$4)),$E$4&lt;1,$E$4&gt;400),"参考年待填",IF(OR(E42="",F42="",G42=""),"年代待核",IF($E$4&lt;E42,"未出生",IF($E$4&lt;F42,"未登场",IF($E$4&gt;G42,"已过卒年",IF($E$4=G42,"卒年边界待核","年表可登场"))))))</x:f>
        <x:v>已过卒年</x:v>
      </x:c>
      <x:c r="I42" s="12"/>
      <x:c r="J42" s="2" t="str">
        <x:v>SAN14游戏设定</x:v>
      </x:c>
      <x:c r="K42" s="2" t="str"/>
      <x:c r="L42" s="2" t="str">
        <x:v>袁尚</x:v>
      </x:c>
      <x:c r="M42" s="2" t="str">
        <x:v>san14-candidate-0034</x:v>
      </x:c>
      <x:c r="N42" s="2" t="str">
        <x:v>袁尚</x:v>
      </x:c>
      <x:c r="O42" s="2" t="str">
        <x:v>エンショウ</x:v>
      </x:c>
    </x:row>
    <x:row r="43" ht="23" customHeight="1">
      <x:c r="A43" s="13" t="n">
        <x:v>35</x:v>
      </x:c>
      <x:c r="B43" s="2" t="str">
        <x:v>袁绍</x:v>
      </x:c>
      <x:c r="C43" s="2" t="str">
        <x:v>袁紹</x:v>
      </x:c>
      <x:c r="D43" s="2" t="str"/>
      <x:c r="E43" s="13" t="n">
        <x:v>154</x:v>
      </x:c>
      <x:c r="F43" s="13" t="n">
        <x:v>184</x:v>
      </x:c>
      <x:c r="G43" s="13" t="n">
        <x:v>202</x:v>
      </x:c>
      <x:c r="H43" s="2" t="str">
        <x:f>IF(OR($E$4="",NOT(ISNUMBER($E$4)),$E$4&lt;1,$E$4&gt;400),"参考年待填",IF(OR(E43="",F43="",G43=""),"年代待核",IF($E$4&lt;E43,"未出生",IF($E$4&lt;F43,"未登场",IF($E$4&gt;G43,"已过卒年",IF($E$4=G43,"卒年边界待核","年表可登场"))))))</x:f>
        <x:v>已过卒年</x:v>
      </x:c>
      <x:c r="I43" s="12"/>
      <x:c r="J43" s="2" t="str">
        <x:v>SAN14游戏设定</x:v>
      </x:c>
      <x:c r="K43" s="2" t="str"/>
      <x:c r="L43" s="2" t="str">
        <x:v>袁紹</x:v>
      </x:c>
      <x:c r="M43" s="2" t="str">
        <x:v>san14-candidate-0035</x:v>
      </x:c>
      <x:c r="N43" s="2" t="str">
        <x:v>袁紹</x:v>
      </x:c>
      <x:c r="O43" s="2" t="str">
        <x:v>エンショウ</x:v>
      </x:c>
    </x:row>
    <x:row r="44" ht="23" customHeight="1">
      <x:c r="A44" s="13" t="n">
        <x:v>36</x:v>
      </x:c>
      <x:c r="B44" s="2" t="str">
        <x:v>阎象</x:v>
      </x:c>
      <x:c r="C44" s="2" t="str">
        <x:v>閻象</x:v>
      </x:c>
      <x:c r="D44" s="2" t="str"/>
      <x:c r="E44" s="13" t="n">
        <x:v>158</x:v>
      </x:c>
      <x:c r="F44" s="13" t="n">
        <x:v>187</x:v>
      </x:c>
      <x:c r="G44" s="13" t="n">
        <x:v>199</x:v>
      </x:c>
      <x:c r="H44" s="2" t="str">
        <x:f>IF(OR($E$4="",NOT(ISNUMBER($E$4)),$E$4&lt;1,$E$4&gt;400),"参考年待填",IF(OR(E44="",F44="",G44=""),"年代待核",IF($E$4&lt;E44,"未出生",IF($E$4&lt;F44,"未登场",IF($E$4&gt;G44,"已过卒年",IF($E$4=G44,"卒年边界待核","年表可登场"))))))</x:f>
        <x:v>已过卒年</x:v>
      </x:c>
      <x:c r="I44" s="12"/>
      <x:c r="J44" s="2" t="str">
        <x:v>SAN14游戏设定</x:v>
      </x:c>
      <x:c r="K44" s="2" t="str"/>
      <x:c r="L44" s="2" t="str">
        <x:v>閻象</x:v>
      </x:c>
      <x:c r="M44" s="2" t="str">
        <x:v>san14-candidate-0036</x:v>
      </x:c>
      <x:c r="N44" s="2" t="str">
        <x:v>閻象</x:v>
      </x:c>
      <x:c r="O44" s="2" t="str">
        <x:v>エンショウ</x:v>
      </x:c>
    </x:row>
    <x:row r="45" ht="23" customHeight="1">
      <x:c r="A45" s="13" t="n">
        <x:v>37</x:v>
      </x:c>
      <x:c r="B45" s="2" t="str">
        <x:v>袁谭</x:v>
      </x:c>
      <x:c r="C45" s="2" t="str">
        <x:v>袁譚</x:v>
      </x:c>
      <x:c r="D45" s="2" t="str"/>
      <x:c r="E45" s="13" t="n">
        <x:v>173</x:v>
      </x:c>
      <x:c r="F45" s="13" t="n">
        <x:v>187</x:v>
      </x:c>
      <x:c r="G45" s="13" t="n">
        <x:v>205</x:v>
      </x:c>
      <x:c r="H45" s="2" t="str">
        <x:f>IF(OR($E$4="",NOT(ISNUMBER($E$4)),$E$4&lt;1,$E$4&gt;400),"参考年待填",IF(OR(E45="",F45="",G45=""),"年代待核",IF($E$4&lt;E45,"未出生",IF($E$4&lt;F45,"未登场",IF($E$4&gt;G45,"已过卒年",IF($E$4=G45,"卒年边界待核","年表可登场"))))))</x:f>
        <x:v>已过卒年</x:v>
      </x:c>
      <x:c r="I45" s="12"/>
      <x:c r="J45" s="2" t="str">
        <x:v>SAN14游戏设定</x:v>
      </x:c>
      <x:c r="K45" s="2" t="str"/>
      <x:c r="L45" s="2" t="str">
        <x:v>袁譚</x:v>
      </x:c>
      <x:c r="M45" s="2" t="str">
        <x:v>san14-candidate-0037</x:v>
      </x:c>
      <x:c r="N45" s="2" t="str">
        <x:v>袁譚</x:v>
      </x:c>
      <x:c r="O45" s="2" t="str">
        <x:v>エンタン</x:v>
      </x:c>
    </x:row>
    <x:row r="46" ht="23" customHeight="1">
      <x:c r="A46" s="13" t="n">
        <x:v>38</x:v>
      </x:c>
      <x:c r="B46" s="2" t="str">
        <x:v>阎圃</x:v>
      </x:c>
      <x:c r="C46" s="2" t="str">
        <x:v>閻圃</x:v>
      </x:c>
      <x:c r="D46" s="2" t="str"/>
      <x:c r="E46" s="13" t="n">
        <x:v>163</x:v>
      </x:c>
      <x:c r="F46" s="13" t="n">
        <x:v>187</x:v>
      </x:c>
      <x:c r="G46" s="13" t="n">
        <x:v>231</x:v>
      </x:c>
      <x:c r="H46" s="2" t="str">
        <x:f>IF(OR($E$4="",NOT(ISNUMBER($E$4)),$E$4&lt;1,$E$4&gt;400),"参考年待填",IF(OR(E46="",F46="",G46=""),"年代待核",IF($E$4&lt;E46,"未出生",IF($E$4&lt;F46,"未登场",IF($E$4&gt;G46,"已过卒年",IF($E$4=G46,"卒年边界待核","年表可登场"))))))</x:f>
        <x:v>年表可登场</x:v>
      </x:c>
      <x:c r="I46" s="12"/>
      <x:c r="J46" s="2" t="str">
        <x:v>SAN14游戏设定</x:v>
      </x:c>
      <x:c r="K46" s="2" t="str"/>
      <x:c r="L46" s="2" t="str">
        <x:v>閻圃</x:v>
      </x:c>
      <x:c r="M46" s="2" t="str">
        <x:v>san14-candidate-0038</x:v>
      </x:c>
      <x:c r="N46" s="2" t="str">
        <x:v>閻圃</x:v>
      </x:c>
      <x:c r="O46" s="2" t="str">
        <x:v>エンホ</x:v>
      </x:c>
    </x:row>
    <x:row r="47" ht="23" customHeight="1">
      <x:c r="A47" s="13" t="n">
        <x:v>39</x:v>
      </x:c>
      <x:c r="B47" s="2" t="str">
        <x:v>袁燿</x:v>
      </x:c>
      <x:c r="C47" s="2" t="str">
        <x:v>袁燿</x:v>
      </x:c>
      <x:c r="D47" s="2" t="str"/>
      <x:c r="E47" s="13" t="n">
        <x:v>177</x:v>
      </x:c>
      <x:c r="F47" s="13" t="n">
        <x:v>191</x:v>
      </x:c>
      <x:c r="G47" s="13" t="n">
        <x:v>206</x:v>
      </x:c>
      <x:c r="H47" s="2" t="str">
        <x:f>IF(OR($E$4="",NOT(ISNUMBER($E$4)),$E$4&lt;1,$E$4&gt;400),"参考年待填",IF(OR(E47="",F47="",G47=""),"年代待核",IF($E$4&lt;E47,"未出生",IF($E$4&lt;F47,"未登场",IF($E$4&gt;G47,"已过卒年",IF($E$4=G47,"卒年边界待核","年表可登场"))))))</x:f>
        <x:v>已过卒年</x:v>
      </x:c>
      <x:c r="I47" s="12"/>
      <x:c r="J47" s="2" t="str">
        <x:v>SAN14游戏设定</x:v>
      </x:c>
      <x:c r="K47" s="2" t="str"/>
      <x:c r="L47" s="2" t="str">
        <x:v>袁燿</x:v>
      </x:c>
      <x:c r="M47" s="2" t="str">
        <x:v>san14-candidate-0039</x:v>
      </x:c>
      <x:c r="N47" s="2" t="str">
        <x:v>袁燿</x:v>
      </x:c>
      <x:c r="O47" s="2" t="str">
        <x:v>エンヨウ</x:v>
      </x:c>
    </x:row>
    <x:row r="48" ht="23" customHeight="1">
      <x:c r="A48" s="13" t="n">
        <x:v>40</x:v>
      </x:c>
      <x:c r="B48" s="2" t="str">
        <x:v>王威</x:v>
      </x:c>
      <x:c r="C48" s="2" t="str">
        <x:v>王威</x:v>
      </x:c>
      <x:c r="D48" s="2" t="str"/>
      <x:c r="E48" s="13" t="n">
        <x:v>163</x:v>
      </x:c>
      <x:c r="F48" s="13" t="n">
        <x:v>192</x:v>
      </x:c>
      <x:c r="G48" s="13" t="n">
        <x:v>208</x:v>
      </x:c>
      <x:c r="H48" s="2" t="str">
        <x:f>IF(OR($E$4="",NOT(ISNUMBER($E$4)),$E$4&lt;1,$E$4&gt;400),"参考年待填",IF(OR(E48="",F48="",G48=""),"年代待核",IF($E$4&lt;E48,"未出生",IF($E$4&lt;F48,"未登场",IF($E$4&gt;G48,"已过卒年",IF($E$4=G48,"卒年边界待核","年表可登场"))))))</x:f>
        <x:v>已过卒年</x:v>
      </x:c>
      <x:c r="I48" s="12"/>
      <x:c r="J48" s="2" t="str">
        <x:v>SAN14游戏设定</x:v>
      </x:c>
      <x:c r="K48" s="2" t="str"/>
      <x:c r="L48" s="2" t="str">
        <x:v>王威</x:v>
      </x:c>
      <x:c r="M48" s="2" t="str">
        <x:v>san14-candidate-0040</x:v>
      </x:c>
      <x:c r="N48" s="2" t="str">
        <x:v>王威</x:v>
      </x:c>
      <x:c r="O48" s="2" t="str">
        <x:v>オウイ</x:v>
      </x:c>
    </x:row>
    <x:row r="49" ht="23" customHeight="1">
      <x:c r="A49" s="13" t="n">
        <x:v>41</x:v>
      </x:c>
      <x:c r="B49" s="2" t="str">
        <x:v>王异</x:v>
      </x:c>
      <x:c r="C49" s="2" t="str">
        <x:v>王異</x:v>
      </x:c>
      <x:c r="D49" s="2" t="str"/>
      <x:c r="E49" s="13" t="n">
        <x:v>177</x:v>
      </x:c>
      <x:c r="F49" s="13" t="n">
        <x:v>196</x:v>
      </x:c>
      <x:c r="G49" s="13" t="n">
        <x:v>235</x:v>
      </x:c>
      <x:c r="H49" s="2" t="str">
        <x:f>IF(OR($E$4="",NOT(ISNUMBER($E$4)),$E$4&lt;1,$E$4&gt;400),"参考年待填",IF(OR(E49="",F49="",G49=""),"年代待核",IF($E$4&lt;E49,"未出生",IF($E$4&lt;F49,"未登场",IF($E$4&gt;G49,"已过卒年",IF($E$4=G49,"卒年边界待核","年表可登场"))))))</x:f>
        <x:v>年表可登场</x:v>
      </x:c>
      <x:c r="I49" s="12"/>
      <x:c r="J49" s="2" t="str">
        <x:v>SAN14游戏设定</x:v>
      </x:c>
      <x:c r="K49" s="2" t="str"/>
      <x:c r="L49" s="2" t="str">
        <x:v>王異</x:v>
      </x:c>
      <x:c r="M49" s="2" t="str">
        <x:v>san14-candidate-0041</x:v>
      </x:c>
      <x:c r="N49" s="2" t="str">
        <x:v>王異</x:v>
      </x:c>
      <x:c r="O49" s="2" t="str">
        <x:v>オウイ</x:v>
      </x:c>
    </x:row>
    <x:row r="50" ht="23" customHeight="1">
      <x:c r="A50" s="13" t="n">
        <x:v>42</x:v>
      </x:c>
      <x:c r="B50" s="2" t="str">
        <x:v>王允</x:v>
      </x:c>
      <x:c r="C50" s="2" t="str">
        <x:v>王允</x:v>
      </x:c>
      <x:c r="D50" s="2" t="str"/>
      <x:c r="E50" s="13" t="n">
        <x:v>137</x:v>
      </x:c>
      <x:c r="F50" s="13" t="n">
        <x:v>184</x:v>
      </x:c>
      <x:c r="G50" s="13" t="n">
        <x:v>192</x:v>
      </x:c>
      <x:c r="H50" s="2" t="str">
        <x:f>IF(OR($E$4="",NOT(ISNUMBER($E$4)),$E$4&lt;1,$E$4&gt;400),"参考年待填",IF(OR(E50="",F50="",G50=""),"年代待核",IF($E$4&lt;E50,"未出生",IF($E$4&lt;F50,"未登场",IF($E$4&gt;G50,"已过卒年",IF($E$4=G50,"卒年边界待核","年表可登场"))))))</x:f>
        <x:v>已过卒年</x:v>
      </x:c>
      <x:c r="I50" s="12"/>
      <x:c r="J50" s="2" t="str">
        <x:v>SAN14游戏设定</x:v>
      </x:c>
      <x:c r="K50" s="2" t="str"/>
      <x:c r="L50" s="2" t="str">
        <x:v>王允</x:v>
      </x:c>
      <x:c r="M50" s="2" t="str">
        <x:v>san14-candidate-0042</x:v>
      </x:c>
      <x:c r="N50" s="2" t="str">
        <x:v>王允</x:v>
      </x:c>
      <x:c r="O50" s="2" t="str">
        <x:v>オウイン</x:v>
      </x:c>
    </x:row>
    <x:row r="51" ht="23" customHeight="1">
      <x:c r="A51" s="13" t="n">
        <x:v>43</x:v>
      </x:c>
      <x:c r="B51" s="2" t="str">
        <x:v>王楷</x:v>
      </x:c>
      <x:c r="C51" s="2" t="str">
        <x:v>王楷</x:v>
      </x:c>
      <x:c r="D51" s="2" t="str"/>
      <x:c r="E51" s="13" t="n">
        <x:v>163</x:v>
      </x:c>
      <x:c r="F51" s="13" t="n">
        <x:v>187</x:v>
      </x:c>
      <x:c r="G51" s="13" t="n">
        <x:v>199</x:v>
      </x:c>
      <x:c r="H51" s="2" t="str">
        <x:f>IF(OR($E$4="",NOT(ISNUMBER($E$4)),$E$4&lt;1,$E$4&gt;400),"参考年待填",IF(OR(E51="",F51="",G51=""),"年代待核",IF($E$4&lt;E51,"未出生",IF($E$4&lt;F51,"未登场",IF($E$4&gt;G51,"已过卒年",IF($E$4=G51,"卒年边界待核","年表可登场"))))))</x:f>
        <x:v>已过卒年</x:v>
      </x:c>
      <x:c r="I51" s="12"/>
      <x:c r="J51" s="2" t="str">
        <x:v>SAN14游戏设定</x:v>
      </x:c>
      <x:c r="K51" s="2" t="str"/>
      <x:c r="L51" s="2" t="str">
        <x:v>王楷</x:v>
      </x:c>
      <x:c r="M51" s="2" t="str">
        <x:v>san14-candidate-0043</x:v>
      </x:c>
      <x:c r="N51" s="2" t="str">
        <x:v>王楷</x:v>
      </x:c>
      <x:c r="O51" s="2" t="str">
        <x:v>オウカイ</x:v>
      </x:c>
    </x:row>
    <x:row r="52" ht="23" customHeight="1">
      <x:c r="A52" s="13" t="n">
        <x:v>44</x:v>
      </x:c>
      <x:c r="B52" s="2" t="str">
        <x:v>王观</x:v>
      </x:c>
      <x:c r="C52" s="2" t="str">
        <x:v>王觀</x:v>
      </x:c>
      <x:c r="D52" s="2" t="str"/>
      <x:c r="E52" s="13" t="n">
        <x:v>177</x:v>
      </x:c>
      <x:c r="F52" s="13" t="n">
        <x:v>196</x:v>
      </x:c>
      <x:c r="G52" s="13" t="n">
        <x:v>263</x:v>
      </x:c>
      <x:c r="H52" s="2" t="str">
        <x:f>IF(OR($E$4="",NOT(ISNUMBER($E$4)),$E$4&lt;1,$E$4&gt;400),"参考年待填",IF(OR(E52="",F52="",G52=""),"年代待核",IF($E$4&lt;E52,"未出生",IF($E$4&lt;F52,"未登场",IF($E$4&gt;G52,"已过卒年",IF($E$4=G52,"卒年边界待核","年表可登场"))))))</x:f>
        <x:v>年表可登场</x:v>
      </x:c>
      <x:c r="I52" s="12"/>
      <x:c r="J52" s="2" t="str">
        <x:v>SAN14游戏设定</x:v>
      </x:c>
      <x:c r="K52" s="2" t="str"/>
      <x:c r="L52" s="2" t="str">
        <x:v>王觀</x:v>
      </x:c>
      <x:c r="M52" s="2" t="str">
        <x:v>san14-candidate-0044</x:v>
      </x:c>
      <x:c r="N52" s="2" t="str">
        <x:v>王観</x:v>
      </x:c>
      <x:c r="O52" s="2" t="str">
        <x:v>オウカン</x:v>
      </x:c>
    </x:row>
    <x:row r="53" ht="23" customHeight="1">
      <x:c r="A53" s="13" t="n">
        <x:v>45</x:v>
      </x:c>
      <x:c r="B53" s="2" t="str">
        <x:v>王基</x:v>
      </x:c>
      <x:c r="C53" s="2" t="str">
        <x:v>王基</x:v>
      </x:c>
      <x:c r="D53" s="2" t="str"/>
      <x:c r="E53" s="13" t="n">
        <x:v>190</x:v>
      </x:c>
      <x:c r="F53" s="13" t="n">
        <x:v>219</x:v>
      </x:c>
      <x:c r="G53" s="13" t="n">
        <x:v>261</x:v>
      </x:c>
      <x:c r="H53" s="2" t="str">
        <x:f>IF(OR($E$4="",NOT(ISNUMBER($E$4)),$E$4&lt;1,$E$4&gt;400),"参考年待填",IF(OR(E53="",F53="",G53=""),"年代待核",IF($E$4&lt;E53,"未出生",IF($E$4&lt;F53,"未登场",IF($E$4&gt;G53,"已过卒年",IF($E$4=G53,"卒年边界待核","年表可登场"))))))</x:f>
        <x:v>年表可登场</x:v>
      </x:c>
      <x:c r="I53" s="12"/>
      <x:c r="J53" s="2" t="str">
        <x:v>SAN14游戏设定</x:v>
      </x:c>
      <x:c r="K53" s="2" t="str"/>
      <x:c r="L53" s="2" t="str">
        <x:v>王基</x:v>
      </x:c>
      <x:c r="M53" s="2" t="str">
        <x:v>san14-candidate-0045</x:v>
      </x:c>
      <x:c r="N53" s="2" t="str">
        <x:v>王基</x:v>
      </x:c>
      <x:c r="O53" s="2" t="str">
        <x:v>オウキ</x:v>
      </x:c>
    </x:row>
    <x:row r="54" ht="23" customHeight="1">
      <x:c r="A54" s="13" t="n">
        <x:v>46</x:v>
      </x:c>
      <x:c r="B54" s="2" t="str">
        <x:v>王颀</x:v>
      </x:c>
      <x:c r="C54" s="2" t="str">
        <x:v>王頎</x:v>
      </x:c>
      <x:c r="D54" s="2" t="str"/>
      <x:c r="E54" s="13" t="n">
        <x:v>217</x:v>
      </x:c>
      <x:c r="F54" s="13" t="n">
        <x:v>236</x:v>
      </x:c>
      <x:c r="G54" s="13" t="n">
        <x:v>281</x:v>
      </x:c>
      <x:c r="H54" s="2" t="str">
        <x:f>IF(OR($E$4="",NOT(ISNUMBER($E$4)),$E$4&lt;1,$E$4&gt;400),"参考年待填",IF(OR(E54="",F54="",G54=""),"年代待核",IF($E$4&lt;E54,"未出生",IF($E$4&lt;F54,"未登场",IF($E$4&gt;G54,"已过卒年",IF($E$4=G54,"卒年边界待核","年表可登场"))))))</x:f>
        <x:v>未登场</x:v>
      </x:c>
      <x:c r="I54" s="12"/>
      <x:c r="J54" s="2" t="str">
        <x:v>SAN14游戏设定</x:v>
      </x:c>
      <x:c r="K54" s="2" t="str"/>
      <x:c r="L54" s="2" t="str">
        <x:v>王頎</x:v>
      </x:c>
      <x:c r="M54" s="2" t="str">
        <x:v>san14-candidate-0046</x:v>
      </x:c>
      <x:c r="N54" s="2" t="str">
        <x:v>王キ</x:v>
      </x:c>
      <x:c r="O54" s="2" t="str">
        <x:v>オウキ</x:v>
      </x:c>
    </x:row>
    <x:row r="55" ht="23" customHeight="1">
      <x:c r="A55" s="13" t="n">
        <x:v>47</x:v>
      </x:c>
      <x:c r="B55" s="2" t="str">
        <x:v>王匡</x:v>
      </x:c>
      <x:c r="C55" s="2" t="str">
        <x:v>王匡</x:v>
      </x:c>
      <x:c r="D55" s="2" t="str"/>
      <x:c r="E55" s="13" t="n">
        <x:v>150</x:v>
      </x:c>
      <x:c r="F55" s="13" t="n">
        <x:v>184</x:v>
      </x:c>
      <x:c r="G55" s="13" t="n">
        <x:v>190</x:v>
      </x:c>
      <x:c r="H55" s="2" t="str">
        <x:f>IF(OR($E$4="",NOT(ISNUMBER($E$4)),$E$4&lt;1,$E$4&gt;400),"参考年待填",IF(OR(E55="",F55="",G55=""),"年代待核",IF($E$4&lt;E55,"未出生",IF($E$4&lt;F55,"未登场",IF($E$4&gt;G55,"已过卒年",IF($E$4=G55,"卒年边界待核","年表可登场"))))))</x:f>
        <x:v>已过卒年</x:v>
      </x:c>
      <x:c r="I55" s="12"/>
      <x:c r="J55" s="2" t="str">
        <x:v>SAN14游戏设定</x:v>
      </x:c>
      <x:c r="K55" s="2" t="str"/>
      <x:c r="L55" s="2" t="str">
        <x:v>王匡</x:v>
      </x:c>
      <x:c r="M55" s="2" t="str">
        <x:v>san14-candidate-0047</x:v>
      </x:c>
      <x:c r="N55" s="2" t="str">
        <x:v>王匡</x:v>
      </x:c>
      <x:c r="O55" s="2" t="str">
        <x:v>オウキョウ</x:v>
      </x:c>
    </x:row>
    <x:row r="56" ht="23" customHeight="1">
      <x:c r="A56" s="13" t="n">
        <x:v>48</x:v>
      </x:c>
      <x:c r="B56" s="2" t="str">
        <x:v>王业</x:v>
      </x:c>
      <x:c r="C56" s="2" t="str">
        <x:v>王業</x:v>
      </x:c>
      <x:c r="D56" s="2" t="str"/>
      <x:c r="E56" s="13" t="n">
        <x:v>220</x:v>
      </x:c>
      <x:c r="F56" s="13" t="n">
        <x:v>239</x:v>
      </x:c>
      <x:c r="G56" s="13" t="n">
        <x:v>280</x:v>
      </x:c>
      <x:c r="H56" s="2" t="str">
        <x:f>IF(OR($E$4="",NOT(ISNUMBER($E$4)),$E$4&lt;1,$E$4&gt;400),"参考年待填",IF(OR(E56="",F56="",G56=""),"年代待核",IF($E$4&lt;E56,"未出生",IF($E$4&lt;F56,"未登场",IF($E$4&gt;G56,"已过卒年",IF($E$4=G56,"卒年边界待核","年表可登场"))))))</x:f>
        <x:v>未登场</x:v>
      </x:c>
      <x:c r="I56" s="12"/>
      <x:c r="J56" s="2" t="str">
        <x:v>SAN14游戏设定</x:v>
      </x:c>
      <x:c r="K56" s="2" t="str"/>
      <x:c r="L56" s="2" t="str">
        <x:v>王業</x:v>
      </x:c>
      <x:c r="M56" s="2" t="str">
        <x:v>san14-candidate-0048</x:v>
      </x:c>
      <x:c r="N56" s="2" t="str">
        <x:v>王業</x:v>
      </x:c>
      <x:c r="O56" s="2" t="str">
        <x:v>オウギョウ</x:v>
      </x:c>
    </x:row>
    <x:row r="57" ht="23" customHeight="1">
      <x:c r="A57" s="13" t="n">
        <x:v>49</x:v>
      </x:c>
      <x:c r="B57" s="2" t="str">
        <x:v>王经</x:v>
      </x:c>
      <x:c r="C57" s="2" t="str">
        <x:v>王經</x:v>
      </x:c>
      <x:c r="D57" s="2" t="str"/>
      <x:c r="E57" s="13" t="n">
        <x:v>206</x:v>
      </x:c>
      <x:c r="F57" s="13" t="n">
        <x:v>225</x:v>
      </x:c>
      <x:c r="G57" s="13" t="n">
        <x:v>260</x:v>
      </x:c>
      <x:c r="H57" s="2" t="str">
        <x:f>IF(OR($E$4="",NOT(ISNUMBER($E$4)),$E$4&lt;1,$E$4&gt;400),"参考年待填",IF(OR(E57="",F57="",G57=""),"年代待核",IF($E$4&lt;E57,"未出生",IF($E$4&lt;F57,"未登场",IF($E$4&gt;G57,"已过卒年",IF($E$4=G57,"卒年边界待核","年表可登场"))))))</x:f>
        <x:v>年表可登场</x:v>
      </x:c>
      <x:c r="I57" s="12"/>
      <x:c r="J57" s="2" t="str">
        <x:v>SAN14游戏设定</x:v>
      </x:c>
      <x:c r="K57" s="2" t="str"/>
      <x:c r="L57" s="2" t="str">
        <x:v>王經</x:v>
      </x:c>
      <x:c r="M57" s="2" t="str">
        <x:v>san14-candidate-0049</x:v>
      </x:c>
      <x:c r="N57" s="2" t="str">
        <x:v>王経</x:v>
      </x:c>
      <x:c r="O57" s="2" t="str">
        <x:v>オウケイ</x:v>
      </x:c>
    </x:row>
    <x:row r="58" ht="23" customHeight="1">
      <x:c r="A58" s="13" t="n">
        <x:v>50</x:v>
      </x:c>
      <x:c r="B58" s="2" t="str">
        <x:v>王元姬</x:v>
      </x:c>
      <x:c r="C58" s="2" t="str">
        <x:v>王元姬</x:v>
      </x:c>
      <x:c r="D58" s="2" t="str"/>
      <x:c r="E58" s="13" t="n">
        <x:v>217</x:v>
      </x:c>
      <x:c r="F58" s="13" t="n">
        <x:v>231</x:v>
      </x:c>
      <x:c r="G58" s="13" t="n">
        <x:v>268</x:v>
      </x:c>
      <x:c r="H58" s="2" t="str">
        <x:f>IF(OR($E$4="",NOT(ISNUMBER($E$4)),$E$4&lt;1,$E$4&gt;400),"参考年待填",IF(OR(E58="",F58="",G58=""),"年代待核",IF($E$4&lt;E58,"未出生",IF($E$4&lt;F58,"未登场",IF($E$4&gt;G58,"已过卒年",IF($E$4=G58,"卒年边界待核","年表可登场"))))))</x:f>
        <x:v>未登场</x:v>
      </x:c>
      <x:c r="I58" s="12"/>
      <x:c r="J58" s="2" t="str">
        <x:v>SAN14游戏设定</x:v>
      </x:c>
      <x:c r="K58" s="2" t="str"/>
      <x:c r="L58" s="2" t="str">
        <x:v>王元姬</x:v>
      </x:c>
      <x:c r="M58" s="2" t="str">
        <x:v>san14-candidate-0050</x:v>
      </x:c>
      <x:c r="N58" s="2" t="str">
        <x:v>王元姫</x:v>
      </x:c>
      <x:c r="O58" s="2" t="str">
        <x:v>オウゲンキ</x:v>
      </x:c>
    </x:row>
    <x:row r="59" ht="23" customHeight="1">
      <x:c r="A59" s="13" t="n">
        <x:v>51</x:v>
      </x:c>
      <x:c r="B59" s="2" t="str">
        <x:v>王伉</x:v>
      </x:c>
      <x:c r="C59" s="2" t="str">
        <x:v>王伉</x:v>
      </x:c>
      <x:c r="D59" s="2" t="str"/>
      <x:c r="E59" s="13" t="n">
        <x:v>184</x:v>
      </x:c>
      <x:c r="F59" s="13" t="n">
        <x:v>213</x:v>
      </x:c>
      <x:c r="G59" s="13" t="n">
        <x:v>254</x:v>
      </x:c>
      <x:c r="H59" s="2" t="str">
        <x:f>IF(OR($E$4="",NOT(ISNUMBER($E$4)),$E$4&lt;1,$E$4&gt;400),"参考年待填",IF(OR(E59="",F59="",G59=""),"年代待核",IF($E$4&lt;E59,"未出生",IF($E$4&lt;F59,"未登场",IF($E$4&gt;G59,"已过卒年",IF($E$4=G59,"卒年边界待核","年表可登场"))))))</x:f>
        <x:v>年表可登场</x:v>
      </x:c>
      <x:c r="I59" s="12"/>
      <x:c r="J59" s="2" t="str">
        <x:v>SAN14游戏设定</x:v>
      </x:c>
      <x:c r="K59" s="2" t="str"/>
      <x:c r="L59" s="2" t="str">
        <x:v>王伉</x:v>
      </x:c>
      <x:c r="M59" s="2" t="str">
        <x:v>san14-candidate-0051</x:v>
      </x:c>
      <x:c r="N59" s="2" t="str">
        <x:v>王伉</x:v>
      </x:c>
      <x:c r="O59" s="2" t="str">
        <x:v>オウコウ</x:v>
      </x:c>
    </x:row>
    <x:row r="60" ht="23" customHeight="1">
      <x:c r="A60" s="13" t="n">
        <x:v>52</x:v>
      </x:c>
      <x:c r="B60" s="2" t="str">
        <x:v>王浑</x:v>
      </x:c>
      <x:c r="C60" s="2" t="str">
        <x:v>王渾</x:v>
      </x:c>
      <x:c r="D60" s="2" t="str"/>
      <x:c r="E60" s="13" t="n">
        <x:v>223</x:v>
      </x:c>
      <x:c r="F60" s="13" t="n">
        <x:v>240</x:v>
      </x:c>
      <x:c r="G60" s="13" t="n">
        <x:v>297</x:v>
      </x:c>
      <x:c r="H60" s="2" t="str">
        <x:f>IF(OR($E$4="",NOT(ISNUMBER($E$4)),$E$4&lt;1,$E$4&gt;400),"参考年待填",IF(OR(E60="",F60="",G60=""),"年代待核",IF($E$4&lt;E60,"未出生",IF($E$4&lt;F60,"未登场",IF($E$4&gt;G60,"已过卒年",IF($E$4=G60,"卒年边界待核","年表可登场"))))))</x:f>
        <x:v>未登场</x:v>
      </x:c>
      <x:c r="I60" s="12"/>
      <x:c r="J60" s="2" t="str">
        <x:v>SAN14游戏设定</x:v>
      </x:c>
      <x:c r="K60" s="2" t="str"/>
      <x:c r="L60" s="2" t="str">
        <x:v>王渾</x:v>
      </x:c>
      <x:c r="M60" s="2" t="str">
        <x:v>san14-candidate-0052</x:v>
      </x:c>
      <x:c r="N60" s="2" t="str">
        <x:v>王渾</x:v>
      </x:c>
      <x:c r="O60" s="2" t="str">
        <x:v>オウコン</x:v>
      </x:c>
    </x:row>
    <x:row r="61" ht="23" customHeight="1">
      <x:c r="A61" s="13" t="n">
        <x:v>53</x:v>
      </x:c>
      <x:c r="B61" s="2" t="str">
        <x:v>王粲</x:v>
      </x:c>
      <x:c r="C61" s="2" t="str">
        <x:v>王粲</x:v>
      </x:c>
      <x:c r="D61" s="2" t="str"/>
      <x:c r="E61" s="13" t="n">
        <x:v>177</x:v>
      </x:c>
      <x:c r="F61" s="13" t="n">
        <x:v>193</x:v>
      </x:c>
      <x:c r="G61" s="13" t="n">
        <x:v>217</x:v>
      </x:c>
      <x:c r="H61" s="2" t="str">
        <x:f>IF(OR($E$4="",NOT(ISNUMBER($E$4)),$E$4&lt;1,$E$4&gt;400),"参考年待填",IF(OR(E61="",F61="",G61=""),"年代待核",IF($E$4&lt;E61,"未出生",IF($E$4&lt;F61,"未登场",IF($E$4&gt;G61,"已过卒年",IF($E$4=G61,"卒年边界待核","年表可登场"))))))</x:f>
        <x:v>已过卒年</x:v>
      </x:c>
      <x:c r="I61" s="12"/>
      <x:c r="J61" s="2" t="str">
        <x:v>SAN14游戏设定</x:v>
      </x:c>
      <x:c r="K61" s="2" t="str"/>
      <x:c r="L61" s="2" t="str">
        <x:v>王粲</x:v>
      </x:c>
      <x:c r="M61" s="2" t="str">
        <x:v>san14-candidate-0053</x:v>
      </x:c>
      <x:c r="N61" s="2" t="str">
        <x:v>王粲</x:v>
      </x:c>
      <x:c r="O61" s="2" t="str">
        <x:v>オウサン</x:v>
      </x:c>
    </x:row>
    <x:row r="62" ht="23" customHeight="1">
      <x:c r="A62" s="13" t="n">
        <x:v>54</x:v>
      </x:c>
      <x:c r="B62" s="2" t="str">
        <x:v>王嗣</x:v>
      </x:c>
      <x:c r="C62" s="2" t="str">
        <x:v>王嗣</x:v>
      </x:c>
      <x:c r="D62" s="2" t="str"/>
      <x:c r="E62" s="13" t="n">
        <x:v>219</x:v>
      </x:c>
      <x:c r="F62" s="13" t="n">
        <x:v>238</x:v>
      </x:c>
      <x:c r="G62" s="13" t="n">
        <x:v>256</x:v>
      </x:c>
      <x:c r="H62" s="2" t="str">
        <x:f>IF(OR($E$4="",NOT(ISNUMBER($E$4)),$E$4&lt;1,$E$4&gt;400),"参考年待填",IF(OR(E62="",F62="",G62=""),"年代待核",IF($E$4&lt;E62,"未出生",IF($E$4&lt;F62,"未登场",IF($E$4&gt;G62,"已过卒年",IF($E$4=G62,"卒年边界待核","年表可登场"))))))</x:f>
        <x:v>未登场</x:v>
      </x:c>
      <x:c r="I62" s="12"/>
      <x:c r="J62" s="2" t="str">
        <x:v>SAN14游戏设定</x:v>
      </x:c>
      <x:c r="K62" s="2" t="str"/>
      <x:c r="L62" s="2" t="str">
        <x:v>王嗣</x:v>
      </x:c>
      <x:c r="M62" s="2" t="str">
        <x:v>san14-candidate-0054</x:v>
      </x:c>
      <x:c r="N62" s="2" t="str">
        <x:v>王嗣</x:v>
      </x:c>
      <x:c r="O62" s="2" t="str">
        <x:v>オウシ</x:v>
      </x:c>
    </x:row>
    <x:row r="63" ht="23" customHeight="1">
      <x:c r="A63" s="13" t="n">
        <x:v>55</x:v>
      </x:c>
      <x:c r="B63" s="2" t="str">
        <x:v>王思</x:v>
      </x:c>
      <x:c r="C63" s="2" t="str">
        <x:v>王思</x:v>
      </x:c>
      <x:c r="D63" s="2" t="str"/>
      <x:c r="E63" s="13" t="n">
        <x:v>168</x:v>
      </x:c>
      <x:c r="F63" s="13" t="n">
        <x:v>187</x:v>
      </x:c>
      <x:c r="G63" s="13" t="n">
        <x:v>246</x:v>
      </x:c>
      <x:c r="H63" s="2" t="str">
        <x:f>IF(OR($E$4="",NOT(ISNUMBER($E$4)),$E$4&lt;1,$E$4&gt;400),"参考年待填",IF(OR(E63="",F63="",G63=""),"年代待核",IF($E$4&lt;E63,"未出生",IF($E$4&lt;F63,"未登场",IF($E$4&gt;G63,"已过卒年",IF($E$4=G63,"卒年边界待核","年表可登场"))))))</x:f>
        <x:v>年表可登场</x:v>
      </x:c>
      <x:c r="I63" s="12"/>
      <x:c r="J63" s="2" t="str">
        <x:v>SAN14游戏设定</x:v>
      </x:c>
      <x:c r="K63" s="2" t="str"/>
      <x:c r="L63" s="2" t="str">
        <x:v>王思</x:v>
      </x:c>
      <x:c r="M63" s="2" t="str">
        <x:v>san14-candidate-0055</x:v>
      </x:c>
      <x:c r="N63" s="2" t="str">
        <x:v>王思</x:v>
      </x:c>
      <x:c r="O63" s="2" t="str">
        <x:v>オウシ</x:v>
      </x:c>
    </x:row>
    <x:row r="64" ht="23" customHeight="1">
      <x:c r="A64" s="13" t="n">
        <x:v>56</x:v>
      </x:c>
      <x:c r="B64" s="2" t="str">
        <x:v>王子服</x:v>
      </x:c>
      <x:c r="C64" s="2" t="str">
        <x:v>王子服</x:v>
      </x:c>
      <x:c r="D64" s="2" t="str"/>
      <x:c r="E64" s="13" t="n">
        <x:v>160</x:v>
      </x:c>
      <x:c r="F64" s="13" t="n">
        <x:v>184</x:v>
      </x:c>
      <x:c r="G64" s="13" t="n">
        <x:v>200</x:v>
      </x:c>
      <x:c r="H64" s="2" t="str">
        <x:f>IF(OR($E$4="",NOT(ISNUMBER($E$4)),$E$4&lt;1,$E$4&gt;400),"参考年待填",IF(OR(E64="",F64="",G64=""),"年代待核",IF($E$4&lt;E64,"未出生",IF($E$4&lt;F64,"未登场",IF($E$4&gt;G64,"已过卒年",IF($E$4=G64,"卒年边界待核","年表可登场"))))))</x:f>
        <x:v>已过卒年</x:v>
      </x:c>
      <x:c r="I64" s="12"/>
      <x:c r="J64" s="2" t="str">
        <x:v>SAN14游戏设定</x:v>
      </x:c>
      <x:c r="K64" s="2" t="str"/>
      <x:c r="L64" s="2" t="str">
        <x:v>王子服</x:v>
      </x:c>
      <x:c r="M64" s="2" t="str">
        <x:v>san14-candidate-0056</x:v>
      </x:c>
      <x:c r="N64" s="2" t="str">
        <x:v>王子服</x:v>
      </x:c>
      <x:c r="O64" s="2" t="str">
        <x:v>オウシフク</x:v>
      </x:c>
    </x:row>
    <x:row r="65" ht="23" customHeight="1">
      <x:c r="A65" s="13" t="n">
        <x:v>57</x:v>
      </x:c>
      <x:c r="B65" s="2" t="str">
        <x:v>王修</x:v>
      </x:c>
      <x:c r="C65" s="2" t="str">
        <x:v>王脩</x:v>
      </x:c>
      <x:c r="D65" s="2" t="str"/>
      <x:c r="E65" s="13" t="n">
        <x:v>168</x:v>
      </x:c>
      <x:c r="F65" s="13" t="n">
        <x:v>187</x:v>
      </x:c>
      <x:c r="G65" s="13" t="n">
        <x:v>218</x:v>
      </x:c>
      <x:c r="H65" s="2" t="str">
        <x:f>IF(OR($E$4="",NOT(ISNUMBER($E$4)),$E$4&lt;1,$E$4&gt;400),"参考年待填",IF(OR(E65="",F65="",G65=""),"年代待核",IF($E$4&lt;E65,"未出生",IF($E$4&lt;F65,"未登场",IF($E$4&gt;G65,"已过卒年",IF($E$4=G65,"卒年边界待核","年表可登场"))))))</x:f>
        <x:v>已过卒年</x:v>
      </x:c>
      <x:c r="I65" s="12"/>
      <x:c r="J65" s="2" t="str">
        <x:v>SAN14游戏设定</x:v>
      </x:c>
      <x:c r="K65" s="2" t="str"/>
      <x:c r="L65" s="2" t="str">
        <x:v>王脩</x:v>
      </x:c>
      <x:c r="M65" s="2" t="str">
        <x:v>san14-candidate-0057</x:v>
      </x:c>
      <x:c r="N65" s="2" t="str">
        <x:v>王脩</x:v>
      </x:c>
      <x:c r="O65" s="2" t="str">
        <x:v>オウシュウ</x:v>
      </x:c>
    </x:row>
    <x:row r="66" ht="23" customHeight="1">
      <x:c r="A66" s="13" t="n">
        <x:v>58</x:v>
      </x:c>
      <x:c r="B66" s="2" t="str">
        <x:v>王戎</x:v>
      </x:c>
      <x:c r="C66" s="2" t="str">
        <x:v>王戎</x:v>
      </x:c>
      <x:c r="D66" s="2" t="str"/>
      <x:c r="E66" s="13" t="n">
        <x:v>234</x:v>
      </x:c>
      <x:c r="F66" s="13" t="n">
        <x:v>253</x:v>
      </x:c>
      <x:c r="G66" s="13" t="n">
        <x:v>305</x:v>
      </x:c>
      <x:c r="H66" s="2" t="str">
        <x:f>IF(OR($E$4="",NOT(ISNUMBER($E$4)),$E$4&lt;1,$E$4&gt;400),"参考年待填",IF(OR(E66="",F66="",G66=""),"年代待核",IF($E$4&lt;E66,"未出生",IF($E$4&lt;F66,"未登场",IF($E$4&gt;G66,"已过卒年",IF($E$4=G66,"卒年边界待核","年表可登场"))))))</x:f>
        <x:v>未出生</x:v>
      </x:c>
      <x:c r="I66" s="12"/>
      <x:c r="J66" s="2" t="str">
        <x:v>SAN14游戏设定</x:v>
      </x:c>
      <x:c r="K66" s="2" t="str"/>
      <x:c r="L66" s="2" t="str">
        <x:v>王戎</x:v>
      </x:c>
      <x:c r="M66" s="2" t="str">
        <x:v>san14-candidate-0058</x:v>
      </x:c>
      <x:c r="N66" s="2" t="str">
        <x:v>王戎</x:v>
      </x:c>
      <x:c r="O66" s="2" t="str">
        <x:v>オウジュウ</x:v>
      </x:c>
    </x:row>
    <x:row r="67" ht="23" customHeight="1">
      <x:c r="A67" s="13" t="n">
        <x:v>59</x:v>
      </x:c>
      <x:c r="B67" s="2" t="str">
        <x:v>王肃</x:v>
      </x:c>
      <x:c r="C67" s="2" t="str">
        <x:v>王肅</x:v>
      </x:c>
      <x:c r="D67" s="2" t="str"/>
      <x:c r="E67" s="13" t="n">
        <x:v>195</x:v>
      </x:c>
      <x:c r="F67" s="13" t="n">
        <x:v>209</x:v>
      </x:c>
      <x:c r="G67" s="13" t="n">
        <x:v>256</x:v>
      </x:c>
      <x:c r="H67" s="2" t="str">
        <x:f>IF(OR($E$4="",NOT(ISNUMBER($E$4)),$E$4&lt;1,$E$4&gt;400),"参考年待填",IF(OR(E67="",F67="",G67=""),"年代待核",IF($E$4&lt;E67,"未出生",IF($E$4&lt;F67,"未登场",IF($E$4&gt;G67,"已过卒年",IF($E$4=G67,"卒年边界待核","年表可登场"))))))</x:f>
        <x:v>年表可登场</x:v>
      </x:c>
      <x:c r="I67" s="12"/>
      <x:c r="J67" s="2" t="str">
        <x:v>SAN14游戏设定</x:v>
      </x:c>
      <x:c r="K67" s="2" t="str"/>
      <x:c r="L67" s="2" t="str">
        <x:v>王肅</x:v>
      </x:c>
      <x:c r="M67" s="2" t="str">
        <x:v>san14-candidate-0059</x:v>
      </x:c>
      <x:c r="N67" s="2" t="str">
        <x:v>王粛</x:v>
      </x:c>
      <x:c r="O67" s="2" t="str">
        <x:v>オウシュク</x:v>
      </x:c>
    </x:row>
    <x:row r="68" ht="23" customHeight="1">
      <x:c r="A68" s="13" t="n">
        <x:v>60</x:v>
      </x:c>
      <x:c r="B68" s="2" t="str">
        <x:v>王濬</x:v>
      </x:c>
      <x:c r="C68" s="2" t="str">
        <x:v>王濬</x:v>
      </x:c>
      <x:c r="D68" s="2" t="str"/>
      <x:c r="E68" s="13" t="n">
        <x:v>206</x:v>
      </x:c>
      <x:c r="F68" s="13" t="n">
        <x:v>225</x:v>
      </x:c>
      <x:c r="G68" s="13" t="n">
        <x:v>285</x:v>
      </x:c>
      <x:c r="H68" s="2" t="str">
        <x:f>IF(OR($E$4="",NOT(ISNUMBER($E$4)),$E$4&lt;1,$E$4&gt;400),"参考年待填",IF(OR(E68="",F68="",G68=""),"年代待核",IF($E$4&lt;E68,"未出生",IF($E$4&lt;F68,"未登场",IF($E$4&gt;G68,"已过卒年",IF($E$4=G68,"卒年边界待核","年表可登场"))))))</x:f>
        <x:v>年表可登场</x:v>
      </x:c>
      <x:c r="I68" s="12"/>
      <x:c r="J68" s="2" t="str">
        <x:v>SAN14游戏设定</x:v>
      </x:c>
      <x:c r="K68" s="2" t="str"/>
      <x:c r="L68" s="2" t="str">
        <x:v>王濬</x:v>
      </x:c>
      <x:c r="M68" s="2" t="str">
        <x:v>san14-candidate-0060</x:v>
      </x:c>
      <x:c r="N68" s="2" t="str">
        <x:v>王濬</x:v>
      </x:c>
      <x:c r="O68" s="2" t="str">
        <x:v>オウシュン</x:v>
      </x:c>
    </x:row>
    <x:row r="69" ht="23" customHeight="1">
      <x:c r="A69" s="13" t="n">
        <x:v>61</x:v>
      </x:c>
      <x:c r="B69" s="2" t="str">
        <x:v>王祥</x:v>
      </x:c>
      <x:c r="C69" s="2" t="str">
        <x:v>王祥</x:v>
      </x:c>
      <x:c r="D69" s="2" t="str"/>
      <x:c r="E69" s="13" t="n">
        <x:v>184</x:v>
      </x:c>
      <x:c r="F69" s="13" t="n">
        <x:v>203</x:v>
      </x:c>
      <x:c r="G69" s="13" t="n">
        <x:v>268</x:v>
      </x:c>
      <x:c r="H69" s="2" t="str">
        <x:f>IF(OR($E$4="",NOT(ISNUMBER($E$4)),$E$4&lt;1,$E$4&gt;400),"参考年待填",IF(OR(E69="",F69="",G69=""),"年代待核",IF($E$4&lt;E69,"未出生",IF($E$4&lt;F69,"未登场",IF($E$4&gt;G69,"已过卒年",IF($E$4=G69,"卒年边界待核","年表可登场"))))))</x:f>
        <x:v>年表可登场</x:v>
      </x:c>
      <x:c r="I69" s="12"/>
      <x:c r="J69" s="2" t="str">
        <x:v>SAN14游戏设定</x:v>
      </x:c>
      <x:c r="K69" s="2" t="str"/>
      <x:c r="L69" s="2" t="str">
        <x:v>王祥</x:v>
      </x:c>
      <x:c r="M69" s="2" t="str">
        <x:v>san14-candidate-0061</x:v>
      </x:c>
      <x:c r="N69" s="2" t="str">
        <x:v>王祥</x:v>
      </x:c>
      <x:c r="O69" s="2" t="str">
        <x:v>オウショウ</x:v>
      </x:c>
    </x:row>
    <x:row r="70" ht="23" customHeight="1">
      <x:c r="A70" s="13" t="n">
        <x:v>62</x:v>
      </x:c>
      <x:c r="B70" s="2" t="str">
        <x:v>应劭</x:v>
      </x:c>
      <x:c r="C70" s="2" t="str">
        <x:v>應劭</x:v>
      </x:c>
      <x:c r="D70" s="2" t="str"/>
      <x:c r="E70" s="13" t="n">
        <x:v>150</x:v>
      </x:c>
      <x:c r="F70" s="13" t="n">
        <x:v>184</x:v>
      </x:c>
      <x:c r="G70" s="13" t="n">
        <x:v>204</x:v>
      </x:c>
      <x:c r="H70" s="2" t="str">
        <x:f>IF(OR($E$4="",NOT(ISNUMBER($E$4)),$E$4&lt;1,$E$4&gt;400),"参考年待填",IF(OR(E70="",F70="",G70=""),"年代待核",IF($E$4&lt;E70,"未出生",IF($E$4&lt;F70,"未登场",IF($E$4&gt;G70,"已过卒年",IF($E$4=G70,"卒年边界待核","年表可登场"))))))</x:f>
        <x:v>已过卒年</x:v>
      </x:c>
      <x:c r="I70" s="12"/>
      <x:c r="J70" s="2" t="str">
        <x:v>SAN14游戏设定</x:v>
      </x:c>
      <x:c r="K70" s="2" t="str"/>
      <x:c r="L70" s="2" t="str">
        <x:v>應劭</x:v>
      </x:c>
      <x:c r="M70" s="2" t="str">
        <x:v>san14-candidate-0062</x:v>
      </x:c>
      <x:c r="N70" s="2" t="str">
        <x:v>応劭</x:v>
      </x:c>
      <x:c r="O70" s="2" t="str">
        <x:v>オウショウ</x:v>
      </x:c>
    </x:row>
    <x:row r="71" ht="23" customHeight="1">
      <x:c r="A71" s="13" t="n">
        <x:v>63</x:v>
      </x:c>
      <x:c r="B71" s="2" t="str">
        <x:v>王商</x:v>
      </x:c>
      <x:c r="C71" s="2" t="str">
        <x:v>王商</x:v>
      </x:c>
      <x:c r="D71" s="2" t="str"/>
      <x:c r="E71" s="13" t="n">
        <x:v>167</x:v>
      </x:c>
      <x:c r="F71" s="13" t="n">
        <x:v>186</x:v>
      </x:c>
      <x:c r="G71" s="13" t="n">
        <x:v>211</x:v>
      </x:c>
      <x:c r="H71" s="2" t="str">
        <x:f>IF(OR($E$4="",NOT(ISNUMBER($E$4)),$E$4&lt;1,$E$4&gt;400),"参考年待填",IF(OR(E71="",F71="",G71=""),"年代待核",IF($E$4&lt;E71,"未出生",IF($E$4&lt;F71,"未登场",IF($E$4&gt;G71,"已过卒年",IF($E$4=G71,"卒年边界待核","年表可登场"))))))</x:f>
        <x:v>已过卒年</x:v>
      </x:c>
      <x:c r="I71" s="12"/>
      <x:c r="J71" s="2" t="str">
        <x:v>SAN14游戏设定</x:v>
      </x:c>
      <x:c r="K71" s="2" t="str"/>
      <x:c r="L71" s="2" t="str">
        <x:v>王商</x:v>
      </x:c>
      <x:c r="M71" s="2" t="str">
        <x:v>san14-candidate-0063</x:v>
      </x:c>
      <x:c r="N71" s="2" t="str">
        <x:v>王商</x:v>
      </x:c>
      <x:c r="O71" s="2" t="str">
        <x:v>オウショウ</x:v>
      </x:c>
    </x:row>
    <x:row r="72" ht="23" customHeight="1">
      <x:c r="A72" s="13" t="n">
        <x:v>64</x:v>
      </x:c>
      <x:c r="B72" s="2" t="str">
        <x:v>王沈</x:v>
      </x:c>
      <x:c r="C72" s="2" t="str">
        <x:v>王沈</x:v>
      </x:c>
      <x:c r="D72" s="2" t="str"/>
      <x:c r="E72" s="13" t="n">
        <x:v>217</x:v>
      </x:c>
      <x:c r="F72" s="13" t="n">
        <x:v>236</x:v>
      </x:c>
      <x:c r="G72" s="13" t="n">
        <x:v>266</x:v>
      </x:c>
      <x:c r="H72" s="2" t="str">
        <x:f>IF(OR($E$4="",NOT(ISNUMBER($E$4)),$E$4&lt;1,$E$4&gt;400),"参考年待填",IF(OR(E72="",F72="",G72=""),"年代待核",IF($E$4&lt;E72,"未出生",IF($E$4&lt;F72,"未登场",IF($E$4&gt;G72,"已过卒年",IF($E$4=G72,"卒年边界待核","年表可登场"))))))</x:f>
        <x:v>未登场</x:v>
      </x:c>
      <x:c r="I72" s="12"/>
      <x:c r="J72" s="2" t="str">
        <x:v>SAN14游戏设定</x:v>
      </x:c>
      <x:c r="K72" s="2" t="str"/>
      <x:c r="L72" s="2" t="str">
        <x:v>王沈</x:v>
      </x:c>
      <x:c r="M72" s="2" t="str">
        <x:v>san14-candidate-0064</x:v>
      </x:c>
      <x:c r="N72" s="2" t="str">
        <x:v>王沈</x:v>
      </x:c>
      <x:c r="O72" s="2" t="str">
        <x:v>オウシン</x:v>
      </x:c>
    </x:row>
    <x:row r="73" ht="23" customHeight="1">
      <x:c r="A73" s="13" t="n">
        <x:v>65</x:v>
      </x:c>
      <x:c r="B73" s="2" t="str">
        <x:v>区星</x:v>
      </x:c>
      <x:c r="C73" s="2" t="str">
        <x:v>區星</x:v>
      </x:c>
      <x:c r="D73" s="2" t="str"/>
      <x:c r="E73" s="13" t="n">
        <x:v>157</x:v>
      </x:c>
      <x:c r="F73" s="13" t="n">
        <x:v>184</x:v>
      </x:c>
      <x:c r="G73" s="13" t="n">
        <x:v>187</x:v>
      </x:c>
      <x:c r="H73" s="2" t="str">
        <x:f>IF(OR($E$4="",NOT(ISNUMBER($E$4)),$E$4&lt;1,$E$4&gt;400),"参考年待填",IF(OR(E73="",F73="",G73=""),"年代待核",IF($E$4&lt;E73,"未出生",IF($E$4&lt;F73,"未登场",IF($E$4&gt;G73,"已过卒年",IF($E$4=G73,"卒年边界待核","年表可登场"))))))</x:f>
        <x:v>已过卒年</x:v>
      </x:c>
      <x:c r="I73" s="12"/>
      <x:c r="J73" s="2" t="str">
        <x:v>SAN14游戏设定</x:v>
      </x:c>
      <x:c r="K73" s="2" t="str"/>
      <x:c r="L73" s="2" t="str">
        <x:v>區星</x:v>
      </x:c>
      <x:c r="M73" s="2" t="str">
        <x:v>san14-candidate-0065</x:v>
      </x:c>
      <x:c r="N73" s="2" t="str">
        <x:v>区星</x:v>
      </x:c>
      <x:c r="O73" s="2" t="str">
        <x:v>オウセイ</x:v>
      </x:c>
    </x:row>
    <x:row r="74" ht="23" customHeight="1">
      <x:c r="A74" s="13" t="n">
        <x:v>66</x:v>
      </x:c>
      <x:c r="B74" s="2" t="str">
        <x:v>王双</x:v>
      </x:c>
      <x:c r="C74" s="2" t="str">
        <x:v>王雙</x:v>
      </x:c>
      <x:c r="D74" s="2" t="str"/>
      <x:c r="E74" s="13" t="n">
        <x:v>195</x:v>
      </x:c>
      <x:c r="F74" s="13" t="n">
        <x:v>219</x:v>
      </x:c>
      <x:c r="G74" s="13" t="n">
        <x:v>228</x:v>
      </x:c>
      <x:c r="H74" s="2" t="str">
        <x:f>IF(OR($E$4="",NOT(ISNUMBER($E$4)),$E$4&lt;1,$E$4&gt;400),"参考年待填",IF(OR(E74="",F74="",G74=""),"年代待核",IF($E$4&lt;E74,"未出生",IF($E$4&lt;F74,"未登场",IF($E$4&gt;G74,"已过卒年",IF($E$4=G74,"卒年边界待核","年表可登场"))))))</x:f>
        <x:v>已过卒年</x:v>
      </x:c>
      <x:c r="I74" s="12"/>
      <x:c r="J74" s="2" t="str">
        <x:v>SAN14游戏设定</x:v>
      </x:c>
      <x:c r="K74" s="2" t="str"/>
      <x:c r="L74" s="2" t="str">
        <x:v>王雙</x:v>
      </x:c>
      <x:c r="M74" s="2" t="str">
        <x:v>san14-candidate-0066</x:v>
      </x:c>
      <x:c r="N74" s="2" t="str">
        <x:v>王双</x:v>
      </x:c>
      <x:c r="O74" s="2" t="str">
        <x:v>オウソウ</x:v>
      </x:c>
    </x:row>
    <x:row r="75" ht="23" customHeight="1">
      <x:c r="A75" s="13" t="n">
        <x:v>67</x:v>
      </x:c>
      <x:c r="B75" s="2" t="str">
        <x:v>王忠</x:v>
      </x:c>
      <x:c r="C75" s="2" t="str">
        <x:v>王忠</x:v>
      </x:c>
      <x:c r="D75" s="2" t="str"/>
      <x:c r="E75" s="13" t="n">
        <x:v>152</x:v>
      </x:c>
      <x:c r="F75" s="13" t="n">
        <x:v>186</x:v>
      </x:c>
      <x:c r="G75" s="13" t="n">
        <x:v>214</x:v>
      </x:c>
      <x:c r="H75" s="2" t="str">
        <x:f>IF(OR($E$4="",NOT(ISNUMBER($E$4)),$E$4&lt;1,$E$4&gt;400),"参考年待填",IF(OR(E75="",F75="",G75=""),"年代待核",IF($E$4&lt;E75,"未出生",IF($E$4&lt;F75,"未登场",IF($E$4&gt;G75,"已过卒年",IF($E$4=G75,"卒年边界待核","年表可登场"))))))</x:f>
        <x:v>已过卒年</x:v>
      </x:c>
      <x:c r="I75" s="12"/>
      <x:c r="J75" s="2" t="str">
        <x:v>SAN14游戏设定</x:v>
      </x:c>
      <x:c r="K75" s="2" t="str"/>
      <x:c r="L75" s="2" t="str">
        <x:v>王忠</x:v>
      </x:c>
      <x:c r="M75" s="2" t="str">
        <x:v>san14-candidate-0067</x:v>
      </x:c>
      <x:c r="N75" s="2" t="str">
        <x:v>王忠</x:v>
      </x:c>
      <x:c r="O75" s="2" t="str">
        <x:v>オウチュウ</x:v>
      </x:c>
    </x:row>
    <x:row r="76" ht="23" customHeight="1">
      <x:c r="A76" s="13" t="n">
        <x:v>68</x:v>
      </x:c>
      <x:c r="B76" s="2" t="str">
        <x:v>王昶</x:v>
      </x:c>
      <x:c r="C76" s="2" t="str">
        <x:v>王昶</x:v>
      </x:c>
      <x:c r="D76" s="2" t="str"/>
      <x:c r="E76" s="13" t="n">
        <x:v>188</x:v>
      </x:c>
      <x:c r="F76" s="13" t="n">
        <x:v>207</x:v>
      </x:c>
      <x:c r="G76" s="13" t="n">
        <x:v>259</x:v>
      </x:c>
      <x:c r="H76" s="2" t="str">
        <x:f>IF(OR($E$4="",NOT(ISNUMBER($E$4)),$E$4&lt;1,$E$4&gt;400),"参考年待填",IF(OR(E76="",F76="",G76=""),"年代待核",IF($E$4&lt;E76,"未出生",IF($E$4&lt;F76,"未登场",IF($E$4&gt;G76,"已过卒年",IF($E$4=G76,"卒年边界待核","年表可登场"))))))</x:f>
        <x:v>年表可登场</x:v>
      </x:c>
      <x:c r="I76" s="12"/>
      <x:c r="J76" s="2" t="str">
        <x:v>SAN14游戏设定</x:v>
      </x:c>
      <x:c r="K76" s="2" t="str"/>
      <x:c r="L76" s="2" t="str">
        <x:v>王昶</x:v>
      </x:c>
      <x:c r="M76" s="2" t="str">
        <x:v>san14-candidate-0068</x:v>
      </x:c>
      <x:c r="N76" s="2" t="str">
        <x:v>王昶</x:v>
      </x:c>
      <x:c r="O76" s="2" t="str">
        <x:v>オウチョウ</x:v>
      </x:c>
    </x:row>
    <x:row r="77" ht="23" customHeight="1">
      <x:c r="A77" s="13" t="n">
        <x:v>69</x:v>
      </x:c>
      <x:c r="B77" s="2" t="str">
        <x:v>王韬</x:v>
      </x:c>
      <x:c r="C77" s="2" t="str">
        <x:v>王韜</x:v>
      </x:c>
      <x:c r="D77" s="2" t="str"/>
      <x:c r="E77" s="13" t="n">
        <x:v>210</x:v>
      </x:c>
      <x:c r="F77" s="13" t="n">
        <x:v>229</x:v>
      </x:c>
      <x:c r="G77" s="13" t="n">
        <x:v>269</x:v>
      </x:c>
      <x:c r="H77" s="2" t="str">
        <x:f>IF(OR($E$4="",NOT(ISNUMBER($E$4)),$E$4&lt;1,$E$4&gt;400),"参考年待填",IF(OR(E77="",F77="",G77=""),"年代待核",IF($E$4&lt;E77,"未出生",IF($E$4&lt;F77,"未登场",IF($E$4&gt;G77,"已过卒年",IF($E$4=G77,"卒年边界待核","年表可登场"))))))</x:f>
        <x:v>年表可登场</x:v>
      </x:c>
      <x:c r="I77" s="12"/>
      <x:c r="J77" s="2" t="str">
        <x:v>SAN14游戏设定</x:v>
      </x:c>
      <x:c r="K77" s="2" t="str"/>
      <x:c r="L77" s="2" t="str">
        <x:v>王韜</x:v>
      </x:c>
      <x:c r="M77" s="2" t="str">
        <x:v>san14-candidate-0069</x:v>
      </x:c>
      <x:c r="N77" s="2" t="str">
        <x:v>王韜</x:v>
      </x:c>
      <x:c r="O77" s="2" t="str">
        <x:v>オウトウ</x:v>
      </x:c>
    </x:row>
    <x:row r="78" ht="23" customHeight="1">
      <x:c r="A78" s="13" t="n">
        <x:v>70</x:v>
      </x:c>
      <x:c r="B78" s="2" t="str">
        <x:v>王惇</x:v>
      </x:c>
      <x:c r="C78" s="2" t="str">
        <x:v>王惇</x:v>
      </x:c>
      <x:c r="D78" s="2" t="str"/>
      <x:c r="E78" s="13" t="n">
        <x:v>198</x:v>
      </x:c>
      <x:c r="F78" s="13" t="n">
        <x:v>217</x:v>
      </x:c>
      <x:c r="G78" s="13" t="n">
        <x:v>256</x:v>
      </x:c>
      <x:c r="H78" s="2" t="str">
        <x:f>IF(OR($E$4="",NOT(ISNUMBER($E$4)),$E$4&lt;1,$E$4&gt;400),"参考年待填",IF(OR(E78="",F78="",G78=""),"年代待核",IF($E$4&lt;E78,"未出生",IF($E$4&lt;F78,"未登场",IF($E$4&gt;G78,"已过卒年",IF($E$4=G78,"卒年边界待核","年表可登场"))))))</x:f>
        <x:v>年表可登场</x:v>
      </x:c>
      <x:c r="I78" s="12"/>
      <x:c r="J78" s="2" t="str">
        <x:v>SAN14游戏设定</x:v>
      </x:c>
      <x:c r="K78" s="2" t="str"/>
      <x:c r="L78" s="2" t="str">
        <x:v>王惇</x:v>
      </x:c>
      <x:c r="M78" s="2" t="str">
        <x:v>san14-candidate-0070</x:v>
      </x:c>
      <x:c r="N78" s="2" t="str">
        <x:v>王惇</x:v>
      </x:c>
      <x:c r="O78" s="2" t="str">
        <x:v>オウトン</x:v>
      </x:c>
    </x:row>
    <x:row r="79" ht="23" customHeight="1">
      <x:c r="A79" s="13" t="n">
        <x:v>71</x:v>
      </x:c>
      <x:c r="B79" s="2" t="str">
        <x:v>王必</x:v>
      </x:c>
      <x:c r="C79" s="2" t="str">
        <x:v>王必</x:v>
      </x:c>
      <x:c r="D79" s="2" t="str"/>
      <x:c r="E79" s="13" t="n">
        <x:v>170</x:v>
      </x:c>
      <x:c r="F79" s="13" t="n">
        <x:v>189</x:v>
      </x:c>
      <x:c r="G79" s="13" t="n">
        <x:v>218</x:v>
      </x:c>
      <x:c r="H79" s="2" t="str">
        <x:f>IF(OR($E$4="",NOT(ISNUMBER($E$4)),$E$4&lt;1,$E$4&gt;400),"参考年待填",IF(OR(E79="",F79="",G79=""),"年代待核",IF($E$4&lt;E79,"未出生",IF($E$4&lt;F79,"未登场",IF($E$4&gt;G79,"已过卒年",IF($E$4=G79,"卒年边界待核","年表可登场"))))))</x:f>
        <x:v>已过卒年</x:v>
      </x:c>
      <x:c r="I79" s="12"/>
      <x:c r="J79" s="2" t="str">
        <x:v>SAN14游戏设定</x:v>
      </x:c>
      <x:c r="K79" s="2" t="str"/>
      <x:c r="L79" s="2" t="str">
        <x:v>王必</x:v>
      </x:c>
      <x:c r="M79" s="2" t="str">
        <x:v>san14-candidate-0071</x:v>
      </x:c>
      <x:c r="N79" s="2" t="str">
        <x:v>王必</x:v>
      </x:c>
      <x:c r="O79" s="2" t="str">
        <x:v>オウヒツ</x:v>
      </x:c>
    </x:row>
    <x:row r="80" ht="23" customHeight="1">
      <x:c r="A80" s="13" t="n">
        <x:v>72</x:v>
      </x:c>
      <x:c r="B80" s="2" t="str">
        <x:v>王平</x:v>
      </x:c>
      <x:c r="C80" s="2" t="str">
        <x:v>王平</x:v>
      </x:c>
      <x:c r="D80" s="2" t="str"/>
      <x:c r="E80" s="13" t="n">
        <x:v>192</x:v>
      </x:c>
      <x:c r="F80" s="13" t="n">
        <x:v>216</x:v>
      </x:c>
      <x:c r="G80" s="13" t="n">
        <x:v>248</x:v>
      </x:c>
      <x:c r="H80" s="2" t="str">
        <x:f>IF(OR($E$4="",NOT(ISNUMBER($E$4)),$E$4&lt;1,$E$4&gt;400),"参考年待填",IF(OR(E80="",F80="",G80=""),"年代待核",IF($E$4&lt;E80,"未出生",IF($E$4&lt;F80,"未登场",IF($E$4&gt;G80,"已过卒年",IF($E$4=G80,"卒年边界待核","年表可登场"))))))</x:f>
        <x:v>年表可登场</x:v>
      </x:c>
      <x:c r="I80" s="12"/>
      <x:c r="J80" s="2" t="str">
        <x:v>SAN14游戏设定</x:v>
      </x:c>
      <x:c r="K80" s="2" t="str"/>
      <x:c r="L80" s="2" t="str">
        <x:v>王平</x:v>
      </x:c>
      <x:c r="M80" s="2" t="str">
        <x:v>san14-candidate-0072</x:v>
      </x:c>
      <x:c r="N80" s="2" t="str">
        <x:v>王平</x:v>
      </x:c>
      <x:c r="O80" s="2" t="str">
        <x:v>オウヘイ</x:v>
      </x:c>
    </x:row>
    <x:row r="81" ht="23" customHeight="1">
      <x:c r="A81" s="13" t="n">
        <x:v>73</x:v>
      </x:c>
      <x:c r="B81" s="2" t="str">
        <x:v>王甫</x:v>
      </x:c>
      <x:c r="C81" s="2" t="str">
        <x:v>王甫</x:v>
      </x:c>
      <x:c r="D81" s="2" t="str"/>
      <x:c r="E81" s="13" t="n">
        <x:v>171</x:v>
      </x:c>
      <x:c r="F81" s="13" t="n">
        <x:v>190</x:v>
      </x:c>
      <x:c r="G81" s="13" t="n">
        <x:v>219</x:v>
      </x:c>
      <x:c r="H81" s="2" t="str">
        <x:f>IF(OR($E$4="",NOT(ISNUMBER($E$4)),$E$4&lt;1,$E$4&gt;400),"参考年待填",IF(OR(E81="",F81="",G81=""),"年代待核",IF($E$4&lt;E81,"未出生",IF($E$4&lt;F81,"未登场",IF($E$4&gt;G81,"已过卒年",IF($E$4=G81,"卒年边界待核","年表可登场"))))))</x:f>
        <x:v>已过卒年</x:v>
      </x:c>
      <x:c r="I81" s="12"/>
      <x:c r="J81" s="2" t="str">
        <x:v>SAN14游戏设定</x:v>
      </x:c>
      <x:c r="K81" s="2" t="str"/>
      <x:c r="L81" s="2" t="str">
        <x:v>王甫</x:v>
      </x:c>
      <x:c r="M81" s="2" t="str">
        <x:v>san14-candidate-0073</x:v>
      </x:c>
      <x:c r="N81" s="2" t="str">
        <x:v>王甫</x:v>
      </x:c>
      <x:c r="O81" s="2" t="str">
        <x:v>オウホ</x:v>
      </x:c>
    </x:row>
    <x:row r="82" ht="23" customHeight="1">
      <x:c r="A82" s="13" t="n">
        <x:v>74</x:v>
      </x:c>
      <x:c r="B82" s="2" t="str">
        <x:v>王方</x:v>
      </x:c>
      <x:c r="C82" s="2" t="str">
        <x:v>王方</x:v>
      </x:c>
      <x:c r="D82" s="2" t="str"/>
      <x:c r="E82" s="13" t="n">
        <x:v>153</x:v>
      </x:c>
      <x:c r="F82" s="13" t="n">
        <x:v>184</x:v>
      </x:c>
      <x:c r="G82" s="13" t="n">
        <x:v>192</x:v>
      </x:c>
      <x:c r="H82" s="2" t="str">
        <x:f>IF(OR($E$4="",NOT(ISNUMBER($E$4)),$E$4&lt;1,$E$4&gt;400),"参考年待填",IF(OR(E82="",F82="",G82=""),"年代待核",IF($E$4&lt;E82,"未出生",IF($E$4&lt;F82,"未登场",IF($E$4&gt;G82,"已过卒年",IF($E$4=G82,"卒年边界待核","年表可登场"))))))</x:f>
        <x:v>已过卒年</x:v>
      </x:c>
      <x:c r="I82" s="12"/>
      <x:c r="J82" s="2" t="str">
        <x:v>SAN14游戏设定</x:v>
      </x:c>
      <x:c r="K82" s="2" t="str"/>
      <x:c r="L82" s="2" t="str">
        <x:v>王方</x:v>
      </x:c>
      <x:c r="M82" s="2" t="str">
        <x:v>san14-candidate-0074</x:v>
      </x:c>
      <x:c r="N82" s="2" t="str">
        <x:v>王方</x:v>
      </x:c>
      <x:c r="O82" s="2" t="str">
        <x:v>オウホウ</x:v>
      </x:c>
    </x:row>
    <x:row r="83" ht="23" customHeight="1">
      <x:c r="A83" s="13" t="n">
        <x:v>75</x:v>
      </x:c>
      <x:c r="B83" s="2" t="str">
        <x:v>王谋</x:v>
      </x:c>
      <x:c r="C83" s="2" t="str">
        <x:v>王謀</x:v>
      </x:c>
      <x:c r="D83" s="2" t="str"/>
      <x:c r="E83" s="13" t="n">
        <x:v>174</x:v>
      </x:c>
      <x:c r="F83" s="13" t="n">
        <x:v>198</x:v>
      </x:c>
      <x:c r="G83" s="13" t="n">
        <x:v>226</x:v>
      </x:c>
      <x:c r="H83" s="2" t="str">
        <x:f>IF(OR($E$4="",NOT(ISNUMBER($E$4)),$E$4&lt;1,$E$4&gt;400),"参考年待填",IF(OR(E83="",F83="",G83=""),"年代待核",IF($E$4&lt;E83,"未出生",IF($E$4&lt;F83,"未登场",IF($E$4&gt;G83,"已过卒年",IF($E$4=G83,"卒年边界待核","年表可登场"))))))</x:f>
        <x:v>已过卒年</x:v>
      </x:c>
      <x:c r="I83" s="12"/>
      <x:c r="J83" s="2" t="str">
        <x:v>SAN14游戏设定</x:v>
      </x:c>
      <x:c r="K83" s="2" t="str"/>
      <x:c r="L83" s="2" t="str">
        <x:v>王謀</x:v>
      </x:c>
      <x:c r="M83" s="2" t="str">
        <x:v>san14-candidate-0075</x:v>
      </x:c>
      <x:c r="N83" s="2" t="str">
        <x:v>王謀</x:v>
      </x:c>
      <x:c r="O83" s="2" t="str">
        <x:v>オウボウ</x:v>
      </x:c>
    </x:row>
    <x:row r="84" ht="23" customHeight="1">
      <x:c r="A84" s="13" t="n">
        <x:v>76</x:v>
      </x:c>
      <x:c r="B84" s="2" t="str">
        <x:v>王门</x:v>
      </x:c>
      <x:c r="C84" s="2" t="str">
        <x:v>王門</x:v>
      </x:c>
      <x:c r="D84" s="2" t="str"/>
      <x:c r="E84" s="13" t="n">
        <x:v>162</x:v>
      </x:c>
      <x:c r="F84" s="13" t="n">
        <x:v>186</x:v>
      </x:c>
      <x:c r="G84" s="13" t="n">
        <x:v>205</x:v>
      </x:c>
      <x:c r="H84" s="2" t="str">
        <x:f>IF(OR($E$4="",NOT(ISNUMBER($E$4)),$E$4&lt;1,$E$4&gt;400),"参考年待填",IF(OR(E84="",F84="",G84=""),"年代待核",IF($E$4&lt;E84,"未出生",IF($E$4&lt;F84,"未登场",IF($E$4&gt;G84,"已过卒年",IF($E$4=G84,"卒年边界待核","年表可登场"))))))</x:f>
        <x:v>已过卒年</x:v>
      </x:c>
      <x:c r="I84" s="12"/>
      <x:c r="J84" s="2" t="str">
        <x:v>SAN14游戏设定</x:v>
      </x:c>
      <x:c r="K84" s="2" t="str"/>
      <x:c r="L84" s="2" t="str">
        <x:v>王門</x:v>
      </x:c>
      <x:c r="M84" s="2" t="str">
        <x:v>san14-candidate-0076</x:v>
      </x:c>
      <x:c r="N84" s="2" t="str">
        <x:v>王門</x:v>
      </x:c>
      <x:c r="O84" s="2" t="str">
        <x:v>オウモン</x:v>
      </x:c>
    </x:row>
    <x:row r="85" ht="23" customHeight="1">
      <x:c r="A85" s="13" t="n">
        <x:v>77</x:v>
      </x:c>
      <x:c r="B85" s="2" t="str">
        <x:v>王凌</x:v>
      </x:c>
      <x:c r="C85" s="2" t="str">
        <x:v>王淩</x:v>
      </x:c>
      <x:c r="D85" s="2" t="str"/>
      <x:c r="E85" s="13" t="n">
        <x:v>172</x:v>
      </x:c>
      <x:c r="F85" s="13" t="n">
        <x:v>191</x:v>
      </x:c>
      <x:c r="G85" s="13" t="n">
        <x:v>251</x:v>
      </x:c>
      <x:c r="H85" s="2" t="str">
        <x:f>IF(OR($E$4="",NOT(ISNUMBER($E$4)),$E$4&lt;1,$E$4&gt;400),"参考年待填",IF(OR(E85="",F85="",G85=""),"年代待核",IF($E$4&lt;E85,"未出生",IF($E$4&lt;F85,"未登场",IF($E$4&gt;G85,"已过卒年",IF($E$4=G85,"卒年边界待核","年表可登场"))))))</x:f>
        <x:v>年表可登场</x:v>
      </x:c>
      <x:c r="I85" s="12"/>
      <x:c r="J85" s="2" t="str">
        <x:v>SAN14游戏设定</x:v>
      </x:c>
      <x:c r="K85" s="2" t="str"/>
      <x:c r="L85" s="2" t="str">
        <x:v>王淩</x:v>
      </x:c>
      <x:c r="M85" s="2" t="str">
        <x:v>san14-candidate-0077</x:v>
      </x:c>
      <x:c r="N85" s="2" t="str">
        <x:v>王リョウ</x:v>
      </x:c>
      <x:c r="O85" s="2" t="str">
        <x:v>オウリョウ</x:v>
      </x:c>
    </x:row>
    <x:row r="86" ht="23" customHeight="1">
      <x:c r="A86" s="13" t="n">
        <x:v>78</x:v>
      </x:c>
      <x:c r="B86" s="2" t="str">
        <x:v>王累</x:v>
      </x:c>
      <x:c r="C86" s="2" t="str">
        <x:v>王累</x:v>
      </x:c>
      <x:c r="D86" s="2" t="str"/>
      <x:c r="E86" s="13" t="n">
        <x:v>173</x:v>
      </x:c>
      <x:c r="F86" s="13" t="n">
        <x:v>192</x:v>
      </x:c>
      <x:c r="G86" s="13" t="n">
        <x:v>211</x:v>
      </x:c>
      <x:c r="H86" s="2" t="str">
        <x:f>IF(OR($E$4="",NOT(ISNUMBER($E$4)),$E$4&lt;1,$E$4&gt;400),"参考年待填",IF(OR(E86="",F86="",G86=""),"年代待核",IF($E$4&lt;E86,"未出生",IF($E$4&lt;F86,"未登场",IF($E$4&gt;G86,"已过卒年",IF($E$4=G86,"卒年边界待核","年表可登场"))))))</x:f>
        <x:v>已过卒年</x:v>
      </x:c>
      <x:c r="I86" s="12"/>
      <x:c r="J86" s="2" t="str">
        <x:v>SAN14游戏设定</x:v>
      </x:c>
      <x:c r="K86" s="2" t="str"/>
      <x:c r="L86" s="2" t="str">
        <x:v>王累</x:v>
      </x:c>
      <x:c r="M86" s="2" t="str">
        <x:v>san14-candidate-0078</x:v>
      </x:c>
      <x:c r="N86" s="2" t="str">
        <x:v>王累</x:v>
      </x:c>
      <x:c r="O86" s="2" t="str">
        <x:v>オウルイ</x:v>
      </x:c>
    </x:row>
    <x:row r="87" ht="23" customHeight="1">
      <x:c r="A87" s="13" t="n">
        <x:v>79</x:v>
      </x:c>
      <x:c r="B87" s="2" t="str">
        <x:v>王连</x:v>
      </x:c>
      <x:c r="C87" s="2" t="str">
        <x:v>王連</x:v>
      </x:c>
      <x:c r="D87" s="2" t="str"/>
      <x:c r="E87" s="13" t="n">
        <x:v>175</x:v>
      </x:c>
      <x:c r="F87" s="13" t="n">
        <x:v>201</x:v>
      </x:c>
      <x:c r="G87" s="13" t="n">
        <x:v>224</x:v>
      </x:c>
      <x:c r="H87" s="2" t="str">
        <x:f>IF(OR($E$4="",NOT(ISNUMBER($E$4)),$E$4&lt;1,$E$4&gt;400),"参考年待填",IF(OR(E87="",F87="",G87=""),"年代待核",IF($E$4&lt;E87,"未出生",IF($E$4&lt;F87,"未登场",IF($E$4&gt;G87,"已过卒年",IF($E$4=G87,"卒年边界待核","年表可登场"))))))</x:f>
        <x:v>已过卒年</x:v>
      </x:c>
      <x:c r="I87" s="12"/>
      <x:c r="J87" s="2" t="str">
        <x:v>SAN14游戏设定</x:v>
      </x:c>
      <x:c r="K87" s="2" t="str"/>
      <x:c r="L87" s="2" t="str">
        <x:v>王連</x:v>
      </x:c>
      <x:c r="M87" s="2" t="str">
        <x:v>san14-candidate-0079</x:v>
      </x:c>
      <x:c r="N87" s="2" t="str">
        <x:v>王連</x:v>
      </x:c>
      <x:c r="O87" s="2" t="str">
        <x:v>オウレン</x:v>
      </x:c>
    </x:row>
    <x:row r="88" ht="23" customHeight="1">
      <x:c r="A88" s="13" t="n">
        <x:v>80</x:v>
      </x:c>
      <x:c r="B88" s="2" t="str">
        <x:v>王朗</x:v>
      </x:c>
      <x:c r="C88" s="2" t="str">
        <x:v>王朗</x:v>
      </x:c>
      <x:c r="D88" s="2" t="str"/>
      <x:c r="E88" s="13" t="n">
        <x:v>162</x:v>
      </x:c>
      <x:c r="F88" s="13" t="n">
        <x:v>184</x:v>
      </x:c>
      <x:c r="G88" s="13" t="n">
        <x:v>228</x:v>
      </x:c>
      <x:c r="H88" s="2" t="str">
        <x:f>IF(OR($E$4="",NOT(ISNUMBER($E$4)),$E$4&lt;1,$E$4&gt;400),"参考年待填",IF(OR(E88="",F88="",G88=""),"年代待核",IF($E$4&lt;E88,"未出生",IF($E$4&lt;F88,"未登场",IF($E$4&gt;G88,"已过卒年",IF($E$4=G88,"卒年边界待核","年表可登场"))))))</x:f>
        <x:v>已过卒年</x:v>
      </x:c>
      <x:c r="I88" s="12"/>
      <x:c r="J88" s="2" t="str">
        <x:v>SAN14游戏设定</x:v>
      </x:c>
      <x:c r="K88" s="2" t="str"/>
      <x:c r="L88" s="2" t="str">
        <x:v>王朗</x:v>
      </x:c>
      <x:c r="M88" s="2" t="str">
        <x:v>san14-candidate-0080</x:v>
      </x:c>
      <x:c r="N88" s="2" t="str">
        <x:v>王朗</x:v>
      </x:c>
      <x:c r="O88" s="2" t="str">
        <x:v>オウロウ</x:v>
      </x:c>
    </x:row>
    <x:row r="89" ht="23" customHeight="1">
      <x:c r="A89" s="13" t="n">
        <x:v>81</x:v>
      </x:c>
      <x:c r="B89" s="2" t="str">
        <x:v>于夫罗</x:v>
      </x:c>
      <x:c r="C89" s="2" t="str">
        <x:v>於夫羅</x:v>
      </x:c>
      <x:c r="D89" s="2" t="str"/>
      <x:c r="E89" s="13" t="n">
        <x:v>150</x:v>
      </x:c>
      <x:c r="F89" s="13" t="n">
        <x:v>184</x:v>
      </x:c>
      <x:c r="G89" s="13" t="n">
        <x:v>195</x:v>
      </x:c>
      <x:c r="H89" s="2" t="str">
        <x:f>IF(OR($E$4="",NOT(ISNUMBER($E$4)),$E$4&lt;1,$E$4&gt;400),"参考年待填",IF(OR(E89="",F89="",G89=""),"年代待核",IF($E$4&lt;E89,"未出生",IF($E$4&lt;F89,"未登场",IF($E$4&gt;G89,"已过卒年",IF($E$4=G89,"卒年边界待核","年表可登场"))))))</x:f>
        <x:v>已过卒年</x:v>
      </x:c>
      <x:c r="I89" s="12"/>
      <x:c r="J89" s="2" t="str">
        <x:v>SAN14游戏设定</x:v>
      </x:c>
      <x:c r="K89" s="2" t="str"/>
      <x:c r="L89" s="2" t="str">
        <x:v>於夫羅</x:v>
      </x:c>
      <x:c r="M89" s="2" t="str">
        <x:v>san14-candidate-0081</x:v>
      </x:c>
      <x:c r="N89" s="2" t="str">
        <x:v>於夫羅</x:v>
      </x:c>
      <x:c r="O89" s="2" t="str">
        <x:v>オフラ</x:v>
      </x:c>
    </x:row>
    <x:row r="90" ht="23" customHeight="1">
      <x:c r="A90" s="13" t="n">
        <x:v>82</x:v>
      </x:c>
      <x:c r="B90" s="2" t="str">
        <x:v>温恢</x:v>
      </x:c>
      <x:c r="C90" s="2" t="str">
        <x:v>溫恢</x:v>
      </x:c>
      <x:c r="D90" s="2" t="str"/>
      <x:c r="E90" s="13" t="n">
        <x:v>178</x:v>
      </x:c>
      <x:c r="F90" s="13" t="n">
        <x:v>197</x:v>
      </x:c>
      <x:c r="G90" s="13" t="n">
        <x:v>222</x:v>
      </x:c>
      <x:c r="H90" s="2" t="str">
        <x:f>IF(OR($E$4="",NOT(ISNUMBER($E$4)),$E$4&lt;1,$E$4&gt;400),"参考年待填",IF(OR(E90="",F90="",G90=""),"年代待核",IF($E$4&lt;E90,"未出生",IF($E$4&lt;F90,"未登场",IF($E$4&gt;G90,"已过卒年",IF($E$4=G90,"卒年边界待核","年表可登场"))))))</x:f>
        <x:v>已过卒年</x:v>
      </x:c>
      <x:c r="I90" s="12"/>
      <x:c r="J90" s="2" t="str">
        <x:v>SAN14游戏设定</x:v>
      </x:c>
      <x:c r="K90" s="2" t="str"/>
      <x:c r="L90" s="2" t="str">
        <x:v>溫恢</x:v>
      </x:c>
      <x:c r="M90" s="2" t="str">
        <x:v>san14-candidate-0082</x:v>
      </x:c>
      <x:c r="N90" s="2" t="str">
        <x:v>温恢</x:v>
      </x:c>
      <x:c r="O90" s="2" t="str">
        <x:v>オンカイ</x:v>
      </x:c>
    </x:row>
    <x:row r="91" ht="23" customHeight="1">
      <x:c r="A91" s="13" t="n">
        <x:v>83</x:v>
      </x:c>
      <x:c r="B91" s="2" t="str">
        <x:v>何晏</x:v>
      </x:c>
      <x:c r="C91" s="2" t="str">
        <x:v>何晏</x:v>
      </x:c>
      <x:c r="D91" s="2" t="str"/>
      <x:c r="E91" s="13" t="n">
        <x:v>190</x:v>
      </x:c>
      <x:c r="F91" s="13" t="n">
        <x:v>209</x:v>
      </x:c>
      <x:c r="G91" s="13" t="n">
        <x:v>249</x:v>
      </x:c>
      <x:c r="H91" s="2" t="str">
        <x:f>IF(OR($E$4="",NOT(ISNUMBER($E$4)),$E$4&lt;1,$E$4&gt;400),"参考年待填",IF(OR(E91="",F91="",G91=""),"年代待核",IF($E$4&lt;E91,"未出生",IF($E$4&lt;F91,"未登场",IF($E$4&gt;G91,"已过卒年",IF($E$4=G91,"卒年边界待核","年表可登场"))))))</x:f>
        <x:v>年表可登场</x:v>
      </x:c>
      <x:c r="I91" s="12"/>
      <x:c r="J91" s="2" t="str">
        <x:v>SAN14游戏设定</x:v>
      </x:c>
      <x:c r="K91" s="2" t="str"/>
      <x:c r="L91" s="2" t="str">
        <x:v>何晏</x:v>
      </x:c>
      <x:c r="M91" s="2" t="str">
        <x:v>san14-candidate-0083</x:v>
      </x:c>
      <x:c r="N91" s="2" t="str">
        <x:v>何晏</x:v>
      </x:c>
      <x:c r="O91" s="2" t="str">
        <x:v>カアン</x:v>
      </x:c>
    </x:row>
    <x:row r="92" ht="23" customHeight="1">
      <x:c r="A92" s="13" t="n">
        <x:v>84</x:v>
      </x:c>
      <x:c r="B92" s="2" t="str">
        <x:v>蒯越</x:v>
      </x:c>
      <x:c r="C92" s="2" t="str">
        <x:v>蒯越</x:v>
      </x:c>
      <x:c r="D92" s="2" t="str"/>
      <x:c r="E92" s="13" t="n">
        <x:v>157</x:v>
      </x:c>
      <x:c r="F92" s="13" t="n">
        <x:v>184</x:v>
      </x:c>
      <x:c r="G92" s="13" t="n">
        <x:v>214</x:v>
      </x:c>
      <x:c r="H92" s="2" t="str">
        <x:f>IF(OR($E$4="",NOT(ISNUMBER($E$4)),$E$4&lt;1,$E$4&gt;400),"参考年待填",IF(OR(E92="",F92="",G92=""),"年代待核",IF($E$4&lt;E92,"未出生",IF($E$4&lt;F92,"未登场",IF($E$4&gt;G92,"已过卒年",IF($E$4=G92,"卒年边界待核","年表可登场"))))))</x:f>
        <x:v>已过卒年</x:v>
      </x:c>
      <x:c r="I92" s="12"/>
      <x:c r="J92" s="2" t="str">
        <x:v>SAN14游戏设定</x:v>
      </x:c>
      <x:c r="K92" s="2" t="str"/>
      <x:c r="L92" s="2" t="str">
        <x:v>蒯越</x:v>
      </x:c>
      <x:c r="M92" s="2" t="str">
        <x:v>san14-candidate-0084</x:v>
      </x:c>
      <x:c r="N92" s="2" t="str">
        <x:v>カイ越</x:v>
      </x:c>
      <x:c r="O92" s="2" t="str">
        <x:v>カイエツ</x:v>
      </x:c>
    </x:row>
    <x:row r="93" ht="23" customHeight="1">
      <x:c r="A93" s="13" t="n">
        <x:v>85</x:v>
      </x:c>
      <x:c r="B93" s="2" t="str">
        <x:v>蒯良</x:v>
      </x:c>
      <x:c r="C93" s="2" t="str">
        <x:v>蒯良</x:v>
      </x:c>
      <x:c r="D93" s="2" t="str"/>
      <x:c r="E93" s="13" t="n">
        <x:v>155</x:v>
      </x:c>
      <x:c r="F93" s="13" t="n">
        <x:v>184</x:v>
      </x:c>
      <x:c r="G93" s="13" t="n">
        <x:v>204</x:v>
      </x:c>
      <x:c r="H93" s="2" t="str">
        <x:f>IF(OR($E$4="",NOT(ISNUMBER($E$4)),$E$4&lt;1,$E$4&gt;400),"参考年待填",IF(OR(E93="",F93="",G93=""),"年代待核",IF($E$4&lt;E93,"未出生",IF($E$4&lt;F93,"未登场",IF($E$4&gt;G93,"已过卒年",IF($E$4=G93,"卒年边界待核","年表可登场"))))))</x:f>
        <x:v>已过卒年</x:v>
      </x:c>
      <x:c r="I93" s="12"/>
      <x:c r="J93" s="2" t="str">
        <x:v>SAN14游戏设定</x:v>
      </x:c>
      <x:c r="K93" s="2" t="str"/>
      <x:c r="L93" s="2" t="str">
        <x:v>蒯良</x:v>
      </x:c>
      <x:c r="M93" s="2" t="str">
        <x:v>san14-candidate-0085</x:v>
      </x:c>
      <x:c r="N93" s="2" t="str">
        <x:v>カイ良</x:v>
      </x:c>
      <x:c r="O93" s="2" t="str">
        <x:v>カイリョウ</x:v>
      </x:c>
    </x:row>
    <x:row r="94" ht="23" customHeight="1">
      <x:c r="A94" s="13" t="n">
        <x:v>86</x:v>
      </x:c>
      <x:c r="B94" s="2" t="str">
        <x:v>贾华</x:v>
      </x:c>
      <x:c r="C94" s="2" t="str">
        <x:v>賈華</x:v>
      </x:c>
      <x:c r="D94" s="2" t="str"/>
      <x:c r="E94" s="13" t="n">
        <x:v>176</x:v>
      </x:c>
      <x:c r="F94" s="13" t="n">
        <x:v>195</x:v>
      </x:c>
      <x:c r="G94" s="13" t="n">
        <x:v>224</x:v>
      </x:c>
      <x:c r="H94" s="2" t="str">
        <x:f>IF(OR($E$4="",NOT(ISNUMBER($E$4)),$E$4&lt;1,$E$4&gt;400),"参考年待填",IF(OR(E94="",F94="",G94=""),"年代待核",IF($E$4&lt;E94,"未出生",IF($E$4&lt;F94,"未登场",IF($E$4&gt;G94,"已过卒年",IF($E$4=G94,"卒年边界待核","年表可登场"))))))</x:f>
        <x:v>已过卒年</x:v>
      </x:c>
      <x:c r="I94" s="12"/>
      <x:c r="J94" s="2" t="str">
        <x:v>SAN14游戏设定</x:v>
      </x:c>
      <x:c r="K94" s="2" t="str"/>
      <x:c r="L94" s="2" t="str">
        <x:v>賈華</x:v>
      </x:c>
      <x:c r="M94" s="2" t="str">
        <x:v>san14-candidate-0086</x:v>
      </x:c>
      <x:c r="N94" s="2" t="str">
        <x:v>賈華</x:v>
      </x:c>
      <x:c r="O94" s="2" t="str">
        <x:v>カカ</x:v>
      </x:c>
    </x:row>
    <x:row r="95" ht="23" customHeight="1">
      <x:c r="A95" s="13" t="n">
        <x:v>87</x:v>
      </x:c>
      <x:c r="B95" s="2" t="str">
        <x:v>华核</x:v>
      </x:c>
      <x:c r="C95" s="2" t="str">
        <x:v>華覈</x:v>
      </x:c>
      <x:c r="D95" s="2" t="str"/>
      <x:c r="E95" s="13" t="n">
        <x:v>217</x:v>
      </x:c>
      <x:c r="F95" s="13" t="n">
        <x:v>236</x:v>
      </x:c>
      <x:c r="G95" s="13" t="n">
        <x:v>278</x:v>
      </x:c>
      <x:c r="H95" s="2" t="str">
        <x:f>IF(OR($E$4="",NOT(ISNUMBER($E$4)),$E$4&lt;1,$E$4&gt;400),"参考年待填",IF(OR(E95="",F95="",G95=""),"年代待核",IF($E$4&lt;E95,"未出生",IF($E$4&lt;F95,"未登场",IF($E$4&gt;G95,"已过卒年",IF($E$4=G95,"卒年边界待核","年表可登场"))))))</x:f>
        <x:v>未登场</x:v>
      </x:c>
      <x:c r="I95" s="12"/>
      <x:c r="J95" s="2" t="str">
        <x:v>SAN14游戏设定</x:v>
      </x:c>
      <x:c r="K95" s="2" t="str"/>
      <x:c r="L95" s="2" t="str">
        <x:v>華覈</x:v>
      </x:c>
      <x:c r="M95" s="2" t="str">
        <x:v>san14-candidate-0087</x:v>
      </x:c>
      <x:c r="N95" s="2" t="str">
        <x:v>華覈</x:v>
      </x:c>
      <x:c r="O95" s="2" t="str">
        <x:v>カカク</x:v>
      </x:c>
    </x:row>
    <x:row r="96" ht="23" customHeight="1">
      <x:c r="A96" s="13" t="n">
        <x:v>88</x:v>
      </x:c>
      <x:c r="B96" s="2" t="str">
        <x:v>俄何烧戈</x:v>
      </x:c>
      <x:c r="C96" s="2" t="str">
        <x:v>俄何燒戈</x:v>
      </x:c>
      <x:c r="D96" s="2" t="str"/>
      <x:c r="E96" s="13" t="n">
        <x:v>204</x:v>
      </x:c>
      <x:c r="F96" s="13" t="n">
        <x:v>223</x:v>
      </x:c>
      <x:c r="G96" s="13" t="n">
        <x:v>253</x:v>
      </x:c>
      <x:c r="H96" s="2" t="str">
        <x:f>IF(OR($E$4="",NOT(ISNUMBER($E$4)),$E$4&lt;1,$E$4&gt;400),"参考年待填",IF(OR(E96="",F96="",G96=""),"年代待核",IF($E$4&lt;E96,"未出生",IF($E$4&lt;F96,"未登场",IF($E$4&gt;G96,"已过卒年",IF($E$4=G96,"卒年边界待核","年表可登场"))))))</x:f>
        <x:v>年表可登场</x:v>
      </x:c>
      <x:c r="I96" s="12"/>
      <x:c r="J96" s="2" t="str">
        <x:v>SAN14游戏设定</x:v>
      </x:c>
      <x:c r="K96" s="2" t="str"/>
      <x:c r="L96" s="2" t="str">
        <x:v>俄何燒戈</x:v>
      </x:c>
      <x:c r="M96" s="2" t="str">
        <x:v>san14-candidate-0088</x:v>
      </x:c>
      <x:c r="N96" s="2" t="str">
        <x:v>俄何焼戈</x:v>
      </x:c>
      <x:c r="O96" s="2" t="str">
        <x:v>ガカショウカ</x:v>
      </x:c>
    </x:row>
    <x:row r="97" ht="23" customHeight="1">
      <x:c r="A97" s="13" t="n">
        <x:v>89</x:v>
      </x:c>
      <x:c r="B97" s="2" t="str">
        <x:v>贾逵</x:v>
      </x:c>
      <x:c r="C97" s="2" t="str">
        <x:v>賈逵</x:v>
      </x:c>
      <x:c r="D97" s="2" t="str"/>
      <x:c r="E97" s="13" t="n">
        <x:v>177</x:v>
      </x:c>
      <x:c r="F97" s="13" t="n">
        <x:v>199</x:v>
      </x:c>
      <x:c r="G97" s="13" t="n">
        <x:v>231</x:v>
      </x:c>
      <x:c r="H97" s="2" t="str">
        <x:f>IF(OR($E$4="",NOT(ISNUMBER($E$4)),$E$4&lt;1,$E$4&gt;400),"参考年待填",IF(OR(E97="",F97="",G97=""),"年代待核",IF($E$4&lt;E97,"未出生",IF($E$4&lt;F97,"未登场",IF($E$4&gt;G97,"已过卒年",IF($E$4=G97,"卒年边界待核","年表可登场"))))))</x:f>
        <x:v>年表可登场</x:v>
      </x:c>
      <x:c r="I97" s="12"/>
      <x:c r="J97" s="2" t="str">
        <x:v>SAN14游戏设定</x:v>
      </x:c>
      <x:c r="K97" s="2" t="str"/>
      <x:c r="L97" s="2" t="str">
        <x:v>賈逵</x:v>
      </x:c>
      <x:c r="M97" s="2" t="str">
        <x:v>san14-candidate-0089</x:v>
      </x:c>
      <x:c r="N97" s="2" t="str">
        <x:v>賈逵</x:v>
      </x:c>
      <x:c r="O97" s="2" t="str">
        <x:v>カキ</x:v>
      </x:c>
    </x:row>
    <x:row r="98" ht="23" customHeight="1">
      <x:c r="A98" s="13" t="n">
        <x:v>90</x:v>
      </x:c>
      <x:c r="B98" s="2" t="str">
        <x:v>何仪</x:v>
      </x:c>
      <x:c r="C98" s="2" t="str">
        <x:v>何儀</x:v>
      </x:c>
      <x:c r="D98" s="2" t="str"/>
      <x:c r="E98" s="13" t="n">
        <x:v>161</x:v>
      </x:c>
      <x:c r="F98" s="13" t="n">
        <x:v>184</x:v>
      </x:c>
      <x:c r="G98" s="13" t="n">
        <x:v>195</x:v>
      </x:c>
      <x:c r="H98" s="2" t="str">
        <x:f>IF(OR($E$4="",NOT(ISNUMBER($E$4)),$E$4&lt;1,$E$4&gt;400),"参考年待填",IF(OR(E98="",F98="",G98=""),"年代待核",IF($E$4&lt;E98,"未出生",IF($E$4&lt;F98,"未登场",IF($E$4&gt;G98,"已过卒年",IF($E$4=G98,"卒年边界待核","年表可登场"))))))</x:f>
        <x:v>已过卒年</x:v>
      </x:c>
      <x:c r="I98" s="12"/>
      <x:c r="J98" s="2" t="str">
        <x:v>SAN14游戏设定</x:v>
      </x:c>
      <x:c r="K98" s="2" t="str"/>
      <x:c r="L98" s="2" t="str">
        <x:v>何儀</x:v>
      </x:c>
      <x:c r="M98" s="2" t="str">
        <x:v>san14-candidate-0090</x:v>
      </x:c>
      <x:c r="N98" s="2" t="str">
        <x:v>何儀</x:v>
      </x:c>
      <x:c r="O98" s="2" t="str">
        <x:v>カギ</x:v>
      </x:c>
    </x:row>
    <x:row r="99" ht="23" customHeight="1">
      <x:c r="A99" s="13" t="n">
        <x:v>91</x:v>
      </x:c>
      <x:c r="B99" s="2" t="str">
        <x:v>华歆</x:v>
      </x:c>
      <x:c r="C99" s="2" t="str">
        <x:v>華歆</x:v>
      </x:c>
      <x:c r="D99" s="2" t="str"/>
      <x:c r="E99" s="13" t="n">
        <x:v>157</x:v>
      </x:c>
      <x:c r="F99" s="13" t="n">
        <x:v>184</x:v>
      </x:c>
      <x:c r="G99" s="13" t="n">
        <x:v>231</x:v>
      </x:c>
      <x:c r="H99" s="2" t="str">
        <x:f>IF(OR($E$4="",NOT(ISNUMBER($E$4)),$E$4&lt;1,$E$4&gt;400),"参考年待填",IF(OR(E99="",F99="",G99=""),"年代待核",IF($E$4&lt;E99,"未出生",IF($E$4&lt;F99,"未登场",IF($E$4&gt;G99,"已过卒年",IF($E$4=G99,"卒年边界待核","年表可登场"))))))</x:f>
        <x:v>年表可登场</x:v>
      </x:c>
      <x:c r="I99" s="12"/>
      <x:c r="J99" s="2" t="str">
        <x:v>SAN14游戏设定</x:v>
      </x:c>
      <x:c r="K99" s="2" t="str"/>
      <x:c r="L99" s="2" t="str">
        <x:v>華歆</x:v>
      </x:c>
      <x:c r="M99" s="2" t="str">
        <x:v>san14-candidate-0091</x:v>
      </x:c>
      <x:c r="N99" s="2" t="str">
        <x:v>華キン</x:v>
      </x:c>
      <x:c r="O99" s="2" t="str">
        <x:v>カキン</x:v>
      </x:c>
    </x:row>
    <x:row r="100" ht="23" customHeight="1">
      <x:c r="A100" s="13" t="n">
        <x:v>92</x:v>
      </x:c>
      <x:c r="B100" s="2" t="str">
        <x:v>贾诩</x:v>
      </x:c>
      <x:c r="C100" s="2" t="str">
        <x:v>賈詡</x:v>
      </x:c>
      <x:c r="D100" s="2" t="str"/>
      <x:c r="E100" s="13" t="n">
        <x:v>147</x:v>
      </x:c>
      <x:c r="F100" s="13" t="n">
        <x:v>184</x:v>
      </x:c>
      <x:c r="G100" s="13" t="n">
        <x:v>223</x:v>
      </x:c>
      <x:c r="H100" s="2" t="str">
        <x:f>IF(OR($E$4="",NOT(ISNUMBER($E$4)),$E$4&lt;1,$E$4&gt;400),"参考年待填",IF(OR(E100="",F100="",G100=""),"年代待核",IF($E$4&lt;E100,"未出生",IF($E$4&lt;F100,"未登场",IF($E$4&gt;G100,"已过卒年",IF($E$4=G100,"卒年边界待核","年表可登场"))))))</x:f>
        <x:v>已过卒年</x:v>
      </x:c>
      <x:c r="I100" s="12"/>
      <x:c r="J100" s="2" t="str">
        <x:v>SAN14游戏设定</x:v>
      </x:c>
      <x:c r="K100" s="2" t="str"/>
      <x:c r="L100" s="2" t="str">
        <x:v>賈詡</x:v>
      </x:c>
      <x:c r="M100" s="2" t="str">
        <x:v>san14-candidate-0092</x:v>
      </x:c>
      <x:c r="N100" s="2" t="str">
        <x:v>賈ク</x:v>
      </x:c>
      <x:c r="O100" s="2" t="str">
        <x:v>カク</x:v>
      </x:c>
    </x:row>
    <x:row r="101" ht="23" customHeight="1">
      <x:c r="A101" s="13" t="n">
        <x:v>93</x:v>
      </x:c>
      <x:c r="B101" s="2" t="str">
        <x:v>郭奕</x:v>
      </x:c>
      <x:c r="C101" s="2" t="str">
        <x:v>郭奕</x:v>
      </x:c>
      <x:c r="D101" s="2" t="str"/>
      <x:c r="E101" s="13" t="n">
        <x:v>187</x:v>
      </x:c>
      <x:c r="F101" s="13" t="n">
        <x:v>201</x:v>
      </x:c>
      <x:c r="G101" s="13" t="n">
        <x:v>228</x:v>
      </x:c>
      <x:c r="H101" s="2" t="str">
        <x:f>IF(OR($E$4="",NOT(ISNUMBER($E$4)),$E$4&lt;1,$E$4&gt;400),"参考年待填",IF(OR(E101="",F101="",G101=""),"年代待核",IF($E$4&lt;E101,"未出生",IF($E$4&lt;F101,"未登场",IF($E$4&gt;G101,"已过卒年",IF($E$4=G101,"卒年边界待核","年表可登场"))))))</x:f>
        <x:v>已过卒年</x:v>
      </x:c>
      <x:c r="I101" s="12"/>
      <x:c r="J101" s="2" t="str">
        <x:v>SAN14游戏设定</x:v>
      </x:c>
      <x:c r="K101" s="2" t="str"/>
      <x:c r="L101" s="2" t="str">
        <x:v>郭奕</x:v>
      </x:c>
      <x:c r="M101" s="2" t="str">
        <x:v>san14-candidate-0093</x:v>
      </x:c>
      <x:c r="N101" s="2" t="str">
        <x:v>郭奕</x:v>
      </x:c>
      <x:c r="O101" s="2" t="str">
        <x:v>カクエキ</x:v>
      </x:c>
    </x:row>
    <x:row r="102" ht="23" customHeight="1">
      <x:c r="A102" s="13" t="n">
        <x:v>94</x:v>
      </x:c>
      <x:c r="B102" s="2" t="str">
        <x:v>郭援</x:v>
      </x:c>
      <x:c r="C102" s="2" t="str">
        <x:v>郭援</x:v>
      </x:c>
      <x:c r="D102" s="2" t="str"/>
      <x:c r="E102" s="13" t="n">
        <x:v>167</x:v>
      </x:c>
      <x:c r="F102" s="13" t="n">
        <x:v>191</x:v>
      </x:c>
      <x:c r="G102" s="13" t="n">
        <x:v>202</x:v>
      </x:c>
      <x:c r="H102" s="2" t="str">
        <x:f>IF(OR($E$4="",NOT(ISNUMBER($E$4)),$E$4&lt;1,$E$4&gt;400),"参考年待填",IF(OR(E102="",F102="",G102=""),"年代待核",IF($E$4&lt;E102,"未出生",IF($E$4&lt;F102,"未登场",IF($E$4&gt;G102,"已过卒年",IF($E$4=G102,"卒年边界待核","年表可登场"))))))</x:f>
        <x:v>已过卒年</x:v>
      </x:c>
      <x:c r="I102" s="12"/>
      <x:c r="J102" s="2" t="str">
        <x:v>SAN14游戏设定</x:v>
      </x:c>
      <x:c r="K102" s="2" t="str"/>
      <x:c r="L102" s="2" t="str">
        <x:v>郭援</x:v>
      </x:c>
      <x:c r="M102" s="2" t="str">
        <x:v>san14-candidate-0094</x:v>
      </x:c>
      <x:c r="N102" s="2" t="str">
        <x:v>郭援</x:v>
      </x:c>
      <x:c r="O102" s="2" t="str">
        <x:v>カクエン</x:v>
      </x:c>
    </x:row>
    <x:row r="103" ht="23" customHeight="1">
      <x:c r="A103" s="13" t="n">
        <x:v>95</x:v>
      </x:c>
      <x:c r="B103" s="2" t="str">
        <x:v>郭嘉</x:v>
      </x:c>
      <x:c r="C103" s="2" t="str">
        <x:v>郭嘉</x:v>
      </x:c>
      <x:c r="D103" s="2" t="str"/>
      <x:c r="E103" s="13" t="n">
        <x:v>170</x:v>
      </x:c>
      <x:c r="F103" s="13" t="n">
        <x:v>189</x:v>
      </x:c>
      <x:c r="G103" s="13" t="n">
        <x:v>207</x:v>
      </x:c>
      <x:c r="H103" s="2" t="str">
        <x:f>IF(OR($E$4="",NOT(ISNUMBER($E$4)),$E$4&lt;1,$E$4&gt;400),"参考年待填",IF(OR(E103="",F103="",G103=""),"年代待核",IF($E$4&lt;E103,"未出生",IF($E$4&lt;F103,"未登场",IF($E$4&gt;G103,"已过卒年",IF($E$4=G103,"卒年边界待核","年表可登场"))))))</x:f>
        <x:v>已过卒年</x:v>
      </x:c>
      <x:c r="I103" s="12"/>
      <x:c r="J103" s="2" t="str">
        <x:v>SAN14游戏设定</x:v>
      </x:c>
      <x:c r="K103" s="2" t="str"/>
      <x:c r="L103" s="2" t="str">
        <x:v>郭嘉</x:v>
      </x:c>
      <x:c r="M103" s="2" t="str">
        <x:v>san14-candidate-0095</x:v>
      </x:c>
      <x:c r="N103" s="2" t="str">
        <x:v>郭嘉</x:v>
      </x:c>
      <x:c r="O103" s="2" t="str">
        <x:v>カクカ</x:v>
      </x:c>
    </x:row>
    <x:row r="104" ht="23" customHeight="1">
      <x:c r="A104" s="13" t="n">
        <x:v>96</x:v>
      </x:c>
      <x:c r="B104" s="2" t="str">
        <x:v>鄂焕</x:v>
      </x:c>
      <x:c r="C104" s="2" t="str">
        <x:v>鄂煥</x:v>
      </x:c>
      <x:c r="D104" s="2" t="str"/>
      <x:c r="E104" s="13" t="n">
        <x:v>196</x:v>
      </x:c>
      <x:c r="F104" s="13" t="n">
        <x:v>220</x:v>
      </x:c>
      <x:c r="G104" s="13" t="n">
        <x:v>251</x:v>
      </x:c>
      <x:c r="H104" s="2" t="str">
        <x:f>IF(OR($E$4="",NOT(ISNUMBER($E$4)),$E$4&lt;1,$E$4&gt;400),"参考年待填",IF(OR(E104="",F104="",G104=""),"年代待核",IF($E$4&lt;E104,"未出生",IF($E$4&lt;F104,"未登场",IF($E$4&gt;G104,"已过卒年",IF($E$4=G104,"卒年边界待核","年表可登场"))))))</x:f>
        <x:v>年表可登场</x:v>
      </x:c>
      <x:c r="I104" s="12"/>
      <x:c r="J104" s="2" t="str">
        <x:v>SAN14游戏设定</x:v>
      </x:c>
      <x:c r="K104" s="2" t="str"/>
      <x:c r="L104" s="2" t="str">
        <x:v>鄂煥</x:v>
      </x:c>
      <x:c r="M104" s="2" t="str">
        <x:v>san14-candidate-0096</x:v>
      </x:c>
      <x:c r="N104" s="2" t="str">
        <x:v>鄂煥</x:v>
      </x:c>
      <x:c r="O104" s="2" t="str">
        <x:v>ガクカン</x:v>
      </x:c>
    </x:row>
    <x:row r="105" ht="23" customHeight="1">
      <x:c r="A105" s="13" t="n">
        <x:v>97</x:v>
      </x:c>
      <x:c r="B105" s="2" t="str">
        <x:v>郭汜</x:v>
      </x:c>
      <x:c r="C105" s="2" t="str">
        <x:v>郭汜</x:v>
      </x:c>
      <x:c r="D105" s="2" t="str"/>
      <x:c r="E105" s="13" t="n">
        <x:v>146</x:v>
      </x:c>
      <x:c r="F105" s="13" t="n">
        <x:v>184</x:v>
      </x:c>
      <x:c r="G105" s="13" t="n">
        <x:v>197</x:v>
      </x:c>
      <x:c r="H105" s="2" t="str">
        <x:f>IF(OR($E$4="",NOT(ISNUMBER($E$4)),$E$4&lt;1,$E$4&gt;400),"参考年待填",IF(OR(E105="",F105="",G105=""),"年代待核",IF($E$4&lt;E105,"未出生",IF($E$4&lt;F105,"未登场",IF($E$4&gt;G105,"已过卒年",IF($E$4=G105,"卒年边界待核","年表可登场"))))))</x:f>
        <x:v>已过卒年</x:v>
      </x:c>
      <x:c r="I105" s="12"/>
      <x:c r="J105" s="2" t="str">
        <x:v>SAN14游戏设定</x:v>
      </x:c>
      <x:c r="K105" s="2" t="str"/>
      <x:c r="L105" s="2" t="str">
        <x:v>郭汜</x:v>
      </x:c>
      <x:c r="M105" s="2" t="str">
        <x:v>san14-candidate-0097</x:v>
      </x:c>
      <x:c r="N105" s="2" t="str">
        <x:v>郭汜</x:v>
      </x:c>
      <x:c r="O105" s="2" t="str">
        <x:v>カクシ</x:v>
      </x:c>
    </x:row>
    <x:row r="106" ht="23" customHeight="1">
      <x:c r="A106" s="13" t="n">
        <x:v>98</x:v>
      </x:c>
      <x:c r="B106" s="2" t="str">
        <x:v>乐就</x:v>
      </x:c>
      <x:c r="C106" s="2" t="str">
        <x:v>樂就</x:v>
      </x:c>
      <x:c r="D106" s="2" t="str"/>
      <x:c r="E106" s="13" t="n">
        <x:v>157</x:v>
      </x:c>
      <x:c r="F106" s="13" t="n">
        <x:v>184</x:v>
      </x:c>
      <x:c r="G106" s="13" t="n">
        <x:v>195</x:v>
      </x:c>
      <x:c r="H106" s="2" t="str">
        <x:f>IF(OR($E$4="",NOT(ISNUMBER($E$4)),$E$4&lt;1,$E$4&gt;400),"参考年待填",IF(OR(E106="",F106="",G106=""),"年代待核",IF($E$4&lt;E106,"未出生",IF($E$4&lt;F106,"未登场",IF($E$4&gt;G106,"已过卒年",IF($E$4=G106,"卒年边界待核","年表可登场"))))))</x:f>
        <x:v>已过卒年</x:v>
      </x:c>
      <x:c r="I106" s="12"/>
      <x:c r="J106" s="2" t="str">
        <x:v>SAN14游戏设定</x:v>
      </x:c>
      <x:c r="K106" s="2" t="str"/>
      <x:c r="L106" s="2" t="str">
        <x:v>樂就</x:v>
      </x:c>
      <x:c r="M106" s="2" t="str">
        <x:v>san14-candidate-0098</x:v>
      </x:c>
      <x:c r="N106" s="2" t="str">
        <x:v>楽就</x:v>
      </x:c>
      <x:c r="O106" s="2" t="str">
        <x:v>ガクシュウ</x:v>
      </x:c>
    </x:row>
    <x:row r="107" ht="23" customHeight="1">
      <x:c r="A107" s="13" t="n">
        <x:v>99</x:v>
      </x:c>
      <x:c r="B107" s="2" t="str">
        <x:v>霍峻</x:v>
      </x:c>
      <x:c r="C107" s="2" t="str">
        <x:v>霍峻</x:v>
      </x:c>
      <x:c r="D107" s="2" t="str"/>
      <x:c r="E107" s="13" t="n">
        <x:v>178</x:v>
      </x:c>
      <x:c r="F107" s="13" t="n">
        <x:v>197</x:v>
      </x:c>
      <x:c r="G107" s="13" t="n">
        <x:v>217</x:v>
      </x:c>
      <x:c r="H107" s="2" t="str">
        <x:f>IF(OR($E$4="",NOT(ISNUMBER($E$4)),$E$4&lt;1,$E$4&gt;400),"参考年待填",IF(OR(E107="",F107="",G107=""),"年代待核",IF($E$4&lt;E107,"未出生",IF($E$4&lt;F107,"未登场",IF($E$4&gt;G107,"已过卒年",IF($E$4=G107,"卒年边界待核","年表可登场"))))))</x:f>
        <x:v>已过卒年</x:v>
      </x:c>
      <x:c r="I107" s="12"/>
      <x:c r="J107" s="2" t="str">
        <x:v>SAN14游戏设定</x:v>
      </x:c>
      <x:c r="K107" s="2" t="str"/>
      <x:c r="L107" s="2" t="str">
        <x:v>霍峻</x:v>
      </x:c>
      <x:c r="M107" s="2" t="str">
        <x:v>san14-candidate-0099</x:v>
      </x:c>
      <x:c r="N107" s="2" t="str">
        <x:v>霍峻</x:v>
      </x:c>
      <x:c r="O107" s="2" t="str">
        <x:v>カクシュン</x:v>
      </x:c>
    </x:row>
    <x:row r="108" ht="23" customHeight="1">
      <x:c r="A108" s="13" t="n">
        <x:v>100</x:v>
      </x:c>
      <x:c r="B108" s="2" t="str">
        <x:v>郝昭</x:v>
      </x:c>
      <x:c r="C108" s="2" t="str">
        <x:v>郝昭</x:v>
      </x:c>
      <x:c r="D108" s="2" t="str"/>
      <x:c r="E108" s="13" t="n">
        <x:v>185</x:v>
      </x:c>
      <x:c r="F108" s="13" t="n">
        <x:v>204</x:v>
      </x:c>
      <x:c r="G108" s="13" t="n">
        <x:v>229</x:v>
      </x:c>
      <x:c r="H108" s="2" t="str">
        <x:f>IF(OR($E$4="",NOT(ISNUMBER($E$4)),$E$4&lt;1,$E$4&gt;400),"参考年待填",IF(OR(E108="",F108="",G108=""),"年代待核",IF($E$4&lt;E108,"未出生",IF($E$4&lt;F108,"未登场",IF($E$4&gt;G108,"已过卒年",IF($E$4=G108,"卒年边界待核","年表可登场"))))))</x:f>
        <x:v>已过卒年</x:v>
      </x:c>
      <x:c r="I108" s="12"/>
      <x:c r="J108" s="2" t="str">
        <x:v>SAN14游戏设定</x:v>
      </x:c>
      <x:c r="K108" s="2" t="str"/>
      <x:c r="L108" s="2" t="str">
        <x:v>郝昭</x:v>
      </x:c>
      <x:c r="M108" s="2" t="str">
        <x:v>san14-candidate-0100</x:v>
      </x:c>
      <x:c r="N108" s="2" t="str">
        <x:v>カク昭</x:v>
      </x:c>
      <x:c r="O108" s="2" t="str">
        <x:v>カクショウ</x:v>
      </x:c>
    </x:row>
    <x:row r="109" ht="23" customHeight="1">
      <x:c r="A109" s="13" t="n">
        <x:v>101</x:v>
      </x:c>
      <x:c r="B109" s="2" t="str">
        <x:v>郭女王</x:v>
      </x:c>
      <x:c r="C109" s="2" t="str">
        <x:v>郭女王</x:v>
      </x:c>
      <x:c r="D109" s="2" t="str"/>
      <x:c r="E109" s="13" t="n">
        <x:v>184</x:v>
      </x:c>
      <x:c r="F109" s="13" t="n">
        <x:v>202</x:v>
      </x:c>
      <x:c r="G109" s="13" t="n">
        <x:v>235</x:v>
      </x:c>
      <x:c r="H109" s="2" t="str">
        <x:f>IF(OR($E$4="",NOT(ISNUMBER($E$4)),$E$4&lt;1,$E$4&gt;400),"参考年待填",IF(OR(E109="",F109="",G109=""),"年代待核",IF($E$4&lt;E109,"未出生",IF($E$4&lt;F109,"未登场",IF($E$4&gt;G109,"已过卒年",IF($E$4=G109,"卒年边界待核","年表可登场"))))))</x:f>
        <x:v>年表可登场</x:v>
      </x:c>
      <x:c r="I109" s="12"/>
      <x:c r="J109" s="2" t="str">
        <x:v>SAN14游戏设定</x:v>
      </x:c>
      <x:c r="K109" s="2" t="str"/>
      <x:c r="L109" s="2" t="str">
        <x:v>郭女王</x:v>
      </x:c>
      <x:c r="M109" s="2" t="str">
        <x:v>san14-candidate-0101</x:v>
      </x:c>
      <x:c r="N109" s="2" t="str">
        <x:v>郭女王</x:v>
      </x:c>
      <x:c r="O109" s="2" t="str">
        <x:v>カクジョウオウ</x:v>
      </x:c>
    </x:row>
    <x:row r="110" ht="23" customHeight="1">
      <x:c r="A110" s="13" t="n">
        <x:v>102</x:v>
      </x:c>
      <x:c r="B110" s="2" t="str">
        <x:v>乐进</x:v>
      </x:c>
      <x:c r="C110" s="2" t="str">
        <x:v>樂進</x:v>
      </x:c>
      <x:c r="D110" s="2" t="str"/>
      <x:c r="E110" s="13" t="n">
        <x:v>159</x:v>
      </x:c>
      <x:c r="F110" s="13" t="n">
        <x:v>188</x:v>
      </x:c>
      <x:c r="G110" s="13" t="n">
        <x:v>218</x:v>
      </x:c>
      <x:c r="H110" s="2" t="str">
        <x:f>IF(OR($E$4="",NOT(ISNUMBER($E$4)),$E$4&lt;1,$E$4&gt;400),"参考年待填",IF(OR(E110="",F110="",G110=""),"年代待核",IF($E$4&lt;E110,"未出生",IF($E$4&lt;F110,"未登场",IF($E$4&gt;G110,"已过卒年",IF($E$4=G110,"卒年边界待核","年表可登场"))))))</x:f>
        <x:v>已过卒年</x:v>
      </x:c>
      <x:c r="I110" s="12"/>
      <x:c r="J110" s="2" t="str">
        <x:v>SAN14游戏设定</x:v>
      </x:c>
      <x:c r="K110" s="2" t="str"/>
      <x:c r="L110" s="2" t="str">
        <x:v>樂進</x:v>
      </x:c>
      <x:c r="M110" s="2" t="str">
        <x:v>san14-candidate-0102</x:v>
      </x:c>
      <x:c r="N110" s="2" t="str">
        <x:v>楽進</x:v>
      </x:c>
      <x:c r="O110" s="2" t="str">
        <x:v>ガクシン</x:v>
      </x:c>
    </x:row>
    <x:row r="111" ht="23" customHeight="1">
      <x:c r="A111" s="13" t="n">
        <x:v>103</x:v>
      </x:c>
      <x:c r="B111" s="2" t="str">
        <x:v>郭石</x:v>
      </x:c>
      <x:c r="C111" s="2" t="str">
        <x:v>郭石</x:v>
      </x:c>
      <x:c r="D111" s="2" t="str"/>
      <x:c r="E111" s="13" t="n">
        <x:v>158</x:v>
      </x:c>
      <x:c r="F111" s="13" t="n">
        <x:v>184</x:v>
      </x:c>
      <x:c r="G111" s="13" t="n">
        <x:v>187</x:v>
      </x:c>
      <x:c r="H111" s="2" t="str">
        <x:f>IF(OR($E$4="",NOT(ISNUMBER($E$4)),$E$4&lt;1,$E$4&gt;400),"参考年待填",IF(OR(E111="",F111="",G111=""),"年代待核",IF($E$4&lt;E111,"未出生",IF($E$4&lt;F111,"未登场",IF($E$4&gt;G111,"已过卒年",IF($E$4=G111,"卒年边界待核","年表可登场"))))))</x:f>
        <x:v>已过卒年</x:v>
      </x:c>
      <x:c r="I111" s="12"/>
      <x:c r="J111" s="2" t="str">
        <x:v>SAN14游戏设定</x:v>
      </x:c>
      <x:c r="K111" s="2" t="str"/>
      <x:c r="L111" s="2" t="str">
        <x:v>郭石</x:v>
      </x:c>
      <x:c r="M111" s="2" t="str">
        <x:v>san14-candidate-0103</x:v>
      </x:c>
      <x:c r="N111" s="2" t="str">
        <x:v>郭石</x:v>
      </x:c>
      <x:c r="O111" s="2" t="str">
        <x:v>カクセキ</x:v>
      </x:c>
    </x:row>
    <x:row r="112" ht="23" customHeight="1">
      <x:c r="A112" s="13" t="n">
        <x:v>104</x:v>
      </x:c>
      <x:c r="B112" s="2" t="str">
        <x:v>乐𬘭</x:v>
      </x:c>
      <x:c r="C112" s="2" t="str">
        <x:v>樂綝</x:v>
      </x:c>
      <x:c r="D112" s="2" t="str"/>
      <x:c r="E112" s="13" t="n">
        <x:v>196</x:v>
      </x:c>
      <x:c r="F112" s="13" t="n">
        <x:v>210</x:v>
      </x:c>
      <x:c r="G112" s="13" t="n">
        <x:v>257</x:v>
      </x:c>
      <x:c r="H112" s="2" t="str">
        <x:f>IF(OR($E$4="",NOT(ISNUMBER($E$4)),$E$4&lt;1,$E$4&gt;400),"参考年待填",IF(OR(E112="",F112="",G112=""),"年代待核",IF($E$4&lt;E112,"未出生",IF($E$4&lt;F112,"未登场",IF($E$4&gt;G112,"已过卒年",IF($E$4=G112,"卒年边界待核","年表可登场"))))))</x:f>
        <x:v>年表可登场</x:v>
      </x:c>
      <x:c r="I112" s="12"/>
      <x:c r="J112" s="2" t="str">
        <x:v>SAN14游戏设定</x:v>
      </x:c>
      <x:c r="K112" s="2" t="str"/>
      <x:c r="L112" s="2" t="str">
        <x:v>樂綝</x:v>
      </x:c>
      <x:c r="M112" s="2" t="str">
        <x:v>san14-candidate-0104</x:v>
      </x:c>
      <x:c r="N112" s="2" t="str">
        <x:v>楽チン</x:v>
      </x:c>
      <x:c r="O112" s="2" t="str">
        <x:v>ガクチン</x:v>
      </x:c>
    </x:row>
    <x:row r="113" ht="23" customHeight="1">
      <x:c r="A113" s="13" t="n">
        <x:v>105</x:v>
      </x:c>
      <x:c r="B113" s="2" t="str">
        <x:v>郭图</x:v>
      </x:c>
      <x:c r="C113" s="2" t="str">
        <x:v>郭圖</x:v>
      </x:c>
      <x:c r="D113" s="2" t="str"/>
      <x:c r="E113" s="13" t="n">
        <x:v>155</x:v>
      </x:c>
      <x:c r="F113" s="13" t="n">
        <x:v>184</x:v>
      </x:c>
      <x:c r="G113" s="13" t="n">
        <x:v>205</x:v>
      </x:c>
      <x:c r="H113" s="2" t="str">
        <x:f>IF(OR($E$4="",NOT(ISNUMBER($E$4)),$E$4&lt;1,$E$4&gt;400),"参考年待填",IF(OR(E113="",F113="",G113=""),"年代待核",IF($E$4&lt;E113,"未出生",IF($E$4&lt;F113,"未登场",IF($E$4&gt;G113,"已过卒年",IF($E$4=G113,"卒年边界待核","年表可登场"))))))</x:f>
        <x:v>已过卒年</x:v>
      </x:c>
      <x:c r="I113" s="12"/>
      <x:c r="J113" s="2" t="str">
        <x:v>SAN14游戏设定</x:v>
      </x:c>
      <x:c r="K113" s="2" t="str"/>
      <x:c r="L113" s="2" t="str">
        <x:v>郭圖</x:v>
      </x:c>
      <x:c r="M113" s="2" t="str">
        <x:v>san14-candidate-0105</x:v>
      </x:c>
      <x:c r="N113" s="2" t="str">
        <x:v>郭図</x:v>
      </x:c>
      <x:c r="O113" s="2" t="str">
        <x:v>カクト</x:v>
      </x:c>
    </x:row>
    <x:row r="114" ht="23" customHeight="1">
      <x:c r="A114" s="13" t="n">
        <x:v>106</x:v>
      </x:c>
      <x:c r="B114" s="2" t="str">
        <x:v>郭马</x:v>
      </x:c>
      <x:c r="C114" s="2" t="str">
        <x:v>郭馬</x:v>
      </x:c>
      <x:c r="D114" s="2" t="str"/>
      <x:c r="E114" s="13" t="n">
        <x:v>239</x:v>
      </x:c>
      <x:c r="F114" s="13" t="n">
        <x:v>253</x:v>
      </x:c>
      <x:c r="G114" s="13" t="n">
        <x:v>280</x:v>
      </x:c>
      <x:c r="H114" s="2" t="str">
        <x:f>IF(OR($E$4="",NOT(ISNUMBER($E$4)),$E$4&lt;1,$E$4&gt;400),"参考年待填",IF(OR(E114="",F114="",G114=""),"年代待核",IF($E$4&lt;E114,"未出生",IF($E$4&lt;F114,"未登场",IF($E$4&gt;G114,"已过卒年",IF($E$4=G114,"卒年边界待核","年表可登场"))))))</x:f>
        <x:v>未出生</x:v>
      </x:c>
      <x:c r="I114" s="12"/>
      <x:c r="J114" s="2" t="str">
        <x:v>SAN14游戏设定</x:v>
      </x:c>
      <x:c r="K114" s="2" t="str"/>
      <x:c r="L114" s="2" t="str">
        <x:v>郭馬</x:v>
      </x:c>
      <x:c r="M114" s="2" t="str">
        <x:v>san14-candidate-0106</x:v>
      </x:c>
      <x:c r="N114" s="2" t="str">
        <x:v>郭馬</x:v>
      </x:c>
      <x:c r="O114" s="2" t="str">
        <x:v>カクバ</x:v>
      </x:c>
    </x:row>
    <x:row r="115" ht="23" customHeight="1">
      <x:c r="A115" s="13" t="n">
        <x:v>107</x:v>
      </x:c>
      <x:c r="B115" s="2" t="str">
        <x:v>郝普</x:v>
      </x:c>
      <x:c r="C115" s="2" t="str">
        <x:v>郝普</x:v>
      </x:c>
      <x:c r="D115" s="2" t="str"/>
      <x:c r="E115" s="13" t="n">
        <x:v>185</x:v>
      </x:c>
      <x:c r="F115" s="13" t="n">
        <x:v>209</x:v>
      </x:c>
      <x:c r="G115" s="13" t="n">
        <x:v>233</x:v>
      </x:c>
      <x:c r="H115" s="2" t="str">
        <x:f>IF(OR($E$4="",NOT(ISNUMBER($E$4)),$E$4&lt;1,$E$4&gt;400),"参考年待填",IF(OR(E115="",F115="",G115=""),"年代待核",IF($E$4&lt;E115,"未出生",IF($E$4&lt;F115,"未登场",IF($E$4&gt;G115,"已过卒年",IF($E$4=G115,"卒年边界待核","年表可登场"))))))</x:f>
        <x:v>年表可登场</x:v>
      </x:c>
      <x:c r="I115" s="12"/>
      <x:c r="J115" s="2" t="str">
        <x:v>SAN14游戏设定</x:v>
      </x:c>
      <x:c r="K115" s="2" t="str"/>
      <x:c r="L115" s="2" t="str">
        <x:v>郝普</x:v>
      </x:c>
      <x:c r="M115" s="2" t="str">
        <x:v>san14-candidate-0107</x:v>
      </x:c>
      <x:c r="N115" s="2" t="str">
        <x:v>カク普</x:v>
      </x:c>
      <x:c r="O115" s="2" t="str">
        <x:v>カクフ</x:v>
      </x:c>
    </x:row>
    <x:row r="116" ht="23" customHeight="1">
      <x:c r="A116" s="13" t="n">
        <x:v>108</x:v>
      </x:c>
      <x:c r="B116" s="2" t="str">
        <x:v>郝萌</x:v>
      </x:c>
      <x:c r="C116" s="2" t="str">
        <x:v>郝萌</x:v>
      </x:c>
      <x:c r="D116" s="2" t="str"/>
      <x:c r="E116" s="13" t="n">
        <x:v>156</x:v>
      </x:c>
      <x:c r="F116" s="13" t="n">
        <x:v>184</x:v>
      </x:c>
      <x:c r="G116" s="13" t="n">
        <x:v>197</x:v>
      </x:c>
      <x:c r="H116" s="2" t="str">
        <x:f>IF(OR($E$4="",NOT(ISNUMBER($E$4)),$E$4&lt;1,$E$4&gt;400),"参考年待填",IF(OR(E116="",F116="",G116=""),"年代待核",IF($E$4&lt;E116,"未出生",IF($E$4&lt;F116,"未登场",IF($E$4&gt;G116,"已过卒年",IF($E$4=G116,"卒年边界待核","年表可登场"))))))</x:f>
        <x:v>已过卒年</x:v>
      </x:c>
      <x:c r="I116" s="12"/>
      <x:c r="J116" s="2" t="str">
        <x:v>SAN14游戏设定</x:v>
      </x:c>
      <x:c r="K116" s="2" t="str"/>
      <x:c r="L116" s="2" t="str">
        <x:v>郝萌</x:v>
      </x:c>
      <x:c r="M116" s="2" t="str">
        <x:v>san14-candidate-0108</x:v>
      </x:c>
      <x:c r="N116" s="2" t="str">
        <x:v>カク萌</x:v>
      </x:c>
      <x:c r="O116" s="2" t="str">
        <x:v>カクボウ</x:v>
      </x:c>
    </x:row>
    <x:row r="117" ht="23" customHeight="1">
      <x:c r="A117" s="13" t="n">
        <x:v>109</x:v>
      </x:c>
      <x:c r="B117" s="2" t="str">
        <x:v>郭攸之</x:v>
      </x:c>
      <x:c r="C117" s="2" t="str">
        <x:v>郭攸之</x:v>
      </x:c>
      <x:c r="D117" s="2" t="str"/>
      <x:c r="E117" s="13" t="n">
        <x:v>190</x:v>
      </x:c>
      <x:c r="F117" s="13" t="n">
        <x:v>209</x:v>
      </x:c>
      <x:c r="G117" s="13" t="n">
        <x:v>259</x:v>
      </x:c>
      <x:c r="H117" s="2" t="str">
        <x:f>IF(OR($E$4="",NOT(ISNUMBER($E$4)),$E$4&lt;1,$E$4&gt;400),"参考年待填",IF(OR(E117="",F117="",G117=""),"年代待核",IF($E$4&lt;E117,"未出生",IF($E$4&lt;F117,"未登场",IF($E$4&gt;G117,"已过卒年",IF($E$4=G117,"卒年边界待核","年表可登场"))))))</x:f>
        <x:v>年表可登场</x:v>
      </x:c>
      <x:c r="I117" s="12"/>
      <x:c r="J117" s="2" t="str">
        <x:v>SAN14游戏设定</x:v>
      </x:c>
      <x:c r="K117" s="2" t="str"/>
      <x:c r="L117" s="2" t="str">
        <x:v>郭攸之</x:v>
      </x:c>
      <x:c r="M117" s="2" t="str">
        <x:v>san14-candidate-0109</x:v>
      </x:c>
      <x:c r="N117" s="2" t="str">
        <x:v>郭攸之</x:v>
      </x:c>
      <x:c r="O117" s="2" t="str">
        <x:v>カクユウシ</x:v>
      </x:c>
    </x:row>
    <x:row r="118" ht="23" customHeight="1">
      <x:c r="A118" s="13" t="n">
        <x:v>110</x:v>
      </x:c>
      <x:c r="B118" s="2" t="str">
        <x:v>霍弋</x:v>
      </x:c>
      <x:c r="C118" s="2" t="str">
        <x:v>霍弋</x:v>
      </x:c>
      <x:c r="D118" s="2" t="str"/>
      <x:c r="E118" s="13" t="n">
        <x:v>207</x:v>
      </x:c>
      <x:c r="F118" s="13" t="n">
        <x:v>221</x:v>
      </x:c>
      <x:c r="G118" s="13" t="n">
        <x:v>270</x:v>
      </x:c>
      <x:c r="H118" s="2" t="str">
        <x:f>IF(OR($E$4="",NOT(ISNUMBER($E$4)),$E$4&lt;1,$E$4&gt;400),"参考年待填",IF(OR(E118="",F118="",G118=""),"年代待核",IF($E$4&lt;E118,"未出生",IF($E$4&lt;F118,"未登场",IF($E$4&gt;G118,"已过卒年",IF($E$4=G118,"卒年边界待核","年表可登场"))))))</x:f>
        <x:v>年表可登场</x:v>
      </x:c>
      <x:c r="I118" s="12"/>
      <x:c r="J118" s="2" t="str">
        <x:v>SAN14游戏设定</x:v>
      </x:c>
      <x:c r="K118" s="2" t="str"/>
      <x:c r="L118" s="2" t="str">
        <x:v>霍弋</x:v>
      </x:c>
      <x:c r="M118" s="2" t="str">
        <x:v>san14-candidate-0110</x:v>
      </x:c>
      <x:c r="N118" s="2" t="str">
        <x:v>霍弋</x:v>
      </x:c>
      <x:c r="O118" s="2" t="str">
        <x:v>カクヨク</x:v>
      </x:c>
    </x:row>
    <x:row r="119" ht="23" customHeight="1">
      <x:c r="A119" s="13" t="n">
        <x:v>111</x:v>
      </x:c>
      <x:c r="B119" s="2" t="str">
        <x:v>郭淮</x:v>
      </x:c>
      <x:c r="C119" s="2" t="str">
        <x:v>郭淮</x:v>
      </x:c>
      <x:c r="D119" s="2" t="str"/>
      <x:c r="E119" s="13" t="n">
        <x:v>187</x:v>
      </x:c>
      <x:c r="F119" s="13" t="n">
        <x:v>206</x:v>
      </x:c>
      <x:c r="G119" s="13" t="n">
        <x:v>255</x:v>
      </x:c>
      <x:c r="H119" s="2" t="str">
        <x:f>IF(OR($E$4="",NOT(ISNUMBER($E$4)),$E$4&lt;1,$E$4&gt;400),"参考年待填",IF(OR(E119="",F119="",G119=""),"年代待核",IF($E$4&lt;E119,"未出生",IF($E$4&lt;F119,"未登场",IF($E$4&gt;G119,"已过卒年",IF($E$4=G119,"卒年边界待核","年表可登场"))))))</x:f>
        <x:v>年表可登场</x:v>
      </x:c>
      <x:c r="I119" s="12"/>
      <x:c r="J119" s="2" t="str">
        <x:v>SAN14游戏设定</x:v>
      </x:c>
      <x:c r="K119" s="2" t="str"/>
      <x:c r="L119" s="2" t="str">
        <x:v>郭淮</x:v>
      </x:c>
      <x:c r="M119" s="2" t="str">
        <x:v>san14-candidate-0111</x:v>
      </x:c>
      <x:c r="N119" s="2" t="str">
        <x:v>郭淮</x:v>
      </x:c>
      <x:c r="O119" s="2" t="str">
        <x:v>カクワイ</x:v>
      </x:c>
    </x:row>
    <x:row r="120" ht="23" customHeight="1">
      <x:c r="A120" s="13" t="n">
        <x:v>112</x:v>
      </x:c>
      <x:c r="B120" s="2" t="str">
        <x:v>夏侯威</x:v>
      </x:c>
      <x:c r="C120" s="2" t="str">
        <x:v>夏侯威</x:v>
      </x:c>
      <x:c r="D120" s="2" t="str"/>
      <x:c r="E120" s="13" t="n">
        <x:v>204</x:v>
      </x:c>
      <x:c r="F120" s="13" t="n">
        <x:v>218</x:v>
      </x:c>
      <x:c r="G120" s="13" t="n">
        <x:v>253</x:v>
      </x:c>
      <x:c r="H120" s="2" t="str">
        <x:f>IF(OR($E$4="",NOT(ISNUMBER($E$4)),$E$4&lt;1,$E$4&gt;400),"参考年待填",IF(OR(E120="",F120="",G120=""),"年代待核",IF($E$4&lt;E120,"未出生",IF($E$4&lt;F120,"未登场",IF($E$4&gt;G120,"已过卒年",IF($E$4=G120,"卒年边界待核","年表可登场"))))))</x:f>
        <x:v>年表可登场</x:v>
      </x:c>
      <x:c r="I120" s="12"/>
      <x:c r="J120" s="2" t="str">
        <x:v>SAN14游戏设定</x:v>
      </x:c>
      <x:c r="K120" s="2" t="str"/>
      <x:c r="L120" s="2" t="str">
        <x:v>夏侯威</x:v>
      </x:c>
      <x:c r="M120" s="2" t="str">
        <x:v>san14-candidate-0112</x:v>
      </x:c>
      <x:c r="N120" s="2" t="str">
        <x:v>夏侯威</x:v>
      </x:c>
      <x:c r="O120" s="2" t="str">
        <x:v>カコウイ</x:v>
      </x:c>
    </x:row>
    <x:row r="121" ht="23" customHeight="1">
      <x:c r="A121" s="13" t="n">
        <x:v>113</x:v>
      </x:c>
      <x:c r="B121" s="2" t="str">
        <x:v>夏侯荣</x:v>
      </x:c>
      <x:c r="C121" s="2" t="str">
        <x:v>夏侯榮</x:v>
      </x:c>
      <x:c r="D121" s="2" t="str"/>
      <x:c r="E121" s="13" t="n">
        <x:v>207</x:v>
      </x:c>
      <x:c r="F121" s="13" t="n">
        <x:v>217</x:v>
      </x:c>
      <x:c r="G121" s="13" t="n">
        <x:v>219</x:v>
      </x:c>
      <x:c r="H121" s="2" t="str">
        <x:f>IF(OR($E$4="",NOT(ISNUMBER($E$4)),$E$4&lt;1,$E$4&gt;400),"参考年待填",IF(OR(E121="",F121="",G121=""),"年代待核",IF($E$4&lt;E121,"未出生",IF($E$4&lt;F121,"未登场",IF($E$4&gt;G121,"已过卒年",IF($E$4=G121,"卒年边界待核","年表可登场"))))))</x:f>
        <x:v>已过卒年</x:v>
      </x:c>
      <x:c r="I121" s="12"/>
      <x:c r="J121" s="2" t="str">
        <x:v>SAN14游戏设定</x:v>
      </x:c>
      <x:c r="K121" s="2" t="str"/>
      <x:c r="L121" s="2" t="str">
        <x:v>夏侯榮</x:v>
      </x:c>
      <x:c r="M121" s="2" t="str">
        <x:v>san14-candidate-0113</x:v>
      </x:c>
      <x:c r="N121" s="2" t="str">
        <x:v>夏侯栄</x:v>
      </x:c>
      <x:c r="O121" s="2" t="str">
        <x:v>カコウエイ</x:v>
      </x:c>
    </x:row>
    <x:row r="122" ht="23" customHeight="1">
      <x:c r="A122" s="13" t="n">
        <x:v>114</x:v>
      </x:c>
      <x:c r="B122" s="2" t="str">
        <x:v>夏侯渊</x:v>
      </x:c>
      <x:c r="C122" s="2" t="str">
        <x:v>夏侯淵</x:v>
      </x:c>
      <x:c r="D122" s="2" t="str"/>
      <x:c r="E122" s="13" t="n">
        <x:v>162</x:v>
      </x:c>
      <x:c r="F122" s="13" t="n">
        <x:v>184</x:v>
      </x:c>
      <x:c r="G122" s="13" t="n">
        <x:v>219</x:v>
      </x:c>
      <x:c r="H122" s="2" t="str">
        <x:f>IF(OR($E$4="",NOT(ISNUMBER($E$4)),$E$4&lt;1,$E$4&gt;400),"参考年待填",IF(OR(E122="",F122="",G122=""),"年代待核",IF($E$4&lt;E122,"未出生",IF($E$4&lt;F122,"未登场",IF($E$4&gt;G122,"已过卒年",IF($E$4=G122,"卒年边界待核","年表可登场"))))))</x:f>
        <x:v>已过卒年</x:v>
      </x:c>
      <x:c r="I122" s="12"/>
      <x:c r="J122" s="2" t="str">
        <x:v>SAN14游戏设定</x:v>
      </x:c>
      <x:c r="K122" s="2" t="str"/>
      <x:c r="L122" s="2" t="str">
        <x:v>夏侯淵</x:v>
      </x:c>
      <x:c r="M122" s="2" t="str">
        <x:v>san14-candidate-0114</x:v>
      </x:c>
      <x:c r="N122" s="2" t="str">
        <x:v>夏侯淵</x:v>
      </x:c>
      <x:c r="O122" s="2" t="str">
        <x:v>カコウエン</x:v>
      </x:c>
    </x:row>
    <x:row r="123" ht="23" customHeight="1">
      <x:c r="A123" s="13" t="n">
        <x:v>115</x:v>
      </x:c>
      <x:c r="B123" s="2" t="str">
        <x:v>夏侯恩</x:v>
      </x:c>
      <x:c r="C123" s="2" t="str">
        <x:v>夏侯恩</x:v>
      </x:c>
      <x:c r="D123" s="2" t="str"/>
      <x:c r="E123" s="13" t="n">
        <x:v>180</x:v>
      </x:c>
      <x:c r="F123" s="13" t="n">
        <x:v>194</x:v>
      </x:c>
      <x:c r="G123" s="13" t="n">
        <x:v>208</x:v>
      </x:c>
      <x:c r="H123" s="2" t="str">
        <x:f>IF(OR($E$4="",NOT(ISNUMBER($E$4)),$E$4&lt;1,$E$4&gt;400),"参考年待填",IF(OR(E123="",F123="",G123=""),"年代待核",IF($E$4&lt;E123,"未出生",IF($E$4&lt;F123,"未登场",IF($E$4&gt;G123,"已过卒年",IF($E$4=G123,"卒年边界待核","年表可登场"))))))</x:f>
        <x:v>已过卒年</x:v>
      </x:c>
      <x:c r="I123" s="12"/>
      <x:c r="J123" s="2" t="str">
        <x:v>SAN14游戏设定</x:v>
      </x:c>
      <x:c r="K123" s="2" t="str"/>
      <x:c r="L123" s="2" t="str">
        <x:v>夏侯恩</x:v>
      </x:c>
      <x:c r="M123" s="2" t="str">
        <x:v>san14-candidate-0115</x:v>
      </x:c>
      <x:c r="N123" s="2" t="str">
        <x:v>夏侯恩</x:v>
      </x:c>
      <x:c r="O123" s="2" t="str">
        <x:v>カコウオン</x:v>
      </x:c>
    </x:row>
    <x:row r="124" ht="23" customHeight="1">
      <x:c r="A124" s="13" t="n">
        <x:v>116</x:v>
      </x:c>
      <x:c r="B124" s="2" t="str">
        <x:v>夏侯和</x:v>
      </x:c>
      <x:c r="C124" s="2" t="str">
        <x:v>夏侯和</x:v>
      </x:c>
      <x:c r="D124" s="2" t="str"/>
      <x:c r="E124" s="13" t="n">
        <x:v>210</x:v>
      </x:c>
      <x:c r="F124" s="13" t="n">
        <x:v>224</x:v>
      </x:c>
      <x:c r="G124" s="13" t="n">
        <x:v>275</x:v>
      </x:c>
      <x:c r="H124" s="2" t="str">
        <x:f>IF(OR($E$4="",NOT(ISNUMBER($E$4)),$E$4&lt;1,$E$4&gt;400),"参考年待填",IF(OR(E124="",F124="",G124=""),"年代待核",IF($E$4&lt;E124,"未出生",IF($E$4&lt;F124,"未登场",IF($E$4&gt;G124,"已过卒年",IF($E$4=G124,"卒年边界待核","年表可登场"))))))</x:f>
        <x:v>年表可登场</x:v>
      </x:c>
      <x:c r="I124" s="12"/>
      <x:c r="J124" s="2" t="str">
        <x:v>SAN14游戏设定</x:v>
      </x:c>
      <x:c r="K124" s="2" t="str"/>
      <x:c r="L124" s="2" t="str">
        <x:v>夏侯和</x:v>
      </x:c>
      <x:c r="M124" s="2" t="str">
        <x:v>san14-candidate-0116</x:v>
      </x:c>
      <x:c r="N124" s="2" t="str">
        <x:v>夏侯和</x:v>
      </x:c>
      <x:c r="O124" s="2" t="str">
        <x:v>カコウカ</x:v>
      </x:c>
    </x:row>
    <x:row r="125" ht="23" customHeight="1">
      <x:c r="A125" s="13" t="n">
        <x:v>117</x:v>
      </x:c>
      <x:c r="B125" s="2" t="str">
        <x:v>夏侯惠</x:v>
      </x:c>
      <x:c r="C125" s="2" t="str">
        <x:v>夏侯惠</x:v>
      </x:c>
      <x:c r="D125" s="2" t="str"/>
      <x:c r="E125" s="13" t="n">
        <x:v>208</x:v>
      </x:c>
      <x:c r="F125" s="13" t="n">
        <x:v>222</x:v>
      </x:c>
      <x:c r="G125" s="13" t="n">
        <x:v>244</x:v>
      </x:c>
      <x:c r="H125" s="2" t="str">
        <x:f>IF(OR($E$4="",NOT(ISNUMBER($E$4)),$E$4&lt;1,$E$4&gt;400),"参考年待填",IF(OR(E125="",F125="",G125=""),"年代待核",IF($E$4&lt;E125,"未出生",IF($E$4&lt;F125,"未登场",IF($E$4&gt;G125,"已过卒年",IF($E$4=G125,"卒年边界待核","年表可登场"))))))</x:f>
        <x:v>年表可登场</x:v>
      </x:c>
      <x:c r="I125" s="12"/>
      <x:c r="J125" s="2" t="str">
        <x:v>SAN14游戏设定</x:v>
      </x:c>
      <x:c r="K125" s="2" t="str"/>
      <x:c r="L125" s="2" t="str">
        <x:v>夏侯惠</x:v>
      </x:c>
      <x:c r="M125" s="2" t="str">
        <x:v>san14-candidate-0117</x:v>
      </x:c>
      <x:c r="N125" s="2" t="str">
        <x:v>夏侯恵</x:v>
      </x:c>
      <x:c r="O125" s="2" t="str">
        <x:v>カコウケイ</x:v>
      </x:c>
    </x:row>
    <x:row r="126" ht="23" customHeight="1">
      <x:c r="A126" s="13" t="n">
        <x:v>118</x:v>
      </x:c>
      <x:c r="B126" s="2" t="str">
        <x:v>夏侯献</x:v>
      </x:c>
      <x:c r="C126" s="2" t="str">
        <x:v>夏侯獻</x:v>
      </x:c>
      <x:c r="D126" s="2" t="str"/>
      <x:c r="E126" s="13" t="n">
        <x:v>205</x:v>
      </x:c>
      <x:c r="F126" s="13" t="n">
        <x:v>219</x:v>
      </x:c>
      <x:c r="G126" s="13" t="n">
        <x:v>248</x:v>
      </x:c>
      <x:c r="H126" s="2" t="str">
        <x:f>IF(OR($E$4="",NOT(ISNUMBER($E$4)),$E$4&lt;1,$E$4&gt;400),"参考年待填",IF(OR(E126="",F126="",G126=""),"年代待核",IF($E$4&lt;E126,"未出生",IF($E$4&lt;F126,"未登场",IF($E$4&gt;G126,"已过卒年",IF($E$4=G126,"卒年边界待核","年表可登场"))))))</x:f>
        <x:v>年表可登场</x:v>
      </x:c>
      <x:c r="I126" s="12"/>
      <x:c r="J126" s="2" t="str">
        <x:v>SAN14游戏设定</x:v>
      </x:c>
      <x:c r="K126" s="2" t="str"/>
      <x:c r="L126" s="2" t="str">
        <x:v>夏侯獻</x:v>
      </x:c>
      <x:c r="M126" s="2" t="str">
        <x:v>san14-candidate-0118</x:v>
      </x:c>
      <x:c r="N126" s="2" t="str">
        <x:v>夏侯献</x:v>
      </x:c>
      <x:c r="O126" s="2" t="str">
        <x:v>カコウケン</x:v>
      </x:c>
    </x:row>
    <x:row r="127" ht="23" customHeight="1">
      <x:c r="A127" s="13" t="n">
        <x:v>119</x:v>
      </x:c>
      <x:c r="B127" s="2" t="str">
        <x:v>夏侯玄</x:v>
      </x:c>
      <x:c r="C127" s="2" t="str">
        <x:v>夏侯玄</x:v>
      </x:c>
      <x:c r="D127" s="2" t="str"/>
      <x:c r="E127" s="13" t="n">
        <x:v>209</x:v>
      </x:c>
      <x:c r="F127" s="13" t="n">
        <x:v>223</x:v>
      </x:c>
      <x:c r="G127" s="13" t="n">
        <x:v>254</x:v>
      </x:c>
      <x:c r="H127" s="2" t="str">
        <x:f>IF(OR($E$4="",NOT(ISNUMBER($E$4)),$E$4&lt;1,$E$4&gt;400),"参考年待填",IF(OR(E127="",F127="",G127=""),"年代待核",IF($E$4&lt;E127,"未出生",IF($E$4&lt;F127,"未登场",IF($E$4&gt;G127,"已过卒年",IF($E$4=G127,"卒年边界待核","年表可登场"))))))</x:f>
        <x:v>年表可登场</x:v>
      </x:c>
      <x:c r="I127" s="12"/>
      <x:c r="J127" s="2" t="str">
        <x:v>SAN14游戏设定</x:v>
      </x:c>
      <x:c r="K127" s="2" t="str"/>
      <x:c r="L127" s="2" t="str">
        <x:v>夏侯玄</x:v>
      </x:c>
      <x:c r="M127" s="2" t="str">
        <x:v>san14-candidate-0119</x:v>
      </x:c>
      <x:c r="N127" s="2" t="str">
        <x:v>夏侯玄</x:v>
      </x:c>
      <x:c r="O127" s="2" t="str">
        <x:v>カコウゲン</x:v>
      </x:c>
    </x:row>
    <x:row r="128" ht="23" customHeight="1">
      <x:c r="A128" s="13" t="n">
        <x:v>120</x:v>
      </x:c>
      <x:c r="B128" s="2" t="str">
        <x:v>夏侯氏</x:v>
      </x:c>
      <x:c r="C128" s="2" t="str">
        <x:v>夏侯氏</x:v>
      </x:c>
      <x:c r="D128" s="2" t="str"/>
      <x:c r="E128" s="13" t="n">
        <x:v>188</x:v>
      </x:c>
      <x:c r="F128" s="13" t="n">
        <x:v>200</x:v>
      </x:c>
      <x:c r="G128" s="13" t="n">
        <x:v>243</x:v>
      </x:c>
      <x:c r="H128" s="2" t="str">
        <x:f>IF(OR($E$4="",NOT(ISNUMBER($E$4)),$E$4&lt;1,$E$4&gt;400),"参考年待填",IF(OR(E128="",F128="",G128=""),"年代待核",IF($E$4&lt;E128,"未出生",IF($E$4&lt;F128,"未登场",IF($E$4&gt;G128,"已过卒年",IF($E$4=G128,"卒年边界待核","年表可登场"))))))</x:f>
        <x:v>年表可登场</x:v>
      </x:c>
      <x:c r="I128" s="12"/>
      <x:c r="J128" s="2" t="str">
        <x:v>SAN14游戏设定</x:v>
      </x:c>
      <x:c r="K128" s="2" t="str"/>
      <x:c r="L128" s="2" t="str">
        <x:v>夏侯氏</x:v>
      </x:c>
      <x:c r="M128" s="2" t="str">
        <x:v>san14-candidate-0120</x:v>
      </x:c>
      <x:c r="N128" s="2" t="str">
        <x:v>夏侯氏</x:v>
      </x:c>
      <x:c r="O128" s="2" t="str">
        <x:v>カコウシ</x:v>
      </x:c>
    </x:row>
    <x:row r="129" ht="23" customHeight="1">
      <x:c r="A129" s="13" t="n">
        <x:v>121</x:v>
      </x:c>
      <x:c r="B129" s="2" t="str">
        <x:v>夏侯儒</x:v>
      </x:c>
      <x:c r="C129" s="2" t="str">
        <x:v>夏侯儒</x:v>
      </x:c>
      <x:c r="D129" s="2" t="str"/>
      <x:c r="E129" s="13" t="n">
        <x:v>191</x:v>
      </x:c>
      <x:c r="F129" s="13" t="n">
        <x:v>205</x:v>
      </x:c>
      <x:c r="G129" s="13" t="n">
        <x:v>250</x:v>
      </x:c>
      <x:c r="H129" s="2" t="str">
        <x:f>IF(OR($E$4="",NOT(ISNUMBER($E$4)),$E$4&lt;1,$E$4&gt;400),"参考年待填",IF(OR(E129="",F129="",G129=""),"年代待核",IF($E$4&lt;E129,"未出生",IF($E$4&lt;F129,"未登场",IF($E$4&gt;G129,"已过卒年",IF($E$4=G129,"卒年边界待核","年表可登场"))))))</x:f>
        <x:v>年表可登场</x:v>
      </x:c>
      <x:c r="I129" s="12"/>
      <x:c r="J129" s="2" t="str">
        <x:v>SAN14游戏设定</x:v>
      </x:c>
      <x:c r="K129" s="2" t="str"/>
      <x:c r="L129" s="2" t="str">
        <x:v>夏侯儒</x:v>
      </x:c>
      <x:c r="M129" s="2" t="str">
        <x:v>san14-candidate-0121</x:v>
      </x:c>
      <x:c r="N129" s="2" t="str">
        <x:v>夏侯儒</x:v>
      </x:c>
      <x:c r="O129" s="2" t="str">
        <x:v>カコウジュ</x:v>
      </x:c>
    </x:row>
    <x:row r="130" ht="23" customHeight="1">
      <x:c r="A130" s="13" t="n">
        <x:v>122</x:v>
      </x:c>
      <x:c r="B130" s="2" t="str">
        <x:v>夏侯尚</x:v>
      </x:c>
      <x:c r="C130" s="2" t="str">
        <x:v>夏侯尚</x:v>
      </x:c>
      <x:c r="D130" s="2" t="str"/>
      <x:c r="E130" s="13" t="n">
        <x:v>181</x:v>
      </x:c>
      <x:c r="F130" s="13" t="n">
        <x:v>199</x:v>
      </x:c>
      <x:c r="G130" s="13" t="n">
        <x:v>225</x:v>
      </x:c>
      <x:c r="H130" s="2" t="str">
        <x:f>IF(OR($E$4="",NOT(ISNUMBER($E$4)),$E$4&lt;1,$E$4&gt;400),"参考年待填",IF(OR(E130="",F130="",G130=""),"年代待核",IF($E$4&lt;E130,"未出生",IF($E$4&lt;F130,"未登场",IF($E$4&gt;G130,"已过卒年",IF($E$4=G130,"卒年边界待核","年表可登场"))))))</x:f>
        <x:v>已过卒年</x:v>
      </x:c>
      <x:c r="I130" s="12"/>
      <x:c r="J130" s="2" t="str">
        <x:v>SAN14游戏设定</x:v>
      </x:c>
      <x:c r="K130" s="2" t="str"/>
      <x:c r="L130" s="2" t="str">
        <x:v>夏侯尚</x:v>
      </x:c>
      <x:c r="M130" s="2" t="str">
        <x:v>san14-candidate-0122</x:v>
      </x:c>
      <x:c r="N130" s="2" t="str">
        <x:v>夏侯尚</x:v>
      </x:c>
      <x:c r="O130" s="2" t="str">
        <x:v>カコウショウ</x:v>
      </x:c>
    </x:row>
    <x:row r="131" ht="23" customHeight="1">
      <x:c r="A131" s="13" t="n">
        <x:v>123</x:v>
      </x:c>
      <x:c r="B131" s="2" t="str">
        <x:v>夏侯德</x:v>
      </x:c>
      <x:c r="C131" s="2" t="str">
        <x:v>夏侯德</x:v>
      </x:c>
      <x:c r="D131" s="2" t="str"/>
      <x:c r="E131" s="13" t="n">
        <x:v>178</x:v>
      </x:c>
      <x:c r="F131" s="13" t="n">
        <x:v>197</x:v>
      </x:c>
      <x:c r="G131" s="13" t="n">
        <x:v>218</x:v>
      </x:c>
      <x:c r="H131" s="2" t="str">
        <x:f>IF(OR($E$4="",NOT(ISNUMBER($E$4)),$E$4&lt;1,$E$4&gt;400),"参考年待填",IF(OR(E131="",F131="",G131=""),"年代待核",IF($E$4&lt;E131,"未出生",IF($E$4&lt;F131,"未登场",IF($E$4&gt;G131,"已过卒年",IF($E$4=G131,"卒年边界待核","年表可登场"))))))</x:f>
        <x:v>已过卒年</x:v>
      </x:c>
      <x:c r="I131" s="12"/>
      <x:c r="J131" s="2" t="str">
        <x:v>SAN14游戏设定</x:v>
      </x:c>
      <x:c r="K131" s="2" t="str"/>
      <x:c r="L131" s="2" t="str">
        <x:v>夏侯德</x:v>
      </x:c>
      <x:c r="M131" s="2" t="str">
        <x:v>san14-candidate-0123</x:v>
      </x:c>
      <x:c r="N131" s="2" t="str">
        <x:v>夏侯徳</x:v>
      </x:c>
      <x:c r="O131" s="2" t="str">
        <x:v>カコウトク</x:v>
      </x:c>
    </x:row>
    <x:row r="132" ht="23" customHeight="1">
      <x:c r="A132" s="13" t="n">
        <x:v>124</x:v>
      </x:c>
      <x:c r="B132" s="2" t="str">
        <x:v>夏侯惇</x:v>
      </x:c>
      <x:c r="C132" s="2" t="str">
        <x:v>夏侯惇</x:v>
      </x:c>
      <x:c r="D132" s="2" t="str"/>
      <x:c r="E132" s="13" t="n">
        <x:v>156</x:v>
      </x:c>
      <x:c r="F132" s="13" t="n">
        <x:v>184</x:v>
      </x:c>
      <x:c r="G132" s="13" t="n">
        <x:v>220</x:v>
      </x:c>
      <x:c r="H132" s="2" t="str">
        <x:f>IF(OR($E$4="",NOT(ISNUMBER($E$4)),$E$4&lt;1,$E$4&gt;400),"参考年待填",IF(OR(E132="",F132="",G132=""),"年代待核",IF($E$4&lt;E132,"未出生",IF($E$4&lt;F132,"未登场",IF($E$4&gt;G132,"已过卒年",IF($E$4=G132,"卒年边界待核","年表可登场"))))))</x:f>
        <x:v>已过卒年</x:v>
      </x:c>
      <x:c r="I132" s="12" t="n">
        <x:v>30</x:v>
      </x:c>
      <x:c r="J132" s="2" t="str">
        <x:v>SAN14游戏设定</x:v>
      </x:c>
      <x:c r="K132" s="2" t="str"/>
      <x:c r="L132" s="2" t="str">
        <x:v>夏侯惇</x:v>
      </x:c>
      <x:c r="M132" s="2" t="str">
        <x:v>san14-candidate-0124</x:v>
      </x:c>
      <x:c r="N132" s="2" t="str">
        <x:v>夏侯惇</x:v>
      </x:c>
      <x:c r="O132" s="2" t="str">
        <x:v>カコウトン</x:v>
      </x:c>
    </x:row>
    <x:row r="133" ht="23" customHeight="1">
      <x:c r="A133" s="13" t="n">
        <x:v>125</x:v>
      </x:c>
      <x:c r="B133" s="2" t="str">
        <x:v>夏侯霸</x:v>
      </x:c>
      <x:c r="C133" s="2" t="str">
        <x:v>夏侯霸</x:v>
      </x:c>
      <x:c r="D133" s="2" t="str"/>
      <x:c r="E133" s="13" t="n">
        <x:v>202</x:v>
      </x:c>
      <x:c r="F133" s="13" t="n">
        <x:v>216</x:v>
      </x:c>
      <x:c r="G133" s="13" t="n">
        <x:v>262</x:v>
      </x:c>
      <x:c r="H133" s="2" t="str">
        <x:f>IF(OR($E$4="",NOT(ISNUMBER($E$4)),$E$4&lt;1,$E$4&gt;400),"参考年待填",IF(OR(E133="",F133="",G133=""),"年代待核",IF($E$4&lt;E133,"未出生",IF($E$4&lt;F133,"未登场",IF($E$4&gt;G133,"已过卒年",IF($E$4=G133,"卒年边界待核","年表可登场"))))))</x:f>
        <x:v>年表可登场</x:v>
      </x:c>
      <x:c r="I133" s="12"/>
      <x:c r="J133" s="2" t="str">
        <x:v>SAN14游戏设定</x:v>
      </x:c>
      <x:c r="K133" s="2" t="str"/>
      <x:c r="L133" s="2" t="str">
        <x:v>夏侯霸</x:v>
      </x:c>
      <x:c r="M133" s="2" t="str">
        <x:v>san14-candidate-0125</x:v>
      </x:c>
      <x:c r="N133" s="2" t="str">
        <x:v>夏侯覇</x:v>
      </x:c>
      <x:c r="O133" s="2" t="str">
        <x:v>カコウハ</x:v>
      </x:c>
    </x:row>
    <x:row r="134" ht="23" customHeight="1">
      <x:c r="A134" s="13" t="n">
        <x:v>126</x:v>
      </x:c>
      <x:c r="B134" s="2" t="str">
        <x:v>夏侯楙</x:v>
      </x:c>
      <x:c r="C134" s="2" t="str">
        <x:v>夏侯楙</x:v>
      </x:c>
      <x:c r="D134" s="2" t="str"/>
      <x:c r="E134" s="13" t="n">
        <x:v>201</x:v>
      </x:c>
      <x:c r="F134" s="13" t="n">
        <x:v>215</x:v>
      </x:c>
      <x:c r="G134" s="13" t="n">
        <x:v>259</x:v>
      </x:c>
      <x:c r="H134" s="2" t="str">
        <x:f>IF(OR($E$4="",NOT(ISNUMBER($E$4)),$E$4&lt;1,$E$4&gt;400),"参考年待填",IF(OR(E134="",F134="",G134=""),"年代待核",IF($E$4&lt;E134,"未出生",IF($E$4&lt;F134,"未登场",IF($E$4&gt;G134,"已过卒年",IF($E$4=G134,"卒年边界待核","年表可登场"))))))</x:f>
        <x:v>年表可登场</x:v>
      </x:c>
      <x:c r="I134" s="12"/>
      <x:c r="J134" s="2" t="str">
        <x:v>SAN14游戏设定</x:v>
      </x:c>
      <x:c r="K134" s="2" t="str"/>
      <x:c r="L134" s="2" t="str">
        <x:v>夏侯楙</x:v>
      </x:c>
      <x:c r="M134" s="2" t="str">
        <x:v>san14-candidate-0126</x:v>
      </x:c>
      <x:c r="N134" s="2" t="str">
        <x:v>夏侯楙</x:v>
      </x:c>
      <x:c r="O134" s="2" t="str">
        <x:v>カコウボウ</x:v>
      </x:c>
    </x:row>
    <x:row r="135" ht="23" customHeight="1">
      <x:c r="A135" s="13" t="n">
        <x:v>127</x:v>
      </x:c>
      <x:c r="B135" s="2" t="str">
        <x:v>夏侯兰</x:v>
      </x:c>
      <x:c r="C135" s="2" t="str">
        <x:v>夏侯蘭</x:v>
      </x:c>
      <x:c r="D135" s="2" t="str"/>
      <x:c r="E135" s="13" t="n">
        <x:v>168</x:v>
      </x:c>
      <x:c r="F135" s="13" t="n">
        <x:v>202</x:v>
      </x:c>
      <x:c r="G135" s="13" t="n">
        <x:v>219</x:v>
      </x:c>
      <x:c r="H135" s="2" t="str">
        <x:f>IF(OR($E$4="",NOT(ISNUMBER($E$4)),$E$4&lt;1,$E$4&gt;400),"参考年待填",IF(OR(E135="",F135="",G135=""),"年代待核",IF($E$4&lt;E135,"未出生",IF($E$4&lt;F135,"未登场",IF($E$4&gt;G135,"已过卒年",IF($E$4=G135,"卒年边界待核","年表可登场"))))))</x:f>
        <x:v>已过卒年</x:v>
      </x:c>
      <x:c r="I135" s="12"/>
      <x:c r="J135" s="2" t="str">
        <x:v>SAN14游戏设定</x:v>
      </x:c>
      <x:c r="K135" s="2" t="str"/>
      <x:c r="L135" s="2" t="str">
        <x:v>夏侯蘭</x:v>
      </x:c>
      <x:c r="M135" s="2" t="str">
        <x:v>san14-candidate-0127</x:v>
      </x:c>
      <x:c r="N135" s="2" t="str">
        <x:v>夏侯蘭</x:v>
      </x:c>
      <x:c r="O135" s="2" t="str">
        <x:v>カコウラン</x:v>
      </x:c>
    </x:row>
    <x:row r="136" ht="23" customHeight="1">
      <x:c r="A136" s="13" t="n">
        <x:v>128</x:v>
      </x:c>
      <x:c r="B136" s="2" t="str">
        <x:v>夏侯令女</x:v>
      </x:c>
      <x:c r="C136" s="2" t="str">
        <x:v>夏侯令女</x:v>
      </x:c>
      <x:c r="D136" s="2" t="str"/>
      <x:c r="E136" s="13" t="n">
        <x:v>207</x:v>
      </x:c>
      <x:c r="F136" s="13" t="n">
        <x:v>221</x:v>
      </x:c>
      <x:c r="G136" s="13" t="n">
        <x:v>257</x:v>
      </x:c>
      <x:c r="H136" s="2" t="str">
        <x:f>IF(OR($E$4="",NOT(ISNUMBER($E$4)),$E$4&lt;1,$E$4&gt;400),"参考年待填",IF(OR(E136="",F136="",G136=""),"年代待核",IF($E$4&lt;E136,"未出生",IF($E$4&lt;F136,"未登场",IF($E$4&gt;G136,"已过卒年",IF($E$4=G136,"卒年边界待核","年表可登场"))))))</x:f>
        <x:v>年表可登场</x:v>
      </x:c>
      <x:c r="I136" s="12"/>
      <x:c r="J136" s="2" t="str">
        <x:v>SAN14游戏设定</x:v>
      </x:c>
      <x:c r="K136" s="2" t="str"/>
      <x:c r="L136" s="2" t="str">
        <x:v>夏侯令女</x:v>
      </x:c>
      <x:c r="M136" s="2" t="str">
        <x:v>san14-candidate-0128</x:v>
      </x:c>
      <x:c r="N136" s="2" t="str">
        <x:v>夏侯令女</x:v>
      </x:c>
      <x:c r="O136" s="2" t="str">
        <x:v>カコウレイジョ</x:v>
      </x:c>
    </x:row>
    <x:row r="137" ht="23" customHeight="1">
      <x:c r="A137" s="13" t="n">
        <x:v>129</x:v>
      </x:c>
      <x:c r="B137" s="2" t="str">
        <x:v>何氏</x:v>
      </x:c>
      <x:c r="C137" s="2" t="str">
        <x:v>何氏</x:v>
      </x:c>
      <x:c r="D137" s="2" t="str"/>
      <x:c r="E137" s="13" t="n">
        <x:v>150</x:v>
      </x:c>
      <x:c r="F137" s="13" t="n">
        <x:v>184</x:v>
      </x:c>
      <x:c r="G137" s="13" t="n">
        <x:v>189</x:v>
      </x:c>
      <x:c r="H137" s="2" t="str">
        <x:f>IF(OR($E$4="",NOT(ISNUMBER($E$4)),$E$4&lt;1,$E$4&gt;400),"参考年待填",IF(OR(E137="",F137="",G137=""),"年代待核",IF($E$4&lt;E137,"未出生",IF($E$4&lt;F137,"未登场",IF($E$4&gt;G137,"已过卒年",IF($E$4=G137,"卒年边界待核","年表可登场"))))))</x:f>
        <x:v>已过卒年</x:v>
      </x:c>
      <x:c r="I137" s="12"/>
      <x:c r="J137" s="2" t="str">
        <x:v>SAN14游戏设定</x:v>
      </x:c>
      <x:c r="K137" s="2" t="str"/>
      <x:c r="L137" s="2" t="str">
        <x:v>何氏</x:v>
      </x:c>
      <x:c r="M137" s="2" t="str">
        <x:v>san14-candidate-0129</x:v>
      </x:c>
      <x:c r="N137" s="2" t="str">
        <x:v>何氏</x:v>
      </x:c>
      <x:c r="O137" s="2" t="str">
        <x:v>カシ</x:v>
      </x:c>
    </x:row>
    <x:row r="138" ht="23" customHeight="1">
      <x:c r="A138" s="13" t="n">
        <x:v>130</x:v>
      </x:c>
      <x:c r="B138" s="2" t="str">
        <x:v>贾充</x:v>
      </x:c>
      <x:c r="C138" s="2" t="str">
        <x:v>賈充</x:v>
      </x:c>
      <x:c r="D138" s="2" t="str"/>
      <x:c r="E138" s="13" t="n">
        <x:v>217</x:v>
      </x:c>
      <x:c r="F138" s="13" t="n">
        <x:v>231</x:v>
      </x:c>
      <x:c r="G138" s="13" t="n">
        <x:v>282</x:v>
      </x:c>
      <x:c r="H138" s="2" t="str">
        <x:f>IF(OR($E$4="",NOT(ISNUMBER($E$4)),$E$4&lt;1,$E$4&gt;400),"参考年待填",IF(OR(E138="",F138="",G138=""),"年代待核",IF($E$4&lt;E138,"未出生",IF($E$4&lt;F138,"未登场",IF($E$4&gt;G138,"已过卒年",IF($E$4=G138,"卒年边界待核","年表可登场"))))))</x:f>
        <x:v>未登场</x:v>
      </x:c>
      <x:c r="I138" s="12"/>
      <x:c r="J138" s="2" t="str">
        <x:v>SAN14游戏设定</x:v>
      </x:c>
      <x:c r="K138" s="2" t="str"/>
      <x:c r="L138" s="2" t="str">
        <x:v>賈充</x:v>
      </x:c>
      <x:c r="M138" s="2" t="str">
        <x:v>san14-candidate-0130</x:v>
      </x:c>
      <x:c r="N138" s="2" t="str">
        <x:v>賈充</x:v>
      </x:c>
      <x:c r="O138" s="2" t="str">
        <x:v>カジュウ</x:v>
      </x:c>
    </x:row>
    <x:row r="139" ht="23" customHeight="1">
      <x:c r="A139" s="13" t="n">
        <x:v>131</x:v>
      </x:c>
      <x:c r="B139" s="2" t="str">
        <x:v>何植</x:v>
      </x:c>
      <x:c r="C139" s="2" t="str">
        <x:v>何植</x:v>
      </x:c>
      <x:c r="D139" s="2" t="str"/>
      <x:c r="E139" s="13" t="n">
        <x:v>230</x:v>
      </x:c>
      <x:c r="F139" s="13" t="n">
        <x:v>245</x:v>
      </x:c>
      <x:c r="G139" s="13" t="n">
        <x:v>284</x:v>
      </x:c>
      <x:c r="H139" s="2" t="str">
        <x:f>IF(OR($E$4="",NOT(ISNUMBER($E$4)),$E$4&lt;1,$E$4&gt;400),"参考年待填",IF(OR(E139="",F139="",G139=""),"年代待核",IF($E$4&lt;E139,"未出生",IF($E$4&lt;F139,"未登场",IF($E$4&gt;G139,"已过卒年",IF($E$4=G139,"卒年边界待核","年表可登场"))))))</x:f>
        <x:v>未登场</x:v>
      </x:c>
      <x:c r="I139" s="12"/>
      <x:c r="J139" s="2" t="str">
        <x:v>SAN14游戏设定</x:v>
      </x:c>
      <x:c r="K139" s="2" t="str"/>
      <x:c r="L139" s="2" t="str">
        <x:v>何植</x:v>
      </x:c>
      <x:c r="M139" s="2" t="str">
        <x:v>san14-candidate-0131</x:v>
      </x:c>
      <x:c r="N139" s="2" t="str">
        <x:v>何植</x:v>
      </x:c>
      <x:c r="O139" s="2" t="str">
        <x:v>カショク</x:v>
      </x:c>
    </x:row>
    <x:row r="140" ht="23" customHeight="1">
      <x:c r="A140" s="13" t="n">
        <x:v>132</x:v>
      </x:c>
      <x:c r="B140" s="2" t="str">
        <x:v>何进</x:v>
      </x:c>
      <x:c r="C140" s="2" t="str">
        <x:v>何進</x:v>
      </x:c>
      <x:c r="D140" s="2" t="str"/>
      <x:c r="E140" s="13" t="n">
        <x:v>135</x:v>
      </x:c>
      <x:c r="F140" s="13" t="n">
        <x:v>184</x:v>
      </x:c>
      <x:c r="G140" s="13" t="n">
        <x:v>189</x:v>
      </x:c>
      <x:c r="H140" s="2" t="str">
        <x:f>IF(OR($E$4="",NOT(ISNUMBER($E$4)),$E$4&lt;1,$E$4&gt;400),"参考年待填",IF(OR(E140="",F140="",G140=""),"年代待核",IF($E$4&lt;E140,"未出生",IF($E$4&lt;F140,"未登场",IF($E$4&gt;G140,"已过卒年",IF($E$4=G140,"卒年边界待核","年表可登场"))))))</x:f>
        <x:v>已过卒年</x:v>
      </x:c>
      <x:c r="I140" s="12"/>
      <x:c r="J140" s="2" t="str">
        <x:v>SAN14游戏设定</x:v>
      </x:c>
      <x:c r="K140" s="2" t="str"/>
      <x:c r="L140" s="2" t="str">
        <x:v>何進</x:v>
      </x:c>
      <x:c r="M140" s="2" t="str">
        <x:v>san14-candidate-0132</x:v>
      </x:c>
      <x:c r="N140" s="2" t="str">
        <x:v>何進</x:v>
      </x:c>
      <x:c r="O140" s="2" t="str">
        <x:v>カシン</x:v>
      </x:c>
    </x:row>
    <x:row r="141" ht="23" customHeight="1">
      <x:c r="A141" s="13" t="n">
        <x:v>133</x:v>
      </x:c>
      <x:c r="B141" s="2" t="str">
        <x:v>贾信</x:v>
      </x:c>
      <x:c r="C141" s="2" t="str">
        <x:v>賈信</x:v>
      </x:c>
      <x:c r="D141" s="2" t="str"/>
      <x:c r="E141" s="13" t="n">
        <x:v>171</x:v>
      </x:c>
      <x:c r="F141" s="13" t="n">
        <x:v>199</x:v>
      </x:c>
      <x:c r="G141" s="13" t="n">
        <x:v>220</x:v>
      </x:c>
      <x:c r="H141" s="2" t="str">
        <x:f>IF(OR($E$4="",NOT(ISNUMBER($E$4)),$E$4&lt;1,$E$4&gt;400),"参考年待填",IF(OR(E141="",F141="",G141=""),"年代待核",IF($E$4&lt;E141,"未出生",IF($E$4&lt;F141,"未登场",IF($E$4&gt;G141,"已过卒年",IF($E$4=G141,"卒年边界待核","年表可登场"))))))</x:f>
        <x:v>已过卒年</x:v>
      </x:c>
      <x:c r="I141" s="12"/>
      <x:c r="J141" s="2" t="str">
        <x:v>SAN14游戏设定</x:v>
      </x:c>
      <x:c r="K141" s="2" t="str"/>
      <x:c r="L141" s="2" t="str">
        <x:v>賈信</x:v>
      </x:c>
      <x:c r="M141" s="2" t="str">
        <x:v>san14-candidate-0133</x:v>
      </x:c>
      <x:c r="N141" s="2" t="str">
        <x:v>賈信</x:v>
      </x:c>
      <x:c r="O141" s="2" t="str">
        <x:v>カシン</x:v>
      </x:c>
    </x:row>
    <x:row r="142" ht="23" customHeight="1">
      <x:c r="A142" s="13" t="n">
        <x:v>134</x:v>
      </x:c>
      <x:c r="B142" s="2" t="str">
        <x:v>贺齐</x:v>
      </x:c>
      <x:c r="C142" s="2" t="str">
        <x:v>賀齊</x:v>
      </x:c>
      <x:c r="D142" s="2" t="str"/>
      <x:c r="E142" s="13" t="n">
        <x:v>171</x:v>
      </x:c>
      <x:c r="F142" s="13" t="n">
        <x:v>189</x:v>
      </x:c>
      <x:c r="G142" s="13" t="n">
        <x:v>227</x:v>
      </x:c>
      <x:c r="H142" s="2" t="str">
        <x:f>IF(OR($E$4="",NOT(ISNUMBER($E$4)),$E$4&lt;1,$E$4&gt;400),"参考年待填",IF(OR(E142="",F142="",G142=""),"年代待核",IF($E$4&lt;E142,"未出生",IF($E$4&lt;F142,"未登场",IF($E$4&gt;G142,"已过卒年",IF($E$4=G142,"卒年边界待核","年表可登场"))))))</x:f>
        <x:v>已过卒年</x:v>
      </x:c>
      <x:c r="I142" s="12"/>
      <x:c r="J142" s="2" t="str">
        <x:v>SAN14游戏设定</x:v>
      </x:c>
      <x:c r="K142" s="2" t="str"/>
      <x:c r="L142" s="2" t="str">
        <x:v>賀齊</x:v>
      </x:c>
      <x:c r="M142" s="2" t="str">
        <x:v>san14-candidate-0134</x:v>
      </x:c>
      <x:c r="N142" s="2" t="str">
        <x:v>賀斉</x:v>
      </x:c>
      <x:c r="O142" s="2" t="str">
        <x:v>ガセイ</x:v>
      </x:c>
    </x:row>
    <x:row r="143" ht="23" customHeight="1">
      <x:c r="A143" s="13" t="n">
        <x:v>135</x:v>
      </x:c>
      <x:c r="B143" s="2" t="str">
        <x:v>何曾</x:v>
      </x:c>
      <x:c r="C143" s="2" t="str">
        <x:v>何曾</x:v>
      </x:c>
      <x:c r="D143" s="2" t="str"/>
      <x:c r="E143" s="13" t="n">
        <x:v>199</x:v>
      </x:c>
      <x:c r="F143" s="13" t="n">
        <x:v>216</x:v>
      </x:c>
      <x:c r="G143" s="13" t="n">
        <x:v>278</x:v>
      </x:c>
      <x:c r="H143" s="2" t="str">
        <x:f>IF(OR($E$4="",NOT(ISNUMBER($E$4)),$E$4&lt;1,$E$4&gt;400),"参考年待填",IF(OR(E143="",F143="",G143=""),"年代待核",IF($E$4&lt;E143,"未出生",IF($E$4&lt;F143,"未登场",IF($E$4&gt;G143,"已过卒年",IF($E$4=G143,"卒年边界待核","年表可登场"))))))</x:f>
        <x:v>年表可登场</x:v>
      </x:c>
      <x:c r="I143" s="12"/>
      <x:c r="J143" s="2" t="str">
        <x:v>SAN14游戏设定</x:v>
      </x:c>
      <x:c r="K143" s="2" t="str"/>
      <x:c r="L143" s="2" t="str">
        <x:v>何曾</x:v>
      </x:c>
      <x:c r="M143" s="2" t="str">
        <x:v>san14-candidate-0135</x:v>
      </x:c>
      <x:c r="N143" s="2" t="str">
        <x:v>何曾</x:v>
      </x:c>
      <x:c r="O143" s="2" t="str">
        <x:v>カソウ</x:v>
      </x:c>
    </x:row>
    <x:row r="144" ht="23" customHeight="1">
      <x:c r="A144" s="13" t="n">
        <x:v>136</x:v>
      </x:c>
      <x:c r="B144" s="2" t="str">
        <x:v>何宗</x:v>
      </x:c>
      <x:c r="C144" s="2" t="str">
        <x:v>何宗</x:v>
      </x:c>
      <x:c r="D144" s="2" t="str"/>
      <x:c r="E144" s="13" t="n">
        <x:v>165</x:v>
      </x:c>
      <x:c r="F144" s="13" t="n">
        <x:v>199</x:v>
      </x:c>
      <x:c r="G144" s="13" t="n">
        <x:v>234</x:v>
      </x:c>
      <x:c r="H144" s="2" t="str">
        <x:f>IF(OR($E$4="",NOT(ISNUMBER($E$4)),$E$4&lt;1,$E$4&gt;400),"参考年待填",IF(OR(E144="",F144="",G144=""),"年代待核",IF($E$4&lt;E144,"未出生",IF($E$4&lt;F144,"未登场",IF($E$4&gt;G144,"已过卒年",IF($E$4=G144,"卒年边界待核","年表可登场"))))))</x:f>
        <x:v>年表可登场</x:v>
      </x:c>
      <x:c r="I144" s="12"/>
      <x:c r="J144" s="2" t="str">
        <x:v>SAN14游戏设定</x:v>
      </x:c>
      <x:c r="K144" s="2" t="str"/>
      <x:c r="L144" s="2" t="str">
        <x:v>何宗</x:v>
      </x:c>
      <x:c r="M144" s="2" t="str">
        <x:v>san14-candidate-0136</x:v>
      </x:c>
      <x:c r="N144" s="2" t="str">
        <x:v>何宗</x:v>
      </x:c>
      <x:c r="O144" s="2" t="str">
        <x:v>カソウ</x:v>
      </x:c>
    </x:row>
    <x:row r="145" ht="23" customHeight="1">
      <x:c r="A145" s="13" t="n">
        <x:v>137</x:v>
      </x:c>
      <x:c r="B145" s="2" t="str">
        <x:v>贺达</x:v>
      </x:c>
      <x:c r="C145" s="2" t="str">
        <x:v>賀達</x:v>
      </x:c>
      <x:c r="D145" s="2" t="str"/>
      <x:c r="E145" s="13" t="n">
        <x:v>194</x:v>
      </x:c>
      <x:c r="F145" s="13" t="n">
        <x:v>208</x:v>
      </x:c>
      <x:c r="G145" s="13" t="n">
        <x:v>233</x:v>
      </x:c>
      <x:c r="H145" s="2" t="str">
        <x:f>IF(OR($E$4="",NOT(ISNUMBER($E$4)),$E$4&lt;1,$E$4&gt;400),"参考年待填",IF(OR(E145="",F145="",G145=""),"年代待核",IF($E$4&lt;E145,"未出生",IF($E$4&lt;F145,"未登场",IF($E$4&gt;G145,"已过卒年",IF($E$4=G145,"卒年边界待核","年表可登场"))))))</x:f>
        <x:v>年表可登场</x:v>
      </x:c>
      <x:c r="I145" s="12"/>
      <x:c r="J145" s="2" t="str">
        <x:v>SAN14游戏设定</x:v>
      </x:c>
      <x:c r="K145" s="2" t="str"/>
      <x:c r="L145" s="2" t="str">
        <x:v>賀達</x:v>
      </x:c>
      <x:c r="M145" s="2" t="str">
        <x:v>san14-candidate-0137</x:v>
      </x:c>
      <x:c r="N145" s="2" t="str">
        <x:v>賀達</x:v>
      </x:c>
      <x:c r="O145" s="2" t="str">
        <x:v>ガタツ</x:v>
      </x:c>
    </x:row>
    <x:row r="146" ht="23" customHeight="1">
      <x:c r="A146" s="13" t="n">
        <x:v>138</x:v>
      </x:c>
      <x:c r="B146" s="2" t="str">
        <x:v>雅丹</x:v>
      </x:c>
      <x:c r="C146" s="2" t="str">
        <x:v>雅丹</x:v>
      </x:c>
      <x:c r="D146" s="2" t="str"/>
      <x:c r="E146" s="13" t="n">
        <x:v>186</x:v>
      </x:c>
      <x:c r="F146" s="13" t="n">
        <x:v>210</x:v>
      </x:c>
      <x:c r="G146" s="13" t="n">
        <x:v>259</x:v>
      </x:c>
      <x:c r="H146" s="2" t="str">
        <x:f>IF(OR($E$4="",NOT(ISNUMBER($E$4)),$E$4&lt;1,$E$4&gt;400),"参考年待填",IF(OR(E146="",F146="",G146=""),"年代待核",IF($E$4&lt;E146,"未出生",IF($E$4&lt;F146,"未登场",IF($E$4&gt;G146,"已过卒年",IF($E$4=G146,"卒年边界待核","年表可登场"))))))</x:f>
        <x:v>年表可登场</x:v>
      </x:c>
      <x:c r="I146" s="12"/>
      <x:c r="J146" s="2" t="str">
        <x:v>SAN14游戏设定</x:v>
      </x:c>
      <x:c r="K146" s="2" t="str"/>
      <x:c r="L146" s="2" t="str">
        <x:v>雅丹</x:v>
      </x:c>
      <x:c r="M146" s="2" t="str">
        <x:v>san14-candidate-0138</x:v>
      </x:c>
      <x:c r="N146" s="2" t="str">
        <x:v>雅丹</x:v>
      </x:c>
      <x:c r="O146" s="2" t="str">
        <x:v>ガタン</x:v>
      </x:c>
    </x:row>
    <x:row r="147" ht="23" customHeight="1">
      <x:c r="A147" s="13" t="n">
        <x:v>139</x:v>
      </x:c>
      <x:c r="B147" s="2" t="str">
        <x:v>何桢</x:v>
      </x:c>
      <x:c r="C147" s="2" t="str">
        <x:v>何楨</x:v>
      </x:c>
      <x:c r="D147" s="2" t="str"/>
      <x:c r="E147" s="13" t="n">
        <x:v>222</x:v>
      </x:c>
      <x:c r="F147" s="13" t="n">
        <x:v>241</x:v>
      </x:c>
      <x:c r="G147" s="13" t="n">
        <x:v>281</x:v>
      </x:c>
      <x:c r="H147" s="2" t="str">
        <x:f>IF(OR($E$4="",NOT(ISNUMBER($E$4)),$E$4&lt;1,$E$4&gt;400),"参考年待填",IF(OR(E147="",F147="",G147=""),"年代待核",IF($E$4&lt;E147,"未出生",IF($E$4&lt;F147,"未登场",IF($E$4&gt;G147,"已过卒年",IF($E$4=G147,"卒年边界待核","年表可登场"))))))</x:f>
        <x:v>未登场</x:v>
      </x:c>
      <x:c r="I147" s="12"/>
      <x:c r="J147" s="2" t="str">
        <x:v>SAN14游戏设定</x:v>
      </x:c>
      <x:c r="K147" s="2" t="str"/>
      <x:c r="L147" s="2" t="str">
        <x:v>何楨</x:v>
      </x:c>
      <x:c r="M147" s="2" t="str">
        <x:v>san14-candidate-0139</x:v>
      </x:c>
      <x:c r="N147" s="2" t="str">
        <x:v>何楨</x:v>
      </x:c>
      <x:c r="O147" s="2" t="str">
        <x:v>カテイ</x:v>
      </x:c>
    </x:row>
    <x:row r="148" ht="23" customHeight="1">
      <x:c r="A148" s="13" t="n">
        <x:v>140</x:v>
      </x:c>
      <x:c r="B148" s="2" t="str">
        <x:v>贾范</x:v>
      </x:c>
      <x:c r="C148" s="2" t="str">
        <x:v>賈範</x:v>
      </x:c>
      <x:c r="D148" s="2" t="str"/>
      <x:c r="E148" s="13" t="n">
        <x:v>202</x:v>
      </x:c>
      <x:c r="F148" s="13" t="n">
        <x:v>221</x:v>
      </x:c>
      <x:c r="G148" s="13" t="n">
        <x:v>237</x:v>
      </x:c>
      <x:c r="H148" s="2" t="str">
        <x:f>IF(OR($E$4="",NOT(ISNUMBER($E$4)),$E$4&lt;1,$E$4&gt;400),"参考年待填",IF(OR(E148="",F148="",G148=""),"年代待核",IF($E$4&lt;E148,"未出生",IF($E$4&lt;F148,"未登场",IF($E$4&gt;G148,"已过卒年",IF($E$4=G148,"卒年边界待核","年表可登场"))))))</x:f>
        <x:v>年表可登场</x:v>
      </x:c>
      <x:c r="I148" s="12"/>
      <x:c r="J148" s="2" t="str">
        <x:v>SAN14游戏设定</x:v>
      </x:c>
      <x:c r="K148" s="2" t="str"/>
      <x:c r="L148" s="2" t="str">
        <x:v>賈範</x:v>
      </x:c>
      <x:c r="M148" s="2" t="str">
        <x:v>san14-candidate-0140</x:v>
      </x:c>
      <x:c r="N148" s="2" t="str">
        <x:v>賈範</x:v>
      </x:c>
      <x:c r="O148" s="2" t="str">
        <x:v>カハン</x:v>
      </x:c>
    </x:row>
    <x:row r="149" ht="23" customHeight="1">
      <x:c r="A149" s="13" t="n">
        <x:v>141</x:v>
      </x:c>
      <x:c r="B149" s="2" t="str">
        <x:v>轲比能</x:v>
      </x:c>
      <x:c r="C149" s="2" t="str">
        <x:v>軻比能</x:v>
      </x:c>
      <x:c r="D149" s="2" t="str"/>
      <x:c r="E149" s="13" t="n">
        <x:v>172</x:v>
      </x:c>
      <x:c r="F149" s="13" t="n">
        <x:v>191</x:v>
      </x:c>
      <x:c r="G149" s="13" t="n">
        <x:v>235</x:v>
      </x:c>
      <x:c r="H149" s="2" t="str">
        <x:f>IF(OR($E$4="",NOT(ISNUMBER($E$4)),$E$4&lt;1,$E$4&gt;400),"参考年待填",IF(OR(E149="",F149="",G149=""),"年代待核",IF($E$4&lt;E149,"未出生",IF($E$4&lt;F149,"未登场",IF($E$4&gt;G149,"已过卒年",IF($E$4=G149,"卒年边界待核","年表可登场"))))))</x:f>
        <x:v>年表可登场</x:v>
      </x:c>
      <x:c r="I149" s="12"/>
      <x:c r="J149" s="2" t="str">
        <x:v>SAN14游戏设定</x:v>
      </x:c>
      <x:c r="K149" s="2" t="str"/>
      <x:c r="L149" s="2" t="str">
        <x:v>軻比能</x:v>
      </x:c>
      <x:c r="M149" s="2" t="str">
        <x:v>san14-candidate-0141</x:v>
      </x:c>
      <x:c r="N149" s="2" t="str">
        <x:v>軻比能</x:v>
      </x:c>
      <x:c r="O149" s="2" t="str">
        <x:v>カヒノウ</x:v>
      </x:c>
    </x:row>
    <x:row r="150" ht="23" customHeight="1">
      <x:c r="A150" s="13" t="n">
        <x:v>142</x:v>
      </x:c>
      <x:c r="B150" s="2" t="str">
        <x:v>何苗</x:v>
      </x:c>
      <x:c r="C150" s="2" t="str">
        <x:v>何苗</x:v>
      </x:c>
      <x:c r="D150" s="2" t="str"/>
      <x:c r="E150" s="13" t="n">
        <x:v>143</x:v>
      </x:c>
      <x:c r="F150" s="13" t="n">
        <x:v>184</x:v>
      </x:c>
      <x:c r="G150" s="13" t="n">
        <x:v>189</x:v>
      </x:c>
      <x:c r="H150" s="2" t="str">
        <x:f>IF(OR($E$4="",NOT(ISNUMBER($E$4)),$E$4&lt;1,$E$4&gt;400),"参考年待填",IF(OR(E150="",F150="",G150=""),"年代待核",IF($E$4&lt;E150,"未出生",IF($E$4&lt;F150,"未登场",IF($E$4&gt;G150,"已过卒年",IF($E$4=G150,"卒年边界待核","年表可登场"))))))</x:f>
        <x:v>已过卒年</x:v>
      </x:c>
      <x:c r="I150" s="12"/>
      <x:c r="J150" s="2" t="str">
        <x:v>SAN14游戏设定</x:v>
      </x:c>
      <x:c r="K150" s="2" t="str"/>
      <x:c r="L150" s="2" t="str">
        <x:v>何苗</x:v>
      </x:c>
      <x:c r="M150" s="2" t="str">
        <x:v>san14-candidate-0142</x:v>
      </x:c>
      <x:c r="N150" s="2" t="str">
        <x:v>何苗</x:v>
      </x:c>
      <x:c r="O150" s="2" t="str">
        <x:v>カビョウ</x:v>
      </x:c>
    </x:row>
    <x:row r="151" ht="23" customHeight="1">
      <x:c r="A151" s="13" t="n">
        <x:v>143</x:v>
      </x:c>
      <x:c r="B151" s="2" t="str">
        <x:v>花鬘</x:v>
      </x:c>
      <x:c r="C151" s="2" t="str">
        <x:v>花鬘</x:v>
      </x:c>
      <x:c r="D151" s="2" t="str"/>
      <x:c r="E151" s="13" t="n">
        <x:v>209</x:v>
      </x:c>
      <x:c r="F151" s="13" t="n">
        <x:v>223</x:v>
      </x:c>
      <x:c r="G151" s="13" t="n">
        <x:v>239</x:v>
      </x:c>
      <x:c r="H151" s="2" t="str">
        <x:f>IF(OR($E$4="",NOT(ISNUMBER($E$4)),$E$4&lt;1,$E$4&gt;400),"参考年待填",IF(OR(E151="",F151="",G151=""),"年代待核",IF($E$4&lt;E151,"未出生",IF($E$4&lt;F151,"未登场",IF($E$4&gt;G151,"已过卒年",IF($E$4=G151,"卒年边界待核","年表可登场"))))))</x:f>
        <x:v>年表可登场</x:v>
      </x:c>
      <x:c r="I151" s="12"/>
      <x:c r="J151" s="2" t="str">
        <x:v>SAN14游戏设定</x:v>
      </x:c>
      <x:c r="K151" s="2" t="str"/>
      <x:c r="L151" s="2" t="str">
        <x:v>花鬘</x:v>
      </x:c>
      <x:c r="M151" s="2" t="str">
        <x:v>san14-candidate-0143</x:v>
      </x:c>
      <x:c r="N151" s="2" t="str">
        <x:v>花鬘</x:v>
      </x:c>
      <x:c r="O151" s="2" t="str">
        <x:v>カマン</x:v>
      </x:c>
    </x:row>
    <x:row r="152" ht="23" customHeight="1">
      <x:c r="A152" s="13" t="n">
        <x:v>144</x:v>
      </x:c>
      <x:c r="B152" s="2" t="str">
        <x:v>华雄</x:v>
      </x:c>
      <x:c r="C152" s="2" t="str">
        <x:v>華雄</x:v>
      </x:c>
      <x:c r="D152" s="2" t="str"/>
      <x:c r="E152" s="13" t="n">
        <x:v>155</x:v>
      </x:c>
      <x:c r="F152" s="13" t="n">
        <x:v>184</x:v>
      </x:c>
      <x:c r="G152" s="13" t="n">
        <x:v>190</x:v>
      </x:c>
      <x:c r="H152" s="2" t="str">
        <x:f>IF(OR($E$4="",NOT(ISNUMBER($E$4)),$E$4&lt;1,$E$4&gt;400),"参考年待填",IF(OR(E152="",F152="",G152=""),"年代待核",IF($E$4&lt;E152,"未出生",IF($E$4&lt;F152,"未登场",IF($E$4&gt;G152,"已过卒年",IF($E$4=G152,"卒年边界待核","年表可登场"))))))</x:f>
        <x:v>已过卒年</x:v>
      </x:c>
      <x:c r="I152" s="12"/>
      <x:c r="J152" s="2" t="str">
        <x:v>SAN14游戏设定</x:v>
      </x:c>
      <x:c r="K152" s="2" t="str"/>
      <x:c r="L152" s="2" t="str">
        <x:v>華雄</x:v>
      </x:c>
      <x:c r="M152" s="2" t="str">
        <x:v>san14-candidate-0144</x:v>
      </x:c>
      <x:c r="N152" s="2" t="str">
        <x:v>華雄</x:v>
      </x:c>
      <x:c r="O152" s="2" t="str">
        <x:v>カユウ</x:v>
      </x:c>
    </x:row>
    <x:row r="153" ht="23" customHeight="1">
      <x:c r="A153" s="13" t="n">
        <x:v>145</x:v>
      </x:c>
      <x:c r="B153" s="2" t="str">
        <x:v>关彝</x:v>
      </x:c>
      <x:c r="C153" s="2" t="str">
        <x:v>關彝</x:v>
      </x:c>
      <x:c r="D153" s="2" t="str"/>
      <x:c r="E153" s="13" t="n">
        <x:v>219</x:v>
      </x:c>
      <x:c r="F153" s="13" t="n">
        <x:v>233</x:v>
      </x:c>
      <x:c r="G153" s="13" t="n">
        <x:v>263</x:v>
      </x:c>
      <x:c r="H153" s="2" t="str">
        <x:f>IF(OR($E$4="",NOT(ISNUMBER($E$4)),$E$4&lt;1,$E$4&gt;400),"参考年待填",IF(OR(E153="",F153="",G153=""),"年代待核",IF($E$4&lt;E153,"未出生",IF($E$4&lt;F153,"未登场",IF($E$4&gt;G153,"已过卒年",IF($E$4=G153,"卒年边界待核","年表可登场"))))))</x:f>
        <x:v>未登场</x:v>
      </x:c>
      <x:c r="I153" s="12"/>
      <x:c r="J153" s="2" t="str">
        <x:v>SAN14游戏设定</x:v>
      </x:c>
      <x:c r="K153" s="2" t="str"/>
      <x:c r="L153" s="2" t="str">
        <x:v>關彝</x:v>
      </x:c>
      <x:c r="M153" s="2" t="str">
        <x:v>san14-candidate-0145</x:v>
      </x:c>
      <x:c r="N153" s="2" t="str">
        <x:v>関彝</x:v>
      </x:c>
      <x:c r="O153" s="2" t="str">
        <x:v>カンイ</x:v>
      </x:c>
    </x:row>
    <x:row r="154" ht="23" customHeight="1">
      <x:c r="A154" s="13" t="n">
        <x:v>146</x:v>
      </x:c>
      <x:c r="B154" s="2" t="str">
        <x:v>韩胤</x:v>
      </x:c>
      <x:c r="C154" s="2" t="str">
        <x:v>韓胤</x:v>
      </x:c>
      <x:c r="D154" s="2" t="str"/>
      <x:c r="E154" s="13" t="n">
        <x:v>155</x:v>
      </x:c>
      <x:c r="F154" s="13" t="n">
        <x:v>184</x:v>
      </x:c>
      <x:c r="G154" s="13" t="n">
        <x:v>197</x:v>
      </x:c>
      <x:c r="H154" s="2" t="str">
        <x:f>IF(OR($E$4="",NOT(ISNUMBER($E$4)),$E$4&lt;1,$E$4&gt;400),"参考年待填",IF(OR(E154="",F154="",G154=""),"年代待核",IF($E$4&lt;E154,"未出生",IF($E$4&lt;F154,"未登场",IF($E$4&gt;G154,"已过卒年",IF($E$4=G154,"卒年边界待核","年表可登场"))))))</x:f>
        <x:v>已过卒年</x:v>
      </x:c>
      <x:c r="I154" s="12"/>
      <x:c r="J154" s="2" t="str">
        <x:v>SAN14游戏设定</x:v>
      </x:c>
      <x:c r="K154" s="2" t="str"/>
      <x:c r="L154" s="2" t="str">
        <x:v>韓胤</x:v>
      </x:c>
      <x:c r="M154" s="2" t="str">
        <x:v>san14-candidate-0146</x:v>
      </x:c>
      <x:c r="N154" s="2" t="str">
        <x:v>韓胤</x:v>
      </x:c>
      <x:c r="O154" s="2" t="str">
        <x:v>カンイン</x:v>
      </x:c>
    </x:row>
    <x:row r="155" ht="23" customHeight="1">
      <x:c r="A155" s="13" t="n">
        <x:v>147</x:v>
      </x:c>
      <x:c r="B155" s="2" t="str">
        <x:v>关羽</x:v>
      </x:c>
      <x:c r="C155" s="2" t="str">
        <x:v>關羽</x:v>
      </x:c>
      <x:c r="D155" s="2" t="str"/>
      <x:c r="E155" s="13" t="n">
        <x:v>162</x:v>
      </x:c>
      <x:c r="F155" s="13" t="n">
        <x:v>184</x:v>
      </x:c>
      <x:c r="G155" s="13" t="n">
        <x:v>219</x:v>
      </x:c>
      <x:c r="H155" s="2" t="str">
        <x:f>IF(OR($E$4="",NOT(ISNUMBER($E$4)),$E$4&lt;1,$E$4&gt;400),"参考年待填",IF(OR(E155="",F155="",G155=""),"年代待核",IF($E$4&lt;E155,"未出生",IF($E$4&lt;F155,"未登场",IF($E$4&gt;G155,"已过卒年",IF($E$4=G155,"卒年边界待核","年表可登场"))))))</x:f>
        <x:v>已过卒年</x:v>
      </x:c>
      <x:c r="I155" s="12" t="n">
        <x:v>38</x:v>
      </x:c>
      <x:c r="J155" s="2" t="str">
        <x:v>SAN14游戏设定</x:v>
      </x:c>
      <x:c r="K155" s="2" t="str"/>
      <x:c r="L155" s="2" t="str">
        <x:v>關羽</x:v>
      </x:c>
      <x:c r="M155" s="2" t="str">
        <x:v>san14-candidate-0147</x:v>
      </x:c>
      <x:c r="N155" s="2" t="str">
        <x:v>関羽</x:v>
      </x:c>
      <x:c r="O155" s="2" t="str">
        <x:v>カンウ</x:v>
      </x:c>
    </x:row>
    <x:row r="156" ht="23" customHeight="1">
      <x:c r="A156" s="13" t="n">
        <x:v>148</x:v>
      </x:c>
      <x:c r="B156" s="2" t="str">
        <x:v>桓阶</x:v>
      </x:c>
      <x:c r="C156" s="2" t="str">
        <x:v>桓階</x:v>
      </x:c>
      <x:c r="D156" s="2" t="str"/>
      <x:c r="E156" s="13" t="n">
        <x:v>156</x:v>
      </x:c>
      <x:c r="F156" s="13" t="n">
        <x:v>184</x:v>
      </x:c>
      <x:c r="G156" s="13" t="n">
        <x:v>221</x:v>
      </x:c>
      <x:c r="H156" s="2" t="str">
        <x:f>IF(OR($E$4="",NOT(ISNUMBER($E$4)),$E$4&lt;1,$E$4&gt;400),"参考年待填",IF(OR(E156="",F156="",G156=""),"年代待核",IF($E$4&lt;E156,"未出生",IF($E$4&lt;F156,"未登场",IF($E$4&gt;G156,"已过卒年",IF($E$4=G156,"卒年边界待核","年表可登场"))))))</x:f>
        <x:v>已过卒年</x:v>
      </x:c>
      <x:c r="I156" s="12"/>
      <x:c r="J156" s="2" t="str">
        <x:v>SAN14游戏设定</x:v>
      </x:c>
      <x:c r="K156" s="2" t="str"/>
      <x:c r="L156" s="2" t="str">
        <x:v>桓階</x:v>
      </x:c>
      <x:c r="M156" s="2" t="str">
        <x:v>san14-candidate-0148</x:v>
      </x:c>
      <x:c r="N156" s="2" t="str">
        <x:v>桓階</x:v>
      </x:c>
      <x:c r="O156" s="2" t="str">
        <x:v>カンカイ</x:v>
      </x:c>
    </x:row>
    <x:row r="157" ht="23" customHeight="1">
      <x:c r="A157" s="13" t="n">
        <x:v>149</x:v>
      </x:c>
      <x:c r="B157" s="2" t="str">
        <x:v>管亥</x:v>
      </x:c>
      <x:c r="C157" s="2" t="str">
        <x:v>管亥</x:v>
      </x:c>
      <x:c r="D157" s="2" t="str"/>
      <x:c r="E157" s="13" t="n">
        <x:v>160</x:v>
      </x:c>
      <x:c r="F157" s="13" t="n">
        <x:v>184</x:v>
      </x:c>
      <x:c r="G157" s="13" t="n">
        <x:v>193</x:v>
      </x:c>
      <x:c r="H157" s="2" t="str">
        <x:f>IF(OR($E$4="",NOT(ISNUMBER($E$4)),$E$4&lt;1,$E$4&gt;400),"参考年待填",IF(OR(E157="",F157="",G157=""),"年代待核",IF($E$4&lt;E157,"未出生",IF($E$4&lt;F157,"未登场",IF($E$4&gt;G157,"已过卒年",IF($E$4=G157,"卒年边界待核","年表可登场"))))))</x:f>
        <x:v>已过卒年</x:v>
      </x:c>
      <x:c r="I157" s="12"/>
      <x:c r="J157" s="2" t="str">
        <x:v>SAN14游戏设定</x:v>
      </x:c>
      <x:c r="K157" s="2" t="str"/>
      <x:c r="L157" s="2" t="str">
        <x:v>管亥</x:v>
      </x:c>
      <x:c r="M157" s="2" t="str">
        <x:v>san14-candidate-0149</x:v>
      </x:c>
      <x:c r="N157" s="2" t="str">
        <x:v>管亥</x:v>
      </x:c>
      <x:c r="O157" s="2" t="str">
        <x:v>カンガイ</x:v>
      </x:c>
    </x:row>
    <x:row r="158" ht="23" customHeight="1">
      <x:c r="A158" s="13" t="n">
        <x:v>150</x:v>
      </x:c>
      <x:c r="B158" s="2" t="str">
        <x:v>韩暨</x:v>
      </x:c>
      <x:c r="C158" s="2" t="str">
        <x:v>韓暨</x:v>
      </x:c>
      <x:c r="D158" s="2" t="str"/>
      <x:c r="E158" s="13" t="n">
        <x:v>156</x:v>
      </x:c>
      <x:c r="F158" s="13" t="n">
        <x:v>184</x:v>
      </x:c>
      <x:c r="G158" s="13" t="n">
        <x:v>238</x:v>
      </x:c>
      <x:c r="H158" s="2" t="str">
        <x:f>IF(OR($E$4="",NOT(ISNUMBER($E$4)),$E$4&lt;1,$E$4&gt;400),"参考年待填",IF(OR(E158="",F158="",G158=""),"年代待核",IF($E$4&lt;E158,"未出生",IF($E$4&lt;F158,"未登场",IF($E$4&gt;G158,"已过卒年",IF($E$4=G158,"卒年边界待核","年表可登场"))))))</x:f>
        <x:v>年表可登场</x:v>
      </x:c>
      <x:c r="I158" s="12"/>
      <x:c r="J158" s="2" t="str">
        <x:v>SAN14游戏设定</x:v>
      </x:c>
      <x:c r="K158" s="2" t="str"/>
      <x:c r="L158" s="2" t="str">
        <x:v>韓暨</x:v>
      </x:c>
      <x:c r="M158" s="2" t="str">
        <x:v>san14-candidate-0150</x:v>
      </x:c>
      <x:c r="N158" s="2" t="str">
        <x:v>韓曁</x:v>
      </x:c>
      <x:c r="O158" s="2" t="str">
        <x:v>カンキ</x:v>
      </x:c>
    </x:row>
    <x:row r="159" ht="23" customHeight="1">
      <x:c r="A159" s="13" t="n">
        <x:v>151</x:v>
      </x:c>
      <x:c r="B159" s="2" t="str">
        <x:v>韩起</x:v>
      </x:c>
      <x:c r="C159" s="2" t="str">
        <x:v>韓起</x:v>
      </x:c>
      <x:c r="D159" s="2" t="str"/>
      <x:c r="E159" s="13" t="n">
        <x:v>192</x:v>
      </x:c>
      <x:c r="F159" s="13" t="n">
        <x:v>211</x:v>
      </x:c>
      <x:c r="G159" s="13" t="n">
        <x:v>238</x:v>
      </x:c>
      <x:c r="H159" s="2" t="str">
        <x:f>IF(OR($E$4="",NOT(ISNUMBER($E$4)),$E$4&lt;1,$E$4&gt;400),"参考年待填",IF(OR(E159="",F159="",G159=""),"年代待核",IF($E$4&lt;E159,"未出生",IF($E$4&lt;F159,"未登场",IF($E$4&gt;G159,"已过卒年",IF($E$4=G159,"卒年边界待核","年表可登场"))))))</x:f>
        <x:v>年表可登场</x:v>
      </x:c>
      <x:c r="I159" s="12"/>
      <x:c r="J159" s="2" t="str">
        <x:v>SAN14游戏设定</x:v>
      </x:c>
      <x:c r="K159" s="2" t="str"/>
      <x:c r="L159" s="2" t="str">
        <x:v>韓起</x:v>
      </x:c>
      <x:c r="M159" s="2" t="str">
        <x:v>san14-candidate-0151</x:v>
      </x:c>
      <x:c r="N159" s="2" t="str">
        <x:v>韓起</x:v>
      </x:c>
      <x:c r="O159" s="2" t="str">
        <x:v>カンキ</x:v>
      </x:c>
    </x:row>
    <x:row r="160" ht="23" customHeight="1">
      <x:c r="A160" s="13" t="n">
        <x:v>152</x:v>
      </x:c>
      <x:c r="B160" s="2" t="str">
        <x:v>毌丘俭</x:v>
      </x:c>
      <x:c r="C160" s="2" t="str">
        <x:v>毌丘儉</x:v>
      </x:c>
      <x:c r="D160" s="2" t="str"/>
      <x:c r="E160" s="13" t="n">
        <x:v>202</x:v>
      </x:c>
      <x:c r="F160" s="13" t="n">
        <x:v>220</x:v>
      </x:c>
      <x:c r="G160" s="13" t="n">
        <x:v>255</x:v>
      </x:c>
      <x:c r="H160" s="2" t="str">
        <x:f>IF(OR($E$4="",NOT(ISNUMBER($E$4)),$E$4&lt;1,$E$4&gt;400),"参考年待填",IF(OR(E160="",F160="",G160=""),"年代待核",IF($E$4&lt;E160,"未出生",IF($E$4&lt;F160,"未登场",IF($E$4&gt;G160,"已过卒年",IF($E$4=G160,"卒年边界待核","年表可登场"))))))</x:f>
        <x:v>年表可登场</x:v>
      </x:c>
      <x:c r="I160" s="12"/>
      <x:c r="J160" s="2" t="str">
        <x:v>SAN14游戏设定</x:v>
      </x:c>
      <x:c r="K160" s="2" t="str"/>
      <x:c r="L160" s="2" t="str">
        <x:v>毌丘儉</x:v>
      </x:c>
      <x:c r="M160" s="2" t="str">
        <x:v>san14-candidate-0152</x:v>
      </x:c>
      <x:c r="N160" s="2" t="str">
        <x:v>カン丘倹</x:v>
      </x:c>
      <x:c r="O160" s="2" t="str">
        <x:v>カンキュウケン</x:v>
      </x:c>
    </x:row>
    <x:row r="161" ht="23" customHeight="1">
      <x:c r="A161" s="13" t="n">
        <x:v>153</x:v>
      </x:c>
      <x:c r="B161" s="2" t="str">
        <x:v>毌丘兴</x:v>
      </x:c>
      <x:c r="C161" s="2" t="str">
        <x:v>毌丘興</x:v>
      </x:c>
      <x:c r="D161" s="2" t="str"/>
      <x:c r="E161" s="13" t="n">
        <x:v>176</x:v>
      </x:c>
      <x:c r="F161" s="13" t="n">
        <x:v>195</x:v>
      </x:c>
      <x:c r="G161" s="13" t="n">
        <x:v>226</x:v>
      </x:c>
      <x:c r="H161" s="2" t="str">
        <x:f>IF(OR($E$4="",NOT(ISNUMBER($E$4)),$E$4&lt;1,$E$4&gt;400),"参考年待填",IF(OR(E161="",F161="",G161=""),"年代待核",IF($E$4&lt;E161,"未出生",IF($E$4&lt;F161,"未登场",IF($E$4&gt;G161,"已过卒年",IF($E$4=G161,"卒年边界待核","年表可登场"))))))</x:f>
        <x:v>已过卒年</x:v>
      </x:c>
      <x:c r="I161" s="12"/>
      <x:c r="J161" s="2" t="str">
        <x:v>SAN14游戏设定</x:v>
      </x:c>
      <x:c r="K161" s="2" t="str"/>
      <x:c r="L161" s="2" t="str">
        <x:v>毌丘興</x:v>
      </x:c>
      <x:c r="M161" s="2" t="str">
        <x:v>san14-candidate-0153</x:v>
      </x:c>
      <x:c r="N161" s="2" t="str">
        <x:v>カン丘興</x:v>
      </x:c>
      <x:c r="O161" s="2" t="str">
        <x:v>カンキュウコウ</x:v>
      </x:c>
    </x:row>
    <x:row r="162" ht="23" customHeight="1">
      <x:c r="A162" s="13" t="n">
        <x:v>154</x:v>
      </x:c>
      <x:c r="B162" s="2" t="str">
        <x:v>毌丘秀</x:v>
      </x:c>
      <x:c r="C162" s="2" t="str">
        <x:v>毌丘秀</x:v>
      </x:c>
      <x:c r="D162" s="2" t="str"/>
      <x:c r="E162" s="13" t="n">
        <x:v>206</x:v>
      </x:c>
      <x:c r="F162" s="13" t="n">
        <x:v>225</x:v>
      </x:c>
      <x:c r="G162" s="13" t="n">
        <x:v>265</x:v>
      </x:c>
      <x:c r="H162" s="2" t="str">
        <x:f>IF(OR($E$4="",NOT(ISNUMBER($E$4)),$E$4&lt;1,$E$4&gt;400),"参考年待填",IF(OR(E162="",F162="",G162=""),"年代待核",IF($E$4&lt;E162,"未出生",IF($E$4&lt;F162,"未登场",IF($E$4&gt;G162,"已过卒年",IF($E$4=G162,"卒年边界待核","年表可登场"))))))</x:f>
        <x:v>年表可登场</x:v>
      </x:c>
      <x:c r="I162" s="12"/>
      <x:c r="J162" s="2" t="str">
        <x:v>SAN14游戏设定</x:v>
      </x:c>
      <x:c r="K162" s="2" t="str"/>
      <x:c r="L162" s="2" t="str">
        <x:v>毌丘秀</x:v>
      </x:c>
      <x:c r="M162" s="2" t="str">
        <x:v>san14-candidate-0154</x:v>
      </x:c>
      <x:c r="N162" s="2" t="str">
        <x:v>カン丘秀</x:v>
      </x:c>
      <x:c r="O162" s="2" t="str">
        <x:v>カンキュウシュウ</x:v>
      </x:c>
    </x:row>
    <x:row r="163" ht="23" customHeight="1">
      <x:c r="A163" s="13" t="n">
        <x:v>155</x:v>
      </x:c>
      <x:c r="B163" s="2" t="str">
        <x:v>毌丘甸</x:v>
      </x:c>
      <x:c r="C163" s="2" t="str">
        <x:v>毌丘甸</x:v>
      </x:c>
      <x:c r="D163" s="2" t="str"/>
      <x:c r="E163" s="13" t="n">
        <x:v>224</x:v>
      </x:c>
      <x:c r="F163" s="13" t="n">
        <x:v>238</x:v>
      </x:c>
      <x:c r="G163" s="13" t="n">
        <x:v>255</x:v>
      </x:c>
      <x:c r="H163" s="2" t="str">
        <x:f>IF(OR($E$4="",NOT(ISNUMBER($E$4)),$E$4&lt;1,$E$4&gt;400),"参考年待填",IF(OR(E163="",F163="",G163=""),"年代待核",IF($E$4&lt;E163,"未出生",IF($E$4&lt;F163,"未登场",IF($E$4&gt;G163,"已过卒年",IF($E$4=G163,"卒年边界待核","年表可登场"))))))</x:f>
        <x:v>未登场</x:v>
      </x:c>
      <x:c r="I163" s="12"/>
      <x:c r="J163" s="2" t="str">
        <x:v>SAN14游戏设定</x:v>
      </x:c>
      <x:c r="K163" s="2" t="str"/>
      <x:c r="L163" s="2" t="str">
        <x:v>毌丘甸</x:v>
      </x:c>
      <x:c r="M163" s="2" t="str">
        <x:v>san14-candidate-0155</x:v>
      </x:c>
      <x:c r="N163" s="2" t="str">
        <x:v>カン丘甸</x:v>
      </x:c>
      <x:c r="O163" s="2" t="str">
        <x:v>カンキュウデン</x:v>
      </x:c>
    </x:row>
    <x:row r="164" ht="23" customHeight="1">
      <x:c r="A164" s="13" t="n">
        <x:v>156</x:v>
      </x:c>
      <x:c r="B164" s="2" t="str">
        <x:v>韩莒子</x:v>
      </x:c>
      <x:c r="C164" s="2" t="str">
        <x:v>韓莒子</x:v>
      </x:c>
      <x:c r="D164" s="2" t="str"/>
      <x:c r="E164" s="13" t="n">
        <x:v>158</x:v>
      </x:c>
      <x:c r="F164" s="13" t="n">
        <x:v>184</x:v>
      </x:c>
      <x:c r="G164" s="13" t="n">
        <x:v>200</x:v>
      </x:c>
      <x:c r="H164" s="2" t="str">
        <x:f>IF(OR($E$4="",NOT(ISNUMBER($E$4)),$E$4&lt;1,$E$4&gt;400),"参考年待填",IF(OR(E164="",F164="",G164=""),"年代待核",IF($E$4&lt;E164,"未出生",IF($E$4&lt;F164,"未登场",IF($E$4&gt;G164,"已过卒年",IF($E$4=G164,"卒年边界待核","年表可登场"))))))</x:f>
        <x:v>已过卒年</x:v>
      </x:c>
      <x:c r="I164" s="12"/>
      <x:c r="J164" s="2" t="str">
        <x:v>SAN14游戏设定</x:v>
      </x:c>
      <x:c r="K164" s="2" t="str"/>
      <x:c r="L164" s="2" t="str">
        <x:v>韓莒子</x:v>
      </x:c>
      <x:c r="M164" s="2" t="str">
        <x:v>san14-candidate-0156</x:v>
      </x:c>
      <x:c r="N164" s="2" t="str">
        <x:v>韓キョ子</x:v>
      </x:c>
      <x:c r="O164" s="2" t="str">
        <x:v>カンキョシ</x:v>
      </x:c>
    </x:row>
    <x:row r="165" ht="23" customHeight="1">
      <x:c r="A165" s="13" t="n">
        <x:v>157</x:v>
      </x:c>
      <x:c r="B165" s="2" t="str">
        <x:v>关银屏</x:v>
      </x:c>
      <x:c r="C165" s="2" t="str">
        <x:v>關銀屏</x:v>
      </x:c>
      <x:c r="D165" s="2" t="str"/>
      <x:c r="E165" s="13" t="n">
        <x:v>204</x:v>
      </x:c>
      <x:c r="F165" s="13" t="n">
        <x:v>218</x:v>
      </x:c>
      <x:c r="G165" s="13" t="n">
        <x:v>271</x:v>
      </x:c>
      <x:c r="H165" s="2" t="str">
        <x:f>IF(OR($E$4="",NOT(ISNUMBER($E$4)),$E$4&lt;1,$E$4&gt;400),"参考年待填",IF(OR(E165="",F165="",G165=""),"年代待核",IF($E$4&lt;E165,"未出生",IF($E$4&lt;F165,"未登场",IF($E$4&gt;G165,"已过卒年",IF($E$4=G165,"卒年边界待核","年表可登场"))))))</x:f>
        <x:v>年表可登场</x:v>
      </x:c>
      <x:c r="I165" s="12"/>
      <x:c r="J165" s="2" t="str">
        <x:v>SAN14游戏设定</x:v>
      </x:c>
      <x:c r="K165" s="2" t="str"/>
      <x:c r="L165" s="2" t="str">
        <x:v>關銀屏</x:v>
      </x:c>
      <x:c r="M165" s="2" t="str">
        <x:v>san14-candidate-0157</x:v>
      </x:c>
      <x:c r="N165" s="2" t="str">
        <x:v>関銀屏</x:v>
      </x:c>
      <x:c r="O165" s="2" t="str">
        <x:v>カンギンペイ</x:v>
      </x:c>
    </x:row>
    <x:row r="166" ht="23" customHeight="1">
      <x:c r="A166" s="13" t="n">
        <x:v>158</x:v>
      </x:c>
      <x:c r="B166" s="2" t="str">
        <x:v>韩玄</x:v>
      </x:c>
      <x:c r="C166" s="2" t="str">
        <x:v>韓玄</x:v>
      </x:c>
      <x:c r="D166" s="2" t="str"/>
      <x:c r="E166" s="13" t="n">
        <x:v>163</x:v>
      </x:c>
      <x:c r="F166" s="13" t="n">
        <x:v>184</x:v>
      </x:c>
      <x:c r="G166" s="13" t="n">
        <x:v>208</x:v>
      </x:c>
      <x:c r="H166" s="2" t="str">
        <x:f>IF(OR($E$4="",NOT(ISNUMBER($E$4)),$E$4&lt;1,$E$4&gt;400),"参考年待填",IF(OR(E166="",F166="",G166=""),"年代待核",IF($E$4&lt;E166,"未出生",IF($E$4&lt;F166,"未登场",IF($E$4&gt;G166,"已过卒年",IF($E$4=G166,"卒年边界待核","年表可登场"))))))</x:f>
        <x:v>已过卒年</x:v>
      </x:c>
      <x:c r="I166" s="12"/>
      <x:c r="J166" s="2" t="str">
        <x:v>SAN14游戏设定</x:v>
      </x:c>
      <x:c r="K166" s="2" t="str"/>
      <x:c r="L166" s="2" t="str">
        <x:v>韓玄</x:v>
      </x:c>
      <x:c r="M166" s="2" t="str">
        <x:v>san14-candidate-0158</x:v>
      </x:c>
      <x:c r="N166" s="2" t="str">
        <x:v>韓玄</x:v>
      </x:c>
      <x:c r="O166" s="2" t="str">
        <x:v>カンゲン</x:v>
      </x:c>
    </x:row>
    <x:row r="167" ht="23" customHeight="1">
      <x:c r="A167" s="13" t="n">
        <x:v>159</x:v>
      </x:c>
      <x:c r="B167" s="2" t="str">
        <x:v>韩浩</x:v>
      </x:c>
      <x:c r="C167" s="2" t="str">
        <x:v>韓浩</x:v>
      </x:c>
      <x:c r="D167" s="2" t="str"/>
      <x:c r="E167" s="13" t="n">
        <x:v>164</x:v>
      </x:c>
      <x:c r="F167" s="13" t="n">
        <x:v>184</x:v>
      </x:c>
      <x:c r="G167" s="13" t="n">
        <x:v>218</x:v>
      </x:c>
      <x:c r="H167" s="2" t="str">
        <x:f>IF(OR($E$4="",NOT(ISNUMBER($E$4)),$E$4&lt;1,$E$4&gt;400),"参考年待填",IF(OR(E167="",F167="",G167=""),"年代待核",IF($E$4&lt;E167,"未出生",IF($E$4&lt;F167,"未登场",IF($E$4&gt;G167,"已过卒年",IF($E$4=G167,"卒年边界待核","年表可登场"))))))</x:f>
        <x:v>已过卒年</x:v>
      </x:c>
      <x:c r="I167" s="12"/>
      <x:c r="J167" s="2" t="str">
        <x:v>SAN14游戏设定</x:v>
      </x:c>
      <x:c r="K167" s="2" t="str"/>
      <x:c r="L167" s="2" t="str">
        <x:v>韓浩</x:v>
      </x:c>
      <x:c r="M167" s="2" t="str">
        <x:v>san14-candidate-0159</x:v>
      </x:c>
      <x:c r="N167" s="2" t="str">
        <x:v>韓浩</x:v>
      </x:c>
      <x:c r="O167" s="2" t="str">
        <x:v>カンコウ</x:v>
      </x:c>
    </x:row>
    <x:row r="168" ht="23" customHeight="1">
      <x:c r="A168" s="13" t="n">
        <x:v>160</x:v>
      </x:c>
      <x:c r="B168" s="2" t="str">
        <x:v>韩珩</x:v>
      </x:c>
      <x:c r="C168" s="2" t="str">
        <x:v>韓珩</x:v>
      </x:c>
      <x:c r="D168" s="2" t="str"/>
      <x:c r="E168" s="13" t="n">
        <x:v>153</x:v>
      </x:c>
      <x:c r="F168" s="13" t="n">
        <x:v>184</x:v>
      </x:c>
      <x:c r="G168" s="13" t="n">
        <x:v>206</x:v>
      </x:c>
      <x:c r="H168" s="2" t="str">
        <x:f>IF(OR($E$4="",NOT(ISNUMBER($E$4)),$E$4&lt;1,$E$4&gt;400),"参考年待填",IF(OR(E168="",F168="",G168=""),"年代待核",IF($E$4&lt;E168,"未出生",IF($E$4&lt;F168,"未登场",IF($E$4&gt;G168,"已过卒年",IF($E$4=G168,"卒年边界待核","年表可登场"))))))</x:f>
        <x:v>已过卒年</x:v>
      </x:c>
      <x:c r="I168" s="12"/>
      <x:c r="J168" s="2" t="str">
        <x:v>SAN14游戏设定</x:v>
      </x:c>
      <x:c r="K168" s="2" t="str"/>
      <x:c r="L168" s="2" t="str">
        <x:v>韓珩</x:v>
      </x:c>
      <x:c r="M168" s="2" t="str">
        <x:v>san14-candidate-0160</x:v>
      </x:c>
      <x:c r="N168" s="2" t="str">
        <x:v>韓コウ</x:v>
      </x:c>
      <x:c r="O168" s="2" t="str">
        <x:v>カンコウ</x:v>
      </x:c>
    </x:row>
    <x:row r="169" ht="23" customHeight="1">
      <x:c r="A169" s="13" t="n">
        <x:v>161</x:v>
      </x:c>
      <x:c r="B169" s="2" t="str">
        <x:v>关兴</x:v>
      </x:c>
      <x:c r="C169" s="2" t="str">
        <x:v>關興</x:v>
      </x:c>
      <x:c r="D169" s="2" t="str"/>
      <x:c r="E169" s="13" t="n">
        <x:v>199</x:v>
      </x:c>
      <x:c r="F169" s="13" t="n">
        <x:v>213</x:v>
      </x:c>
      <x:c r="G169" s="13" t="n">
        <x:v>234</x:v>
      </x:c>
      <x:c r="H169" s="2" t="str">
        <x:f>IF(OR($E$4="",NOT(ISNUMBER($E$4)),$E$4&lt;1,$E$4&gt;400),"参考年待填",IF(OR(E169="",F169="",G169=""),"年代待核",IF($E$4&lt;E169,"未出生",IF($E$4&lt;F169,"未登场",IF($E$4&gt;G169,"已过卒年",IF($E$4=G169,"卒年边界待核","年表可登场"))))))</x:f>
        <x:v>年表可登场</x:v>
      </x:c>
      <x:c r="I169" s="12"/>
      <x:c r="J169" s="2" t="str">
        <x:v>SAN14游戏设定</x:v>
      </x:c>
      <x:c r="K169" s="2" t="str"/>
      <x:c r="L169" s="2" t="str">
        <x:v>關興</x:v>
      </x:c>
      <x:c r="M169" s="2" t="str">
        <x:v>san14-candidate-0161</x:v>
      </x:c>
      <x:c r="N169" s="2" t="str">
        <x:v>関興</x:v>
      </x:c>
      <x:c r="O169" s="2" t="str">
        <x:v>カンコウ</x:v>
      </x:c>
    </x:row>
    <x:row r="170" ht="23" customHeight="1">
      <x:c r="A170" s="13" t="n">
        <x:v>162</x:v>
      </x:c>
      <x:c r="B170" s="2" t="str">
        <x:v>关索</x:v>
      </x:c>
      <x:c r="C170" s="2" t="str">
        <x:v>關索</x:v>
      </x:c>
      <x:c r="D170" s="2" t="str"/>
      <x:c r="E170" s="13" t="n">
        <x:v>200</x:v>
      </x:c>
      <x:c r="F170" s="13" t="n">
        <x:v>214</x:v>
      </x:c>
      <x:c r="G170" s="13" t="n">
        <x:v>239</x:v>
      </x:c>
      <x:c r="H170" s="2" t="str">
        <x:f>IF(OR($E$4="",NOT(ISNUMBER($E$4)),$E$4&lt;1,$E$4&gt;400),"参考年待填",IF(OR(E170="",F170="",G170=""),"年代待核",IF($E$4&lt;E170,"未出生",IF($E$4&lt;F170,"未登场",IF($E$4&gt;G170,"已过卒年",IF($E$4=G170,"卒年边界待核","年表可登场"))))))</x:f>
        <x:v>年表可登场</x:v>
      </x:c>
      <x:c r="I170" s="12"/>
      <x:c r="J170" s="2" t="str">
        <x:v>SAN14游戏设定</x:v>
      </x:c>
      <x:c r="K170" s="2" t="str"/>
      <x:c r="L170" s="2" t="str">
        <x:v>關索</x:v>
      </x:c>
      <x:c r="M170" s="2" t="str">
        <x:v>san14-candidate-0162</x:v>
      </x:c>
      <x:c r="N170" s="2" t="str">
        <x:v>関索</x:v>
      </x:c>
      <x:c r="O170" s="2" t="str">
        <x:v>カンサク</x:v>
      </x:c>
    </x:row>
    <x:row r="171" ht="23" customHeight="1">
      <x:c r="A171" s="13" t="n">
        <x:v>163</x:v>
      </x:c>
      <x:c r="B171" s="2" t="str">
        <x:v>甘氏</x:v>
      </x:c>
      <x:c r="C171" s="2" t="str">
        <x:v>甘氏</x:v>
      </x:c>
      <x:c r="D171" s="2" t="str"/>
      <x:c r="E171" s="13" t="n">
        <x:v>175</x:v>
      </x:c>
      <x:c r="F171" s="13" t="n">
        <x:v>189</x:v>
      </x:c>
      <x:c r="G171" s="13" t="n">
        <x:v>210</x:v>
      </x:c>
      <x:c r="H171" s="2" t="str">
        <x:f>IF(OR($E$4="",NOT(ISNUMBER($E$4)),$E$4&lt;1,$E$4&gt;400),"参考年待填",IF(OR(E171="",F171="",G171=""),"年代待核",IF($E$4&lt;E171,"未出生",IF($E$4&lt;F171,"未登场",IF($E$4&gt;G171,"已过卒年",IF($E$4=G171,"卒年边界待核","年表可登场"))))))</x:f>
        <x:v>已过卒年</x:v>
      </x:c>
      <x:c r="I171" s="12"/>
      <x:c r="J171" s="2" t="str">
        <x:v>SAN14游戏设定</x:v>
      </x:c>
      <x:c r="K171" s="2" t="str"/>
      <x:c r="L171" s="2" t="str">
        <x:v>甘氏</x:v>
      </x:c>
      <x:c r="M171" s="2" t="str">
        <x:v>san14-candidate-0163</x:v>
      </x:c>
      <x:c r="N171" s="2" t="str">
        <x:v>甘氏</x:v>
      </x:c>
      <x:c r="O171" s="2" t="str">
        <x:v>カンシ</x:v>
      </x:c>
    </x:row>
    <x:row r="172" ht="23" customHeight="1">
      <x:c r="A172" s="13" t="n">
        <x:v>164</x:v>
      </x:c>
      <x:c r="B172" s="2" t="str">
        <x:v>环氏</x:v>
      </x:c>
      <x:c r="C172" s="2" t="str">
        <x:v>環氏</x:v>
      </x:c>
      <x:c r="D172" s="2" t="str"/>
      <x:c r="E172" s="13" t="n">
        <x:v>178</x:v>
      </x:c>
      <x:c r="F172" s="13" t="n">
        <x:v>192</x:v>
      </x:c>
      <x:c r="G172" s="13" t="n">
        <x:v>223</x:v>
      </x:c>
      <x:c r="H172" s="2" t="str">
        <x:f>IF(OR($E$4="",NOT(ISNUMBER($E$4)),$E$4&lt;1,$E$4&gt;400),"参考年待填",IF(OR(E172="",F172="",G172=""),"年代待核",IF($E$4&lt;E172,"未出生",IF($E$4&lt;F172,"未登场",IF($E$4&gt;G172,"已过卒年",IF($E$4=G172,"卒年边界待核","年表可登场"))))))</x:f>
        <x:v>已过卒年</x:v>
      </x:c>
      <x:c r="I172" s="12"/>
      <x:c r="J172" s="2" t="str">
        <x:v>SAN14游戏设定</x:v>
      </x:c>
      <x:c r="K172" s="2" t="str"/>
      <x:c r="L172" s="2" t="str">
        <x:v>環氏</x:v>
      </x:c>
      <x:c r="M172" s="2" t="str">
        <x:v>san14-candidate-0164</x:v>
      </x:c>
      <x:c r="N172" s="2" t="str">
        <x:v>環氏</x:v>
      </x:c>
      <x:c r="O172" s="2" t="str">
        <x:v>カンシ</x:v>
      </x:c>
    </x:row>
    <x:row r="173" ht="23" customHeight="1">
      <x:c r="A173" s="13" t="n">
        <x:v>165</x:v>
      </x:c>
      <x:c r="B173" s="2" t="str">
        <x:v>管承</x:v>
      </x:c>
      <x:c r="C173" s="2" t="str">
        <x:v>管承</x:v>
      </x:c>
      <x:c r="D173" s="2" t="str"/>
      <x:c r="E173" s="13" t="n">
        <x:v>158</x:v>
      </x:c>
      <x:c r="F173" s="13" t="n">
        <x:v>184</x:v>
      </x:c>
      <x:c r="G173" s="13" t="n">
        <x:v>207</x:v>
      </x:c>
      <x:c r="H173" s="2" t="str">
        <x:f>IF(OR($E$4="",NOT(ISNUMBER($E$4)),$E$4&lt;1,$E$4&gt;400),"参考年待填",IF(OR(E173="",F173="",G173=""),"年代待核",IF($E$4&lt;E173,"未出生",IF($E$4&lt;F173,"未登场",IF($E$4&gt;G173,"已过卒年",IF($E$4=G173,"卒年边界待核","年表可登场"))))))</x:f>
        <x:v>已过卒年</x:v>
      </x:c>
      <x:c r="I173" s="12"/>
      <x:c r="J173" s="2" t="str">
        <x:v>SAN14游戏设定</x:v>
      </x:c>
      <x:c r="K173" s="2" t="str"/>
      <x:c r="L173" s="2" t="str">
        <x:v>管承</x:v>
      </x:c>
      <x:c r="M173" s="2" t="str">
        <x:v>san14-candidate-0165</x:v>
      </x:c>
      <x:c r="N173" s="2" t="str">
        <x:v>管承</x:v>
      </x:c>
      <x:c r="O173" s="2" t="str">
        <x:v>カンショウ</x:v>
      </x:c>
    </x:row>
    <x:row r="174" ht="23" customHeight="1">
      <x:c r="A174" s="13" t="n">
        <x:v>166</x:v>
      </x:c>
      <x:c r="B174" s="2" t="str">
        <x:v>韩遂</x:v>
      </x:c>
      <x:c r="C174" s="2" t="str">
        <x:v>韓遂</x:v>
      </x:c>
      <x:c r="D174" s="2" t="str"/>
      <x:c r="E174" s="13" t="n">
        <x:v>142</x:v>
      </x:c>
      <x:c r="F174" s="13" t="n">
        <x:v>184</x:v>
      </x:c>
      <x:c r="G174" s="13" t="n">
        <x:v>215</x:v>
      </x:c>
      <x:c r="H174" s="2" t="str">
        <x:f>IF(OR($E$4="",NOT(ISNUMBER($E$4)),$E$4&lt;1,$E$4&gt;400),"参考年待填",IF(OR(E174="",F174="",G174=""),"年代待核",IF($E$4&lt;E174,"未出生",IF($E$4&lt;F174,"未登场",IF($E$4&gt;G174,"已过卒年",IF($E$4=G174,"卒年边界待核","年表可登场"))))))</x:f>
        <x:v>已过卒年</x:v>
      </x:c>
      <x:c r="I174" s="12"/>
      <x:c r="J174" s="2" t="str">
        <x:v>SAN14游戏设定</x:v>
      </x:c>
      <x:c r="K174" s="2" t="str"/>
      <x:c r="L174" s="2" t="str">
        <x:v>韓遂</x:v>
      </x:c>
      <x:c r="M174" s="2" t="str">
        <x:v>san14-candidate-0166</x:v>
      </x:c>
      <x:c r="N174" s="2" t="str">
        <x:v>韓遂</x:v>
      </x:c>
      <x:c r="O174" s="2" t="str">
        <x:v>カンスイ</x:v>
      </x:c>
    </x:row>
    <x:row r="175" ht="23" customHeight="1">
      <x:c r="A175" s="13" t="n">
        <x:v>167</x:v>
      </x:c>
      <x:c r="B175" s="2" t="str">
        <x:v>韩嵩</x:v>
      </x:c>
      <x:c r="C175" s="2" t="str">
        <x:v>韓嵩</x:v>
      </x:c>
      <x:c r="D175" s="2" t="str"/>
      <x:c r="E175" s="13" t="n">
        <x:v>154</x:v>
      </x:c>
      <x:c r="F175" s="13" t="n">
        <x:v>184</x:v>
      </x:c>
      <x:c r="G175" s="13" t="n">
        <x:v>210</x:v>
      </x:c>
      <x:c r="H175" s="2" t="str">
        <x:f>IF(OR($E$4="",NOT(ISNUMBER($E$4)),$E$4&lt;1,$E$4&gt;400),"参考年待填",IF(OR(E175="",F175="",G175=""),"年代待核",IF($E$4&lt;E175,"未出生",IF($E$4&lt;F175,"未登场",IF($E$4&gt;G175,"已过卒年",IF($E$4=G175,"卒年边界待核","年表可登场"))))))</x:f>
        <x:v>已过卒年</x:v>
      </x:c>
      <x:c r="I175" s="12"/>
      <x:c r="J175" s="2" t="str">
        <x:v>SAN14游戏设定</x:v>
      </x:c>
      <x:c r="K175" s="2" t="str"/>
      <x:c r="L175" s="2" t="str">
        <x:v>韓嵩</x:v>
      </x:c>
      <x:c r="M175" s="2" t="str">
        <x:v>san14-candidate-0167</x:v>
      </x:c>
      <x:c r="N175" s="2" t="str">
        <x:v>韓嵩</x:v>
      </x:c>
      <x:c r="O175" s="2" t="str">
        <x:v>カンスウ</x:v>
      </x:c>
    </x:row>
    <x:row r="176" ht="23" customHeight="1">
      <x:c r="A176" s="13" t="n">
        <x:v>168</x:v>
      </x:c>
      <x:c r="B176" s="2" t="str">
        <x:v>关靖</x:v>
      </x:c>
      <x:c r="C176" s="2" t="str">
        <x:v>關靖</x:v>
      </x:c>
      <x:c r="D176" s="2" t="str"/>
      <x:c r="E176" s="13" t="n">
        <x:v>158</x:v>
      </x:c>
      <x:c r="F176" s="13" t="n">
        <x:v>184</x:v>
      </x:c>
      <x:c r="G176" s="13" t="n">
        <x:v>199</x:v>
      </x:c>
      <x:c r="H176" s="2" t="str">
        <x:f>IF(OR($E$4="",NOT(ISNUMBER($E$4)),$E$4&lt;1,$E$4&gt;400),"参考年待填",IF(OR(E176="",F176="",G176=""),"年代待核",IF($E$4&lt;E176,"未出生",IF($E$4&lt;F176,"未登场",IF($E$4&gt;G176,"已过卒年",IF($E$4=G176,"卒年边界待核","年表可登场"))))))</x:f>
        <x:v>已过卒年</x:v>
      </x:c>
      <x:c r="I176" s="12"/>
      <x:c r="J176" s="2" t="str">
        <x:v>SAN14游戏设定</x:v>
      </x:c>
      <x:c r="K176" s="2" t="str"/>
      <x:c r="L176" s="2" t="str">
        <x:v>關靖</x:v>
      </x:c>
      <x:c r="M176" s="2" t="str">
        <x:v>san14-candidate-0168</x:v>
      </x:c>
      <x:c r="N176" s="2" t="str">
        <x:v>関靖</x:v>
      </x:c>
      <x:c r="O176" s="2" t="str">
        <x:v>カンセイ</x:v>
      </x:c>
    </x:row>
    <x:row r="177" ht="23" customHeight="1">
      <x:c r="A177" s="13" t="n">
        <x:v>169</x:v>
      </x:c>
      <x:c r="B177" s="2" t="str">
        <x:v>韩暹</x:v>
      </x:c>
      <x:c r="C177" s="2" t="str">
        <x:v>韓暹</x:v>
      </x:c>
      <x:c r="D177" s="2" t="str"/>
      <x:c r="E177" s="13" t="n">
        <x:v>159</x:v>
      </x:c>
      <x:c r="F177" s="13" t="n">
        <x:v>184</x:v>
      </x:c>
      <x:c r="G177" s="13" t="n">
        <x:v>196</x:v>
      </x:c>
      <x:c r="H177" s="2" t="str">
        <x:f>IF(OR($E$4="",NOT(ISNUMBER($E$4)),$E$4&lt;1,$E$4&gt;400),"参考年待填",IF(OR(E177="",F177="",G177=""),"年代待核",IF($E$4&lt;E177,"未出生",IF($E$4&lt;F177,"未登场",IF($E$4&gt;G177,"已过卒年",IF($E$4=G177,"卒年边界待核","年表可登场"))))))</x:f>
        <x:v>已过卒年</x:v>
      </x:c>
      <x:c r="I177" s="12"/>
      <x:c r="J177" s="2" t="str">
        <x:v>SAN14游戏设定</x:v>
      </x:c>
      <x:c r="K177" s="2" t="str"/>
      <x:c r="L177" s="2" t="str">
        <x:v>韓暹</x:v>
      </x:c>
      <x:c r="M177" s="2" t="str">
        <x:v>san14-candidate-0169</x:v>
      </x:c>
      <x:c r="N177" s="2" t="str">
        <x:v>韓暹</x:v>
      </x:c>
      <x:c r="O177" s="2" t="str">
        <x:v>カンセン</x:v>
      </x:c>
    </x:row>
    <x:row r="178" ht="23" customHeight="1">
      <x:c r="A178" s="13" t="n">
        <x:v>170</x:v>
      </x:c>
      <x:c r="B178" s="2" t="str">
        <x:v>韩综</x:v>
      </x:c>
      <x:c r="C178" s="2" t="str">
        <x:v>韓綜</x:v>
      </x:c>
      <x:c r="D178" s="2" t="str"/>
      <x:c r="E178" s="13" t="n">
        <x:v>201</x:v>
      </x:c>
      <x:c r="F178" s="13" t="n">
        <x:v>220</x:v>
      </x:c>
      <x:c r="G178" s="13" t="n">
        <x:v>252</x:v>
      </x:c>
      <x:c r="H178" s="2" t="str">
        <x:f>IF(OR($E$4="",NOT(ISNUMBER($E$4)),$E$4&lt;1,$E$4&gt;400),"参考年待填",IF(OR(E178="",F178="",G178=""),"年代待核",IF($E$4&lt;E178,"未出生",IF($E$4&lt;F178,"未登场",IF($E$4&gt;G178,"已过卒年",IF($E$4=G178,"卒年边界待核","年表可登场"))))))</x:f>
        <x:v>年表可登场</x:v>
      </x:c>
      <x:c r="I178" s="12"/>
      <x:c r="J178" s="2" t="str">
        <x:v>SAN14游戏设定</x:v>
      </x:c>
      <x:c r="K178" s="2" t="str"/>
      <x:c r="L178" s="2" t="str">
        <x:v>韓綜</x:v>
      </x:c>
      <x:c r="M178" s="2" t="str">
        <x:v>san14-candidate-0170</x:v>
      </x:c>
      <x:c r="N178" s="2" t="str">
        <x:v>韓綜</x:v>
      </x:c>
      <x:c r="O178" s="2" t="str">
        <x:v>カンソウ</x:v>
      </x:c>
    </x:row>
    <x:row r="179" ht="23" customHeight="1">
      <x:c r="A179" s="13" t="n">
        <x:v>171</x:v>
      </x:c>
      <x:c r="B179" s="2" t="str">
        <x:v>阚泽</x:v>
      </x:c>
      <x:c r="C179" s="2" t="str">
        <x:v>闞澤</x:v>
      </x:c>
      <x:c r="D179" s="2" t="str"/>
      <x:c r="E179" s="13" t="n">
        <x:v>182</x:v>
      </x:c>
      <x:c r="F179" s="13" t="n">
        <x:v>201</x:v>
      </x:c>
      <x:c r="G179" s="13" t="n">
        <x:v>243</x:v>
      </x:c>
      <x:c r="H179" s="2" t="str">
        <x:f>IF(OR($E$4="",NOT(ISNUMBER($E$4)),$E$4&lt;1,$E$4&gt;400),"参考年待填",IF(OR(E179="",F179="",G179=""),"年代待核",IF($E$4&lt;E179,"未出生",IF($E$4&lt;F179,"未登场",IF($E$4&gt;G179,"已过卒年",IF($E$4=G179,"卒年边界待核","年表可登场"))))))</x:f>
        <x:v>年表可登场</x:v>
      </x:c>
      <x:c r="I179" s="12"/>
      <x:c r="J179" s="2" t="str">
        <x:v>SAN14游戏设定</x:v>
      </x:c>
      <x:c r="K179" s="2" t="str"/>
      <x:c r="L179" s="2" t="str">
        <x:v>闞澤</x:v>
      </x:c>
      <x:c r="M179" s="2" t="str">
        <x:v>san14-candidate-0171</x:v>
      </x:c>
      <x:c r="N179" s="2" t="str">
        <x:v>カン沢</x:v>
      </x:c>
      <x:c r="O179" s="2" t="str">
        <x:v>カンタク</x:v>
      </x:c>
    </x:row>
    <x:row r="180" ht="23" customHeight="1">
      <x:c r="A180" s="13" t="n">
        <x:v>172</x:v>
      </x:c>
      <x:c r="B180" s="2" t="str">
        <x:v>邯郸淳</x:v>
      </x:c>
      <x:c r="C180" s="2" t="str">
        <x:v>邯鄲淳</x:v>
      </x:c>
      <x:c r="D180" s="2" t="str"/>
      <x:c r="E180" s="13" t="n">
        <x:v>132</x:v>
      </x:c>
      <x:c r="F180" s="13" t="n">
        <x:v>184</x:v>
      </x:c>
      <x:c r="G180" s="13" t="n">
        <x:v>222</x:v>
      </x:c>
      <x:c r="H180" s="2" t="str">
        <x:f>IF(OR($E$4="",NOT(ISNUMBER($E$4)),$E$4&lt;1,$E$4&gt;400),"参考年待填",IF(OR(E180="",F180="",G180=""),"年代待核",IF($E$4&lt;E180,"未出生",IF($E$4&lt;F180,"未登场",IF($E$4&gt;G180,"已过卒年",IF($E$4=G180,"卒年边界待核","年表可登场"))))))</x:f>
        <x:v>已过卒年</x:v>
      </x:c>
      <x:c r="I180" s="12"/>
      <x:c r="J180" s="2" t="str">
        <x:v>SAN14游戏设定</x:v>
      </x:c>
      <x:c r="K180" s="2" t="str"/>
      <x:c r="L180" s="2" t="str">
        <x:v>邯鄲淳</x:v>
      </x:c>
      <x:c r="M180" s="2" t="str">
        <x:v>san14-candidate-0172</x:v>
      </x:c>
      <x:c r="N180" s="2" t="str">
        <x:v>邯鄲淳</x:v>
      </x:c>
      <x:c r="O180" s="2" t="str">
        <x:v>カンタンジュン</x:v>
      </x:c>
    </x:row>
    <x:row r="181" ht="23" customHeight="1">
      <x:c r="A181" s="13" t="n">
        <x:v>173</x:v>
      </x:c>
      <x:c r="B181" s="2" t="str">
        <x:v>韩忠</x:v>
      </x:c>
      <x:c r="C181" s="2" t="str">
        <x:v>韓忠</x:v>
      </x:c>
      <x:c r="D181" s="2" t="str">
        <x:v>黄巾军，第三方设定151—184</x:v>
      </x:c>
      <x:c r="E181" s="13" t="n">
        <x:v>151</x:v>
      </x:c>
      <x:c r="F181" s="13" t="n">
        <x:v>184</x:v>
      </x:c>
      <x:c r="G181" s="13" t="n">
        <x:v>184</x:v>
      </x:c>
      <x:c r="H181" s="2" t="str">
        <x:f>IF(OR($E$4="",NOT(ISNUMBER($E$4)),$E$4&lt;1,$E$4&gt;400),"参考年待填",IF(OR(E181="",F181="",G181=""),"年代待核",IF($E$4&lt;E181,"未出生",IF($E$4&lt;F181,"未登场",IF($E$4&gt;G181,"已过卒年",IF($E$4=G181,"卒年边界待核","年表可登场"))))))</x:f>
        <x:v>已过卒年</x:v>
      </x:c>
      <x:c r="I181" s="12"/>
      <x:c r="J181" s="2" t="str">
        <x:v>SAN14游戏设定</x:v>
      </x:c>
      <x:c r="K181" s="2" t="str">
        <x:v>同名异人，保留</x:v>
      </x:c>
      <x:c r="L181" s="2" t="str">
        <x:v>韓忠</x:v>
      </x:c>
      <x:c r="M181" s="2" t="str">
        <x:v>san14-candidate-0173</x:v>
      </x:c>
      <x:c r="N181" s="2" t="str">
        <x:v>韓忠</x:v>
      </x:c>
      <x:c r="O181" s="2" t="str">
        <x:v>カンチュウ</x:v>
      </x:c>
    </x:row>
    <x:row r="182" ht="23" customHeight="1">
      <x:c r="A182" s="13" t="n">
        <x:v>174</x:v>
      </x:c>
      <x:c r="B182" s="2" t="str">
        <x:v>韩忠</x:v>
      </x:c>
      <x:c r="C182" s="2" t="str">
        <x:v>韓忠</x:v>
      </x:c>
      <x:c r="D182" s="2" t="str">
        <x:v>辽东公孙氏，第三方设定170—213</x:v>
      </x:c>
      <x:c r="E182" s="13" t="n">
        <x:v>170</x:v>
      </x:c>
      <x:c r="F182" s="13" t="n">
        <x:v>189</x:v>
      </x:c>
      <x:c r="G182" s="13" t="n">
        <x:v>213</x:v>
      </x:c>
      <x:c r="H182" s="2" t="str">
        <x:f>IF(OR($E$4="",NOT(ISNUMBER($E$4)),$E$4&lt;1,$E$4&gt;400),"参考年待填",IF(OR(E182="",F182="",G182=""),"年代待核",IF($E$4&lt;E182,"未出生",IF($E$4&lt;F182,"未登场",IF($E$4&gt;G182,"已过卒年",IF($E$4=G182,"卒年边界待核","年表可登场"))))))</x:f>
        <x:v>已过卒年</x:v>
      </x:c>
      <x:c r="I182" s="12"/>
      <x:c r="J182" s="2" t="str">
        <x:v>SAN14游戏设定</x:v>
      </x:c>
      <x:c r="K182" s="2" t="str">
        <x:v>同名异人，保留</x:v>
      </x:c>
      <x:c r="L182" s="2" t="str">
        <x:v>韓忠</x:v>
      </x:c>
      <x:c r="M182" s="2" t="str">
        <x:v>san14-candidate-0174</x:v>
      </x:c>
      <x:c r="N182" s="2" t="str">
        <x:v>韓忠</x:v>
      </x:c>
      <x:c r="O182" s="2" t="str">
        <x:v>カンチュウ</x:v>
      </x:c>
    </x:row>
    <x:row r="183" ht="23" customHeight="1">
      <x:c r="A183" s="13" t="n">
        <x:v>175</x:v>
      </x:c>
      <x:c r="B183" s="2" t="str">
        <x:v>关统</x:v>
      </x:c>
      <x:c r="C183" s="2" t="str">
        <x:v>關統</x:v>
      </x:c>
      <x:c r="D183" s="2" t="str"/>
      <x:c r="E183" s="13" t="n">
        <x:v>218</x:v>
      </x:c>
      <x:c r="F183" s="13" t="n">
        <x:v>232</x:v>
      </x:c>
      <x:c r="G183" s="13" t="n">
        <x:v>259</x:v>
      </x:c>
      <x:c r="H183" s="2" t="str">
        <x:f>IF(OR($E$4="",NOT(ISNUMBER($E$4)),$E$4&lt;1,$E$4&gt;400),"参考年待填",IF(OR(E183="",F183="",G183=""),"年代待核",IF($E$4&lt;E183,"未出生",IF($E$4&lt;F183,"未登场",IF($E$4&gt;G183,"已过卒年",IF($E$4=G183,"卒年边界待核","年表可登场"))))))</x:f>
        <x:v>未登场</x:v>
      </x:c>
      <x:c r="I183" s="12"/>
      <x:c r="J183" s="2" t="str">
        <x:v>SAN14游戏设定</x:v>
      </x:c>
      <x:c r="K183" s="2" t="str"/>
      <x:c r="L183" s="2" t="str">
        <x:v>關統</x:v>
      </x:c>
      <x:c r="M183" s="2" t="str">
        <x:v>san14-candidate-0175</x:v>
      </x:c>
      <x:c r="N183" s="2" t="str">
        <x:v>関統</x:v>
      </x:c>
      <x:c r="O183" s="2" t="str">
        <x:v>カントウ</x:v>
      </x:c>
    </x:row>
    <x:row r="184" ht="23" customHeight="1">
      <x:c r="A184" s="13" t="n">
        <x:v>176</x:v>
      </x:c>
      <x:c r="B184" s="2" t="str">
        <x:v>韩当</x:v>
      </x:c>
      <x:c r="C184" s="2" t="str">
        <x:v>韓當</x:v>
      </x:c>
      <x:c r="D184" s="2" t="str"/>
      <x:c r="E184" s="13" t="n">
        <x:v>156</x:v>
      </x:c>
      <x:c r="F184" s="13" t="n">
        <x:v>184</x:v>
      </x:c>
      <x:c r="G184" s="13" t="n">
        <x:v>225</x:v>
      </x:c>
      <x:c r="H184" s="2" t="str">
        <x:f>IF(OR($E$4="",NOT(ISNUMBER($E$4)),$E$4&lt;1,$E$4&gt;400),"参考年待填",IF(OR(E184="",F184="",G184=""),"年代待核",IF($E$4&lt;E184,"未出生",IF($E$4&lt;F184,"未登场",IF($E$4&gt;G184,"已过卒年",IF($E$4=G184,"卒年边界待核","年表可登场"))))))</x:f>
        <x:v>已过卒年</x:v>
      </x:c>
      <x:c r="I184" s="12"/>
      <x:c r="J184" s="2" t="str">
        <x:v>SAN14游戏设定</x:v>
      </x:c>
      <x:c r="K184" s="2" t="str"/>
      <x:c r="L184" s="2" t="str">
        <x:v>韓當</x:v>
      </x:c>
      <x:c r="M184" s="2" t="str">
        <x:v>san14-candidate-0176</x:v>
      </x:c>
      <x:c r="N184" s="2" t="str">
        <x:v>韓当</x:v>
      </x:c>
      <x:c r="O184" s="2" t="str">
        <x:v>カントウ</x:v>
      </x:c>
    </x:row>
    <x:row r="185" ht="23" customHeight="1">
      <x:c r="A185" s="13" t="n">
        <x:v>177</x:v>
      </x:c>
      <x:c r="B185" s="2" t="str">
        <x:v>管统</x:v>
      </x:c>
      <x:c r="C185" s="2" t="str">
        <x:v>管統</x:v>
      </x:c>
      <x:c r="D185" s="2" t="str"/>
      <x:c r="E185" s="13" t="n">
        <x:v>161</x:v>
      </x:c>
      <x:c r="F185" s="13" t="n">
        <x:v>184</x:v>
      </x:c>
      <x:c r="G185" s="13" t="n">
        <x:v>205</x:v>
      </x:c>
      <x:c r="H185" s="2" t="str">
        <x:f>IF(OR($E$4="",NOT(ISNUMBER($E$4)),$E$4&lt;1,$E$4&gt;400),"参考年待填",IF(OR(E185="",F185="",G185=""),"年代待核",IF($E$4&lt;E185,"未出生",IF($E$4&lt;F185,"未登场",IF($E$4&gt;G185,"已过卒年",IF($E$4=G185,"卒年边界待核","年表可登场"))))))</x:f>
        <x:v>已过卒年</x:v>
      </x:c>
      <x:c r="I185" s="12"/>
      <x:c r="J185" s="2" t="str">
        <x:v>SAN14游戏设定</x:v>
      </x:c>
      <x:c r="K185" s="2" t="str"/>
      <x:c r="L185" s="2" t="str">
        <x:v>管統</x:v>
      </x:c>
      <x:c r="M185" s="2" t="str">
        <x:v>san14-candidate-0177</x:v>
      </x:c>
      <x:c r="N185" s="2" t="str">
        <x:v>管統</x:v>
      </x:c>
      <x:c r="O185" s="2" t="str">
        <x:v>カントウ</x:v>
      </x:c>
    </x:row>
    <x:row r="186" ht="23" customHeight="1">
      <x:c r="A186" s="13" t="n">
        <x:v>178</x:v>
      </x:c>
      <x:c r="B186" s="2" t="str">
        <x:v>韩德</x:v>
      </x:c>
      <x:c r="C186" s="2" t="str">
        <x:v>韓德</x:v>
      </x:c>
      <x:c r="D186" s="2" t="str"/>
      <x:c r="E186" s="13" t="n">
        <x:v>171</x:v>
      </x:c>
      <x:c r="F186" s="13" t="n">
        <x:v>199</x:v>
      </x:c>
      <x:c r="G186" s="13" t="n">
        <x:v>228</x:v>
      </x:c>
      <x:c r="H186" s="2" t="str">
        <x:f>IF(OR($E$4="",NOT(ISNUMBER($E$4)),$E$4&lt;1,$E$4&gt;400),"参考年待填",IF(OR(E186="",F186="",G186=""),"年代待核",IF($E$4&lt;E186,"未出生",IF($E$4&lt;F186,"未登场",IF($E$4&gt;G186,"已过卒年",IF($E$4=G186,"卒年边界待核","年表可登场"))))))</x:f>
        <x:v>已过卒年</x:v>
      </x:c>
      <x:c r="I186" s="12"/>
      <x:c r="J186" s="2" t="str">
        <x:v>SAN14游戏设定</x:v>
      </x:c>
      <x:c r="K186" s="2" t="str"/>
      <x:c r="L186" s="2" t="str">
        <x:v>韓德</x:v>
      </x:c>
      <x:c r="M186" s="2" t="str">
        <x:v>san14-candidate-0178</x:v>
      </x:c>
      <x:c r="N186" s="2" t="str">
        <x:v>韓徳</x:v>
      </x:c>
      <x:c r="O186" s="2" t="str">
        <x:v>カントク</x:v>
      </x:c>
    </x:row>
    <x:row r="187" ht="23" customHeight="1">
      <x:c r="A187" s="13" t="n">
        <x:v>179</x:v>
      </x:c>
      <x:c r="B187" s="2" t="str">
        <x:v>甘宁</x:v>
      </x:c>
      <x:c r="C187" s="2" t="str">
        <x:v>甘寧</x:v>
      </x:c>
      <x:c r="D187" s="2" t="str"/>
      <x:c r="E187" s="13" t="n">
        <x:v>174</x:v>
      </x:c>
      <x:c r="F187" s="13" t="n">
        <x:v>193</x:v>
      </x:c>
      <x:c r="G187" s="13" t="n">
        <x:v>222</x:v>
      </x:c>
      <x:c r="H187" s="2" t="str">
        <x:f>IF(OR($E$4="",NOT(ISNUMBER($E$4)),$E$4&lt;1,$E$4&gt;400),"参考年待填",IF(OR(E187="",F187="",G187=""),"年代待核",IF($E$4&lt;E187,"未出生",IF($E$4&lt;F187,"未登场",IF($E$4&gt;G187,"已过卒年",IF($E$4=G187,"卒年边界待核","年表可登场"))))))</x:f>
        <x:v>已过卒年</x:v>
      </x:c>
      <x:c r="I187" s="12" t="n">
        <x:v>47</x:v>
      </x:c>
      <x:c r="J187" s="2" t="str">
        <x:v>SAN14游戏设定</x:v>
      </x:c>
      <x:c r="K187" s="2" t="str"/>
      <x:c r="L187" s="2" t="str">
        <x:v>甘寧</x:v>
      </x:c>
      <x:c r="M187" s="2" t="str">
        <x:v>san14-candidate-0179</x:v>
      </x:c>
      <x:c r="N187" s="2" t="str">
        <x:v>甘寧</x:v>
      </x:c>
      <x:c r="O187" s="2" t="str">
        <x:v>カンネイ</x:v>
      </x:c>
    </x:row>
    <x:row r="188" ht="23" customHeight="1">
      <x:c r="A188" s="13" t="n">
        <x:v>180</x:v>
      </x:c>
      <x:c r="B188" s="2" t="str">
        <x:v>桓范</x:v>
      </x:c>
      <x:c r="C188" s="2" t="str">
        <x:v>桓範</x:v>
      </x:c>
      <x:c r="D188" s="2" t="str"/>
      <x:c r="E188" s="13" t="n">
        <x:v>199</x:v>
      </x:c>
      <x:c r="F188" s="13" t="n">
        <x:v>218</x:v>
      </x:c>
      <x:c r="G188" s="13" t="n">
        <x:v>249</x:v>
      </x:c>
      <x:c r="H188" s="2" t="str">
        <x:f>IF(OR($E$4="",NOT(ISNUMBER($E$4)),$E$4&lt;1,$E$4&gt;400),"参考年待填",IF(OR(E188="",F188="",G188=""),"年代待核",IF($E$4&lt;E188,"未出生",IF($E$4&lt;F188,"未登场",IF($E$4&gt;G188,"已过卒年",IF($E$4=G188,"卒年边界待核","年表可登场"))))))</x:f>
        <x:v>年表可登场</x:v>
      </x:c>
      <x:c r="I188" s="12"/>
      <x:c r="J188" s="2" t="str">
        <x:v>SAN14游戏设定</x:v>
      </x:c>
      <x:c r="K188" s="2" t="str"/>
      <x:c r="L188" s="2" t="str">
        <x:v>桓範</x:v>
      </x:c>
      <x:c r="M188" s="2" t="str">
        <x:v>san14-candidate-0180</x:v>
      </x:c>
      <x:c r="N188" s="2" t="str">
        <x:v>桓範</x:v>
      </x:c>
      <x:c r="O188" s="2" t="str">
        <x:v>カンハン</x:v>
      </x:c>
    </x:row>
    <x:row r="189" ht="23" customHeight="1">
      <x:c r="A189" s="13" t="n">
        <x:v>181</x:v>
      </x:c>
      <x:c r="B189" s="2" t="str">
        <x:v>韩范</x:v>
      </x:c>
      <x:c r="C189" s="2" t="str">
        <x:v>韓範</x:v>
      </x:c>
      <x:c r="D189" s="2" t="str"/>
      <x:c r="E189" s="13" t="n">
        <x:v>168</x:v>
      </x:c>
      <x:c r="F189" s="13" t="n">
        <x:v>192</x:v>
      </x:c>
      <x:c r="G189" s="13" t="n">
        <x:v>206</x:v>
      </x:c>
      <x:c r="H189" s="2" t="str">
        <x:f>IF(OR($E$4="",NOT(ISNUMBER($E$4)),$E$4&lt;1,$E$4&gt;400),"参考年待填",IF(OR(E189="",F189="",G189=""),"年代待核",IF($E$4&lt;E189,"未出生",IF($E$4&lt;F189,"未登场",IF($E$4&gt;G189,"已过卒年",IF($E$4=G189,"卒年边界待核","年表可登场"))))))</x:f>
        <x:v>已过卒年</x:v>
      </x:c>
      <x:c r="I189" s="12"/>
      <x:c r="J189" s="2" t="str">
        <x:v>SAN14游戏设定</x:v>
      </x:c>
      <x:c r="K189" s="2" t="str"/>
      <x:c r="L189" s="2" t="str">
        <x:v>韓範</x:v>
      </x:c>
      <x:c r="M189" s="2" t="str">
        <x:v>san14-candidate-0181</x:v>
      </x:c>
      <x:c r="N189" s="2" t="str">
        <x:v>韓範</x:v>
      </x:c>
      <x:c r="O189" s="2" t="str">
        <x:v>カンハン</x:v>
      </x:c>
    </x:row>
    <x:row r="190" ht="23" customHeight="1">
      <x:c r="A190" s="13" t="n">
        <x:v>182</x:v>
      </x:c>
      <x:c r="B190" s="2" t="str">
        <x:v>韩馥</x:v>
      </x:c>
      <x:c r="C190" s="2" t="str">
        <x:v>韓馥</x:v>
      </x:c>
      <x:c r="D190" s="2" t="str"/>
      <x:c r="E190" s="13" t="n">
        <x:v>149</x:v>
      </x:c>
      <x:c r="F190" s="13" t="n">
        <x:v>184</x:v>
      </x:c>
      <x:c r="G190" s="13" t="n">
        <x:v>191</x:v>
      </x:c>
      <x:c r="H190" s="2" t="str">
        <x:f>IF(OR($E$4="",NOT(ISNUMBER($E$4)),$E$4&lt;1,$E$4&gt;400),"参考年待填",IF(OR(E190="",F190="",G190=""),"年代待核",IF($E$4&lt;E190,"未出生",IF($E$4&lt;F190,"未登场",IF($E$4&gt;G190,"已过卒年",IF($E$4=G190,"卒年边界待核","年表可登场"))))))</x:f>
        <x:v>已过卒年</x:v>
      </x:c>
      <x:c r="I190" s="12"/>
      <x:c r="J190" s="2" t="str">
        <x:v>SAN14游戏设定</x:v>
      </x:c>
      <x:c r="K190" s="2" t="str"/>
      <x:c r="L190" s="2" t="str">
        <x:v>韓馥</x:v>
      </x:c>
      <x:c r="M190" s="2" t="str">
        <x:v>san14-candidate-0182</x:v>
      </x:c>
      <x:c r="N190" s="2" t="str">
        <x:v>韓馥</x:v>
      </x:c>
      <x:c r="O190" s="2" t="str">
        <x:v>カンフク</x:v>
      </x:c>
    </x:row>
    <x:row r="191" ht="23" customHeight="1">
      <x:c r="A191" s="13" t="n">
        <x:v>183</x:v>
      </x:c>
      <x:c r="B191" s="2" t="str">
        <x:v>关平</x:v>
      </x:c>
      <x:c r="C191" s="2" t="str">
        <x:v>關平</x:v>
      </x:c>
      <x:c r="D191" s="2" t="str"/>
      <x:c r="E191" s="13" t="n">
        <x:v>186</x:v>
      </x:c>
      <x:c r="F191" s="13" t="n">
        <x:v>200</x:v>
      </x:c>
      <x:c r="G191" s="13" t="n">
        <x:v>219</x:v>
      </x:c>
      <x:c r="H191" s="2" t="str">
        <x:f>IF(OR($E$4="",NOT(ISNUMBER($E$4)),$E$4&lt;1,$E$4&gt;400),"参考年待填",IF(OR(E191="",F191="",G191=""),"年代待核",IF($E$4&lt;E191,"未出生",IF($E$4&lt;F191,"未登场",IF($E$4&gt;G191,"已过卒年",IF($E$4=G191,"卒年边界待核","年表可登场"))))))</x:f>
        <x:v>已过卒年</x:v>
      </x:c>
      <x:c r="I191" s="12"/>
      <x:c r="J191" s="2" t="str">
        <x:v>SAN14游戏设定</x:v>
      </x:c>
      <x:c r="K191" s="2" t="str"/>
      <x:c r="L191" s="2" t="str">
        <x:v>關平</x:v>
      </x:c>
      <x:c r="M191" s="2" t="str">
        <x:v>san14-candidate-0183</x:v>
      </x:c>
      <x:c r="N191" s="2" t="str">
        <x:v>関平</x:v>
      </x:c>
      <x:c r="O191" s="2" t="str">
        <x:v>カンペイ</x:v>
      </x:c>
    </x:row>
    <x:row r="192" ht="23" customHeight="1">
      <x:c r="A192" s="13" t="n">
        <x:v>184</x:v>
      </x:c>
      <x:c r="B192" s="2" t="str">
        <x:v>韩猛</x:v>
      </x:c>
      <x:c r="C192" s="2" t="str">
        <x:v>韓猛</x:v>
      </x:c>
      <x:c r="D192" s="2" t="str"/>
      <x:c r="E192" s="13" t="n">
        <x:v>160</x:v>
      </x:c>
      <x:c r="F192" s="13" t="n">
        <x:v>184</x:v>
      </x:c>
      <x:c r="G192" s="13" t="n">
        <x:v>200</x:v>
      </x:c>
      <x:c r="H192" s="2" t="str">
        <x:f>IF(OR($E$4="",NOT(ISNUMBER($E$4)),$E$4&lt;1,$E$4&gt;400),"参考年待填",IF(OR(E192="",F192="",G192=""),"年代待核",IF($E$4&lt;E192,"未出生",IF($E$4&lt;F192,"未登场",IF($E$4&gt;G192,"已过卒年",IF($E$4=G192,"卒年边界待核","年表可登场"))))))</x:f>
        <x:v>已过卒年</x:v>
      </x:c>
      <x:c r="I192" s="12"/>
      <x:c r="J192" s="2" t="str">
        <x:v>SAN14游戏设定</x:v>
      </x:c>
      <x:c r="K192" s="2" t="str"/>
      <x:c r="L192" s="2" t="str">
        <x:v>韓猛</x:v>
      </x:c>
      <x:c r="M192" s="2" t="str">
        <x:v>san14-candidate-0184</x:v>
      </x:c>
      <x:c r="N192" s="2" t="str">
        <x:v>韓猛</x:v>
      </x:c>
      <x:c r="O192" s="2" t="str">
        <x:v>カンモウ</x:v>
      </x:c>
    </x:row>
    <x:row r="193" ht="23" customHeight="1">
      <x:c r="A193" s="13" t="n">
        <x:v>185</x:v>
      </x:c>
      <x:c r="B193" s="2" t="str">
        <x:v>简雍</x:v>
      </x:c>
      <x:c r="C193" s="2" t="str">
        <x:v>簡雍</x:v>
      </x:c>
      <x:c r="D193" s="2" t="str"/>
      <x:c r="E193" s="13" t="n">
        <x:v>164</x:v>
      </x:c>
      <x:c r="F193" s="13" t="n">
        <x:v>184</x:v>
      </x:c>
      <x:c r="G193" s="13" t="n">
        <x:v>225</x:v>
      </x:c>
      <x:c r="H193" s="2" t="str">
        <x:f>IF(OR($E$4="",NOT(ISNUMBER($E$4)),$E$4&lt;1,$E$4&gt;400),"参考年待填",IF(OR(E193="",F193="",G193=""),"年代待核",IF($E$4&lt;E193,"未出生",IF($E$4&lt;F193,"未登场",IF($E$4&gt;G193,"已过卒年",IF($E$4=G193,"卒年边界待核","年表可登场"))))))</x:f>
        <x:v>已过卒年</x:v>
      </x:c>
      <x:c r="I193" s="12"/>
      <x:c r="J193" s="2" t="str">
        <x:v>SAN14游戏设定</x:v>
      </x:c>
      <x:c r="K193" s="2" t="str"/>
      <x:c r="L193" s="2" t="str">
        <x:v>簡雍</x:v>
      </x:c>
      <x:c r="M193" s="2" t="str">
        <x:v>san14-candidate-0185</x:v>
      </x:c>
      <x:c r="N193" s="2" t="str">
        <x:v>簡雍</x:v>
      </x:c>
      <x:c r="O193" s="2" t="str">
        <x:v>カンヨウ</x:v>
      </x:c>
    </x:row>
    <x:row r="194" ht="23" customHeight="1">
      <x:c r="A194" s="13" t="n">
        <x:v>186</x:v>
      </x:c>
      <x:c r="B194" s="2" t="str">
        <x:v>颜良</x:v>
      </x:c>
      <x:c r="C194" s="2" t="str">
        <x:v>顏良</x:v>
      </x:c>
      <x:c r="D194" s="2" t="str"/>
      <x:c r="E194" s="13" t="n">
        <x:v>160</x:v>
      </x:c>
      <x:c r="F194" s="13" t="n">
        <x:v>184</x:v>
      </x:c>
      <x:c r="G194" s="13" t="n">
        <x:v>200</x:v>
      </x:c>
      <x:c r="H194" s="2" t="str">
        <x:f>IF(OR($E$4="",NOT(ISNUMBER($E$4)),$E$4&lt;1,$E$4&gt;400),"参考年待填",IF(OR(E194="",F194="",G194=""),"年代待核",IF($E$4&lt;E194,"未出生",IF($E$4&lt;F194,"未登场",IF($E$4&gt;G194,"已过卒年",IF($E$4=G194,"卒年边界待核","年表可登场"))))))</x:f>
        <x:v>已过卒年</x:v>
      </x:c>
      <x:c r="I194" s="12"/>
      <x:c r="J194" s="2" t="str">
        <x:v>SAN14游戏设定</x:v>
      </x:c>
      <x:c r="K194" s="2" t="str"/>
      <x:c r="L194" s="2" t="str">
        <x:v>顏良</x:v>
      </x:c>
      <x:c r="M194" s="2" t="str">
        <x:v>san14-candidate-0186</x:v>
      </x:c>
      <x:c r="N194" s="2" t="str">
        <x:v>顔良</x:v>
      </x:c>
      <x:c r="O194" s="2" t="str">
        <x:v>ガンリョウ</x:v>
      </x:c>
    </x:row>
    <x:row r="195" ht="23" customHeight="1">
      <x:c r="A195" s="13" t="n">
        <x:v>187</x:v>
      </x:c>
      <x:c r="B195" s="2" t="str">
        <x:v>桓邻</x:v>
      </x:c>
      <x:c r="C195" s="2" t="str">
        <x:v>桓鄰</x:v>
      </x:c>
      <x:c r="D195" s="2" t="str"/>
      <x:c r="E195" s="13" t="n">
        <x:v>173</x:v>
      </x:c>
      <x:c r="F195" s="13" t="n">
        <x:v>192</x:v>
      </x:c>
      <x:c r="G195" s="13" t="n">
        <x:v>226</x:v>
      </x:c>
      <x:c r="H195" s="2" t="str">
        <x:f>IF(OR($E$4="",NOT(ISNUMBER($E$4)),$E$4&lt;1,$E$4&gt;400),"参考年待填",IF(OR(E195="",F195="",G195=""),"年代待核",IF($E$4&lt;E195,"未出生",IF($E$4&lt;F195,"未登场",IF($E$4&gt;G195,"已过卒年",IF($E$4=G195,"卒年边界待核","年表可登场"))))))</x:f>
        <x:v>已过卒年</x:v>
      </x:c>
      <x:c r="I195" s="12"/>
      <x:c r="J195" s="2" t="str">
        <x:v>SAN14游戏设定</x:v>
      </x:c>
      <x:c r="K195" s="2" t="str"/>
      <x:c r="L195" s="2" t="str">
        <x:v>桓鄰</x:v>
      </x:c>
      <x:c r="M195" s="2" t="str">
        <x:v>san14-candidate-0187</x:v>
      </x:c>
      <x:c r="N195" s="2" t="str">
        <x:v>桓鄰</x:v>
      </x:c>
      <x:c r="O195" s="2" t="str">
        <x:v>カンリン</x:v>
      </x:c>
    </x:row>
    <x:row r="196" ht="23" customHeight="1">
      <x:c r="A196" s="13" t="n">
        <x:v>188</x:v>
      </x:c>
      <x:c r="B196" s="2" t="str">
        <x:v>魏越</x:v>
      </x:c>
      <x:c r="C196" s="2" t="str">
        <x:v>魏越</x:v>
      </x:c>
      <x:c r="D196" s="2" t="str"/>
      <x:c r="E196" s="13" t="n">
        <x:v>165</x:v>
      </x:c>
      <x:c r="F196" s="13" t="n">
        <x:v>189</x:v>
      </x:c>
      <x:c r="G196" s="13" t="n">
        <x:v>198</x:v>
      </x:c>
      <x:c r="H196" s="2" t="str">
        <x:f>IF(OR($E$4="",NOT(ISNUMBER($E$4)),$E$4&lt;1,$E$4&gt;400),"参考年待填",IF(OR(E196="",F196="",G196=""),"年代待核",IF($E$4&lt;E196,"未出生",IF($E$4&lt;F196,"未登场",IF($E$4&gt;G196,"已过卒年",IF($E$4=G196,"卒年边界待核","年表可登场"))))))</x:f>
        <x:v>已过卒年</x:v>
      </x:c>
      <x:c r="I196" s="12"/>
      <x:c r="J196" s="2" t="str">
        <x:v>SAN14游戏设定</x:v>
      </x:c>
      <x:c r="K196" s="2" t="str"/>
      <x:c r="L196" s="2" t="str">
        <x:v>魏越</x:v>
      </x:c>
      <x:c r="M196" s="2" t="str">
        <x:v>san14-candidate-0188</x:v>
      </x:c>
      <x:c r="N196" s="2" t="str">
        <x:v>魏越</x:v>
      </x:c>
      <x:c r="O196" s="2" t="str">
        <x:v>ギエツ</x:v>
      </x:c>
    </x:row>
    <x:row r="197" ht="23" customHeight="1">
      <x:c r="A197" s="13" t="n">
        <x:v>189</x:v>
      </x:c>
      <x:c r="B197" s="2" t="str">
        <x:v>魏延</x:v>
      </x:c>
      <x:c r="C197" s="2" t="str">
        <x:v>魏延</x:v>
      </x:c>
      <x:c r="D197" s="2" t="str"/>
      <x:c r="E197" s="13" t="n">
        <x:v>175</x:v>
      </x:c>
      <x:c r="F197" s="13" t="n">
        <x:v>194</x:v>
      </x:c>
      <x:c r="G197" s="13" t="n">
        <x:v>234</x:v>
      </x:c>
      <x:c r="H197" s="2" t="str">
        <x:f>IF(OR($E$4="",NOT(ISNUMBER($E$4)),$E$4&lt;1,$E$4&gt;400),"参考年待填",IF(OR(E197="",F197="",G197=""),"年代待核",IF($E$4&lt;E197,"未出生",IF($E$4&lt;F197,"未登场",IF($E$4&gt;G197,"已过卒年",IF($E$4=G197,"卒年边界待核","年表可登场"))))))</x:f>
        <x:v>年表可登场</x:v>
      </x:c>
      <x:c r="I197" s="12"/>
      <x:c r="J197" s="2" t="str">
        <x:v>SAN14游戏设定</x:v>
      </x:c>
      <x:c r="K197" s="2" t="str"/>
      <x:c r="L197" s="2" t="str">
        <x:v>魏延</x:v>
      </x:c>
      <x:c r="M197" s="2" t="str">
        <x:v>san14-candidate-0189</x:v>
      </x:c>
      <x:c r="N197" s="2" t="str">
        <x:v>魏延</x:v>
      </x:c>
      <x:c r="O197" s="2" t="str">
        <x:v>ギエン</x:v>
      </x:c>
    </x:row>
    <x:row r="198" ht="23" customHeight="1">
      <x:c r="A198" s="13" t="n">
        <x:v>190</x:v>
      </x:c>
      <x:c r="B198" s="2" t="str">
        <x:v>曲演</x:v>
      </x:c>
      <x:c r="C198" s="2" t="str">
        <x:v>麴演</x:v>
      </x:c>
      <x:c r="D198" s="2" t="str"/>
      <x:c r="E198" s="13" t="n">
        <x:v>174</x:v>
      </x:c>
      <x:c r="F198" s="13" t="n">
        <x:v>193</x:v>
      </x:c>
      <x:c r="G198" s="13" t="n">
        <x:v>221</x:v>
      </x:c>
      <x:c r="H198" s="2" t="str">
        <x:f>IF(OR($E$4="",NOT(ISNUMBER($E$4)),$E$4&lt;1,$E$4&gt;400),"参考年待填",IF(OR(E198="",F198="",G198=""),"年代待核",IF($E$4&lt;E198,"未出生",IF($E$4&lt;F198,"未登场",IF($E$4&gt;G198,"已过卒年",IF($E$4=G198,"卒年边界待核","年表可登场"))))))</x:f>
        <x:v>已过卒年</x:v>
      </x:c>
      <x:c r="I198" s="12"/>
      <x:c r="J198" s="2" t="str">
        <x:v>SAN14游戏设定</x:v>
      </x:c>
      <x:c r="K198" s="2" t="str"/>
      <x:c r="L198" s="2" t="str">
        <x:v>麴演</x:v>
      </x:c>
      <x:c r="M198" s="2" t="str">
        <x:v>san14-candidate-0190</x:v>
      </x:c>
      <x:c r="N198" s="2" t="str">
        <x:v>麹演</x:v>
      </x:c>
      <x:c r="O198" s="2" t="str">
        <x:v>キクエン</x:v>
      </x:c>
    </x:row>
    <x:row r="199" ht="23" customHeight="1">
      <x:c r="A199" s="13" t="n">
        <x:v>191</x:v>
      </x:c>
      <x:c r="B199" s="2" t="str">
        <x:v>曲义</x:v>
      </x:c>
      <x:c r="C199" s="2" t="str">
        <x:v>麴義</x:v>
      </x:c>
      <x:c r="D199" s="2" t="str"/>
      <x:c r="E199" s="13" t="n">
        <x:v>146</x:v>
      </x:c>
      <x:c r="F199" s="13" t="n">
        <x:v>184</x:v>
      </x:c>
      <x:c r="G199" s="13" t="n">
        <x:v>191</x:v>
      </x:c>
      <x:c r="H199" s="2" t="str">
        <x:f>IF(OR($E$4="",NOT(ISNUMBER($E$4)),$E$4&lt;1,$E$4&gt;400),"参考年待填",IF(OR(E199="",F199="",G199=""),"年代待核",IF($E$4&lt;E199,"未出生",IF($E$4&lt;F199,"未登场",IF($E$4&gt;G199,"已过卒年",IF($E$4=G199,"卒年边界待核","年表可登场"))))))</x:f>
        <x:v>已过卒年</x:v>
      </x:c>
      <x:c r="I199" s="12"/>
      <x:c r="J199" s="2" t="str">
        <x:v>SAN14游戏设定</x:v>
      </x:c>
      <x:c r="K199" s="2" t="str"/>
      <x:c r="L199" s="2" t="str">
        <x:v>麴義</x:v>
      </x:c>
      <x:c r="M199" s="2" t="str">
        <x:v>san14-candidate-0191</x:v>
      </x:c>
      <x:c r="N199" s="2" t="str">
        <x:v>麹義</x:v>
      </x:c>
      <x:c r="O199" s="2" t="str">
        <x:v>キクギ</x:v>
      </x:c>
    </x:row>
    <x:row r="200" ht="23" customHeight="1">
      <x:c r="A200" s="13" t="n">
        <x:v>192</x:v>
      </x:c>
      <x:c r="B200" s="2" t="str">
        <x:v>戏志才</x:v>
      </x:c>
      <x:c r="C200" s="2" t="str">
        <x:v>戲志才</x:v>
      </x:c>
      <x:c r="D200" s="2" t="str"/>
      <x:c r="E200" s="13" t="n">
        <x:v>157</x:v>
      </x:c>
      <x:c r="F200" s="13" t="n">
        <x:v>184</x:v>
      </x:c>
      <x:c r="G200" s="13" t="n">
        <x:v>194</x:v>
      </x:c>
      <x:c r="H200" s="2" t="str">
        <x:f>IF(OR($E$4="",NOT(ISNUMBER($E$4)),$E$4&lt;1,$E$4&gt;400),"参考年待填",IF(OR(E200="",F200="",G200=""),"年代待核",IF($E$4&lt;E200,"未出生",IF($E$4&lt;F200,"未登场",IF($E$4&gt;G200,"已过卒年",IF($E$4=G200,"卒年边界待核","年表可登场"))))))</x:f>
        <x:v>已过卒年</x:v>
      </x:c>
      <x:c r="I200" s="12"/>
      <x:c r="J200" s="2" t="str">
        <x:v>SAN14游戏设定</x:v>
      </x:c>
      <x:c r="K200" s="2" t="str"/>
      <x:c r="L200" s="2" t="str">
        <x:v>戲志才</x:v>
      </x:c>
      <x:c r="M200" s="2" t="str">
        <x:v>san14-candidate-0192</x:v>
      </x:c>
      <x:c r="N200" s="2" t="str">
        <x:v>戯志才</x:v>
      </x:c>
      <x:c r="O200" s="2" t="str">
        <x:v>ギシサイ</x:v>
      </x:c>
    </x:row>
    <x:row r="201" ht="23" customHeight="1">
      <x:c r="A201" s="13" t="n">
        <x:v>193</x:v>
      </x:c>
      <x:c r="B201" s="2" t="str">
        <x:v>魏续</x:v>
      </x:c>
      <x:c r="C201" s="2" t="str">
        <x:v>魏續</x:v>
      </x:c>
      <x:c r="D201" s="2" t="str"/>
      <x:c r="E201" s="13" t="n">
        <x:v>156</x:v>
      </x:c>
      <x:c r="F201" s="13" t="n">
        <x:v>184</x:v>
      </x:c>
      <x:c r="G201" s="13" t="n">
        <x:v>200</x:v>
      </x:c>
      <x:c r="H201" s="2" t="str">
        <x:f>IF(OR($E$4="",NOT(ISNUMBER($E$4)),$E$4&lt;1,$E$4&gt;400),"参考年待填",IF(OR(E201="",F201="",G201=""),"年代待核",IF($E$4&lt;E201,"未出生",IF($E$4&lt;F201,"未登场",IF($E$4&gt;G201,"已过卒年",IF($E$4=G201,"卒年边界待核","年表可登场"))))))</x:f>
        <x:v>已过卒年</x:v>
      </x:c>
      <x:c r="I201" s="12"/>
      <x:c r="J201" s="2" t="str">
        <x:v>SAN14游戏设定</x:v>
      </x:c>
      <x:c r="K201" s="2" t="str"/>
      <x:c r="L201" s="2" t="str">
        <x:v>魏續</x:v>
      </x:c>
      <x:c r="M201" s="2" t="str">
        <x:v>san14-candidate-0193</x:v>
      </x:c>
      <x:c r="N201" s="2" t="str">
        <x:v>魏続</x:v>
      </x:c>
      <x:c r="O201" s="2" t="str">
        <x:v>ギショク</x:v>
      </x:c>
    </x:row>
    <x:row r="202" ht="23" customHeight="1">
      <x:c r="A202" s="13" t="n">
        <x:v>194</x:v>
      </x:c>
      <x:c r="B202" s="2" t="str">
        <x:v>魏邈</x:v>
      </x:c>
      <x:c r="C202" s="2" t="str">
        <x:v>魏邈</x:v>
      </x:c>
      <x:c r="D202" s="2" t="str"/>
      <x:c r="E202" s="13" t="n">
        <x:v>221</x:v>
      </x:c>
      <x:c r="F202" s="13" t="n">
        <x:v>240</x:v>
      </x:c>
      <x:c r="G202" s="13" t="n">
        <x:v>268</x:v>
      </x:c>
      <x:c r="H202" s="2" t="str">
        <x:f>IF(OR($E$4="",NOT(ISNUMBER($E$4)),$E$4&lt;1,$E$4&gt;400),"参考年待填",IF(OR(E202="",F202="",G202=""),"年代待核",IF($E$4&lt;E202,"未出生",IF($E$4&lt;F202,"未登场",IF($E$4&gt;G202,"已过卒年",IF($E$4=G202,"卒年边界待核","年表可登场"))))))</x:f>
        <x:v>未登场</x:v>
      </x:c>
      <x:c r="I202" s="12"/>
      <x:c r="J202" s="2" t="str">
        <x:v>SAN14游戏设定</x:v>
      </x:c>
      <x:c r="K202" s="2" t="str"/>
      <x:c r="L202" s="2" t="str">
        <x:v>魏邈</x:v>
      </x:c>
      <x:c r="M202" s="2" t="str">
        <x:v>san14-candidate-0194</x:v>
      </x:c>
      <x:c r="N202" s="2" t="str">
        <x:v>魏バク</x:v>
      </x:c>
      <x:c r="O202" s="2" t="str">
        <x:v>ギバク</x:v>
      </x:c>
    </x:row>
    <x:row r="203" ht="23" customHeight="1">
      <x:c r="A203" s="13" t="n">
        <x:v>195</x:v>
      </x:c>
      <x:c r="B203" s="2" t="str">
        <x:v>魏讽</x:v>
      </x:c>
      <x:c r="C203" s="2" t="str">
        <x:v>魏諷</x:v>
      </x:c>
      <x:c r="D203" s="2" t="str"/>
      <x:c r="E203" s="13" t="n">
        <x:v>182</x:v>
      </x:c>
      <x:c r="F203" s="13" t="n">
        <x:v>201</x:v>
      </x:c>
      <x:c r="G203" s="13" t="n">
        <x:v>219</x:v>
      </x:c>
      <x:c r="H203" s="2" t="str">
        <x:f>IF(OR($E$4="",NOT(ISNUMBER($E$4)),$E$4&lt;1,$E$4&gt;400),"参考年待填",IF(OR(E203="",F203="",G203=""),"年代待核",IF($E$4&lt;E203,"未出生",IF($E$4&lt;F203,"未登场",IF($E$4&gt;G203,"已过卒年",IF($E$4=G203,"卒年边界待核","年表可登场"))))))</x:f>
        <x:v>已过卒年</x:v>
      </x:c>
      <x:c r="I203" s="12"/>
      <x:c r="J203" s="2" t="str">
        <x:v>SAN14游戏设定</x:v>
      </x:c>
      <x:c r="K203" s="2" t="str"/>
      <x:c r="L203" s="2" t="str">
        <x:v>魏諷</x:v>
      </x:c>
      <x:c r="M203" s="2" t="str">
        <x:v>san14-candidate-0195</x:v>
      </x:c>
      <x:c r="N203" s="2" t="str">
        <x:v>魏諷</x:v>
      </x:c>
      <x:c r="O203" s="2" t="str">
        <x:v>ギフウ</x:v>
      </x:c>
    </x:row>
    <x:row r="204" ht="23" customHeight="1">
      <x:c r="A204" s="13" t="n">
        <x:v>196</x:v>
      </x:c>
      <x:c r="B204" s="2" t="str">
        <x:v>魏攸</x:v>
      </x:c>
      <x:c r="C204" s="2" t="str">
        <x:v>魏攸</x:v>
      </x:c>
      <x:c r="D204" s="2" t="str"/>
      <x:c r="E204" s="13" t="n">
        <x:v>151</x:v>
      </x:c>
      <x:c r="F204" s="13" t="n">
        <x:v>184</x:v>
      </x:c>
      <x:c r="G204" s="13" t="n">
        <x:v>193</x:v>
      </x:c>
      <x:c r="H204" s="2" t="str">
        <x:f>IF(OR($E$4="",NOT(ISNUMBER($E$4)),$E$4&lt;1,$E$4&gt;400),"参考年待填",IF(OR(E204="",F204="",G204=""),"年代待核",IF($E$4&lt;E204,"未出生",IF($E$4&lt;F204,"未登场",IF($E$4&gt;G204,"已过卒年",IF($E$4=G204,"卒年边界待核","年表可登场"))))))</x:f>
        <x:v>已过卒年</x:v>
      </x:c>
      <x:c r="I204" s="12"/>
      <x:c r="J204" s="2" t="str">
        <x:v>SAN14游戏设定</x:v>
      </x:c>
      <x:c r="K204" s="2" t="str"/>
      <x:c r="L204" s="2" t="str">
        <x:v>魏攸</x:v>
      </x:c>
      <x:c r="M204" s="2" t="str">
        <x:v>san14-candidate-0196</x:v>
      </x:c>
      <x:c r="N204" s="2" t="str">
        <x:v>魏攸</x:v>
      </x:c>
      <x:c r="O204" s="2" t="str">
        <x:v>ギユウ</x:v>
      </x:c>
    </x:row>
    <x:row r="205" ht="23" customHeight="1">
      <x:c r="A205" s="13" t="n">
        <x:v>197</x:v>
      </x:c>
      <x:c r="B205" s="2" t="str">
        <x:v>牛金</x:v>
      </x:c>
      <x:c r="C205" s="2" t="str">
        <x:v>牛金</x:v>
      </x:c>
      <x:c r="D205" s="2" t="str"/>
      <x:c r="E205" s="13" t="n">
        <x:v>173</x:v>
      </x:c>
      <x:c r="F205" s="13" t="n">
        <x:v>201</x:v>
      </x:c>
      <x:c r="G205" s="13" t="n">
        <x:v>240</x:v>
      </x:c>
      <x:c r="H205" s="2" t="str">
        <x:f>IF(OR($E$4="",NOT(ISNUMBER($E$4)),$E$4&lt;1,$E$4&gt;400),"参考年待填",IF(OR(E205="",F205="",G205=""),"年代待核",IF($E$4&lt;E205,"未出生",IF($E$4&lt;F205,"未登场",IF($E$4&gt;G205,"已过卒年",IF($E$4=G205,"卒年边界待核","年表可登场"))))))</x:f>
        <x:v>年表可登场</x:v>
      </x:c>
      <x:c r="I205" s="12"/>
      <x:c r="J205" s="2" t="str">
        <x:v>SAN14游戏设定</x:v>
      </x:c>
      <x:c r="K205" s="2" t="str"/>
      <x:c r="L205" s="2" t="str">
        <x:v>牛金</x:v>
      </x:c>
      <x:c r="M205" s="2" t="str">
        <x:v>san14-candidate-0197</x:v>
      </x:c>
      <x:c r="N205" s="2" t="str">
        <x:v>牛金</x:v>
      </x:c>
      <x:c r="O205" s="2" t="str">
        <x:v>ギュウキン</x:v>
      </x:c>
    </x:row>
    <x:row r="206" ht="23" customHeight="1">
      <x:c r="A206" s="13" t="n">
        <x:v>198</x:v>
      </x:c>
      <x:c r="B206" s="2" t="str">
        <x:v>丘建</x:v>
      </x:c>
      <x:c r="C206" s="2" t="str">
        <x:v>丘建</x:v>
      </x:c>
      <x:c r="D206" s="2" t="str"/>
      <x:c r="E206" s="13" t="n">
        <x:v>239</x:v>
      </x:c>
      <x:c r="F206" s="13" t="n">
        <x:v>253</x:v>
      </x:c>
      <x:c r="G206" s="13" t="n">
        <x:v>272</x:v>
      </x:c>
      <x:c r="H206" s="2" t="str">
        <x:f>IF(OR($E$4="",NOT(ISNUMBER($E$4)),$E$4&lt;1,$E$4&gt;400),"参考年待填",IF(OR(E206="",F206="",G206=""),"年代待核",IF($E$4&lt;E206,"未出生",IF($E$4&lt;F206,"未登场",IF($E$4&gt;G206,"已过卒年",IF($E$4=G206,"卒年边界待核","年表可登场"))))))</x:f>
        <x:v>未出生</x:v>
      </x:c>
      <x:c r="I206" s="12"/>
      <x:c r="J206" s="2" t="str">
        <x:v>SAN14游戏设定</x:v>
      </x:c>
      <x:c r="K206" s="2" t="str"/>
      <x:c r="L206" s="2" t="str">
        <x:v>丘建</x:v>
      </x:c>
      <x:c r="M206" s="2" t="str">
        <x:v>san14-candidate-0198</x:v>
      </x:c>
      <x:c r="N206" s="2" t="str">
        <x:v>丘建</x:v>
      </x:c>
      <x:c r="O206" s="2" t="str">
        <x:v>キュウケン</x:v>
      </x:c>
    </x:row>
    <x:row r="207" ht="23" customHeight="1">
      <x:c r="A207" s="13" t="n">
        <x:v>199</x:v>
      </x:c>
      <x:c r="B207" s="2" t="str">
        <x:v>牛辅</x:v>
      </x:c>
      <x:c r="C207" s="2" t="str">
        <x:v>牛輔</x:v>
      </x:c>
      <x:c r="D207" s="2" t="str"/>
      <x:c r="E207" s="13" t="n">
        <x:v>159</x:v>
      </x:c>
      <x:c r="F207" s="13" t="n">
        <x:v>184</x:v>
      </x:c>
      <x:c r="G207" s="13" t="n">
        <x:v>192</x:v>
      </x:c>
      <x:c r="H207" s="2" t="str">
        <x:f>IF(OR($E$4="",NOT(ISNUMBER($E$4)),$E$4&lt;1,$E$4&gt;400),"参考年待填",IF(OR(E207="",F207="",G207=""),"年代待核",IF($E$4&lt;E207,"未出生",IF($E$4&lt;F207,"未登场",IF($E$4&gt;G207,"已过卒年",IF($E$4=G207,"卒年边界待核","年表可登场"))))))</x:f>
        <x:v>已过卒年</x:v>
      </x:c>
      <x:c r="I207" s="12"/>
      <x:c r="J207" s="2" t="str">
        <x:v>SAN14游戏设定</x:v>
      </x:c>
      <x:c r="K207" s="2" t="str"/>
      <x:c r="L207" s="2" t="str">
        <x:v>牛輔</x:v>
      </x:c>
      <x:c r="M207" s="2" t="str">
        <x:v>san14-candidate-0199</x:v>
      </x:c>
      <x:c r="N207" s="2" t="str">
        <x:v>牛輔</x:v>
      </x:c>
      <x:c r="O207" s="2" t="str">
        <x:v>ギュウホ</x:v>
      </x:c>
    </x:row>
    <x:row r="208" ht="23" customHeight="1">
      <x:c r="A208" s="13" t="n">
        <x:v>200</x:v>
      </x:c>
      <x:c r="B208" s="2" t="str">
        <x:v>丘本</x:v>
      </x:c>
      <x:c r="C208" s="2" t="str">
        <x:v>丘本</x:v>
      </x:c>
      <x:c r="D208" s="2" t="str"/>
      <x:c r="E208" s="13" t="n">
        <x:v>232</x:v>
      </x:c>
      <x:c r="F208" s="13" t="n">
        <x:v>251</x:v>
      </x:c>
      <x:c r="G208" s="13" t="n">
        <x:v>269</x:v>
      </x:c>
      <x:c r="H208" s="2" t="str">
        <x:f>IF(OR($E$4="",NOT(ISNUMBER($E$4)),$E$4&lt;1,$E$4&gt;400),"参考年待填",IF(OR(E208="",F208="",G208=""),"年代待核",IF($E$4&lt;E208,"未出生",IF($E$4&lt;F208,"未登场",IF($E$4&gt;G208,"已过卒年",IF($E$4=G208,"卒年边界待核","年表可登场"))))))</x:f>
        <x:v>未出生</x:v>
      </x:c>
      <x:c r="I208" s="12"/>
      <x:c r="J208" s="2" t="str">
        <x:v>SAN14游戏设定</x:v>
      </x:c>
      <x:c r="K208" s="2" t="str"/>
      <x:c r="L208" s="2" t="str">
        <x:v>丘本</x:v>
      </x:c>
      <x:c r="M208" s="2" t="str">
        <x:v>san14-candidate-0200</x:v>
      </x:c>
      <x:c r="N208" s="2" t="str">
        <x:v>丘本</x:v>
      </x:c>
      <x:c r="O208" s="2" t="str">
        <x:v>キュウホン</x:v>
      </x:c>
    </x:row>
    <x:row r="209" ht="23" customHeight="1">
      <x:c r="A209" s="13" t="n">
        <x:v>201</x:v>
      </x:c>
      <x:c r="B209" s="2" t="str">
        <x:v>丘力居</x:v>
      </x:c>
      <x:c r="C209" s="2" t="str">
        <x:v>丘力居</x:v>
      </x:c>
      <x:c r="D209" s="2" t="str"/>
      <x:c r="E209" s="13" t="n">
        <x:v>152</x:v>
      </x:c>
      <x:c r="F209" s="13" t="n">
        <x:v>184</x:v>
      </x:c>
      <x:c r="G209" s="13" t="n">
        <x:v>193</x:v>
      </x:c>
      <x:c r="H209" s="2" t="str">
        <x:f>IF(OR($E$4="",NOT(ISNUMBER($E$4)),$E$4&lt;1,$E$4&gt;400),"参考年待填",IF(OR(E209="",F209="",G209=""),"年代待核",IF($E$4&lt;E209,"未出生",IF($E$4&lt;F209,"未登场",IF($E$4&gt;G209,"已过卒年",IF($E$4=G209,"卒年边界待核","年表可登场"))))))</x:f>
        <x:v>已过卒年</x:v>
      </x:c>
      <x:c r="I209" s="12"/>
      <x:c r="J209" s="2" t="str">
        <x:v>SAN14游戏设定</x:v>
      </x:c>
      <x:c r="K209" s="2" t="str"/>
      <x:c r="L209" s="2" t="str">
        <x:v>丘力居</x:v>
      </x:c>
      <x:c r="M209" s="2" t="str">
        <x:v>san14-candidate-0201</x:v>
      </x:c>
      <x:c r="N209" s="2" t="str">
        <x:v>丘力居</x:v>
      </x:c>
      <x:c r="O209" s="2" t="str">
        <x:v>キュウリキキョ</x:v>
      </x:c>
    </x:row>
    <x:row r="210" ht="23" customHeight="1">
      <x:c r="A210" s="13" t="n">
        <x:v>202</x:v>
      </x:c>
      <x:c r="B210" s="2" t="str">
        <x:v>季雍</x:v>
      </x:c>
      <x:c r="C210" s="2" t="str">
        <x:v>季雍</x:v>
      </x:c>
      <x:c r="D210" s="2" t="str"/>
      <x:c r="E210" s="13" t="n">
        <x:v>170</x:v>
      </x:c>
      <x:c r="F210" s="13" t="n">
        <x:v>184</x:v>
      </x:c>
      <x:c r="G210" s="13" t="n">
        <x:v>192</x:v>
      </x:c>
      <x:c r="H210" s="2" t="str">
        <x:f>IF(OR($E$4="",NOT(ISNUMBER($E$4)),$E$4&lt;1,$E$4&gt;400),"参考年待填",IF(OR(E210="",F210="",G210=""),"年代待核",IF($E$4&lt;E210,"未出生",IF($E$4&lt;F210,"未登场",IF($E$4&gt;G210,"已过卒年",IF($E$4=G210,"卒年边界待核","年表可登场"))))))</x:f>
        <x:v>已过卒年</x:v>
      </x:c>
      <x:c r="I210" s="12"/>
      <x:c r="J210" s="2" t="str">
        <x:v>SAN14游戏设定</x:v>
      </x:c>
      <x:c r="K210" s="2" t="str"/>
      <x:c r="L210" s="2" t="str">
        <x:v>季雍</x:v>
      </x:c>
      <x:c r="M210" s="2" t="str">
        <x:v>san14-candidate-0202</x:v>
      </x:c>
      <x:c r="N210" s="2" t="str">
        <x:v>季雍</x:v>
      </x:c>
      <x:c r="O210" s="2" t="str">
        <x:v>キヨウ</x:v>
      </x:c>
    </x:row>
    <x:row r="211" ht="23" customHeight="1">
      <x:c r="A211" s="13" t="n">
        <x:v>203</x:v>
      </x:c>
      <x:c r="B211" s="2" t="str">
        <x:v>姜维</x:v>
      </x:c>
      <x:c r="C211" s="2" t="str">
        <x:v>姜維</x:v>
      </x:c>
      <x:c r="D211" s="2" t="str"/>
      <x:c r="E211" s="13" t="n">
        <x:v>202</x:v>
      </x:c>
      <x:c r="F211" s="13" t="n">
        <x:v>225</x:v>
      </x:c>
      <x:c r="G211" s="13" t="n">
        <x:v>264</x:v>
      </x:c>
      <x:c r="H211" s="2" t="str">
        <x:f>IF(OR($E$4="",NOT(ISNUMBER($E$4)),$E$4&lt;1,$E$4&gt;400),"参考年待填",IF(OR(E211="",F211="",G211=""),"年代待核",IF($E$4&lt;E211,"未出生",IF($E$4&lt;F211,"未登场",IF($E$4&gt;G211,"已过卒年",IF($E$4=G211,"卒年边界待核","年表可登场"))))))</x:f>
        <x:v>年表可登场</x:v>
      </x:c>
      <x:c r="I211" s="12" t="n">
        <x:v>55</x:v>
      </x:c>
      <x:c r="J211" s="2" t="str">
        <x:v>SAN14游戏设定</x:v>
      </x:c>
      <x:c r="K211" s="2" t="str"/>
      <x:c r="L211" s="2" t="str">
        <x:v>姜維</x:v>
      </x:c>
      <x:c r="M211" s="2" t="str">
        <x:v>san14-candidate-0203</x:v>
      </x:c>
      <x:c r="N211" s="2" t="str">
        <x:v>姜維</x:v>
      </x:c>
      <x:c r="O211" s="2" t="str">
        <x:v>キョウイ</x:v>
      </x:c>
    </x:row>
    <x:row r="212" ht="23" customHeight="1">
      <x:c r="A212" s="13" t="n">
        <x:v>204</x:v>
      </x:c>
      <x:c r="B212" s="2" t="str">
        <x:v>巩志</x:v>
      </x:c>
      <x:c r="C212" s="2" t="str">
        <x:v>鞏志</x:v>
      </x:c>
      <x:c r="D212" s="2" t="str"/>
      <x:c r="E212" s="13" t="n">
        <x:v>178</x:v>
      </x:c>
      <x:c r="F212" s="13" t="n">
        <x:v>197</x:v>
      </x:c>
      <x:c r="G212" s="13" t="n">
        <x:v>242</x:v>
      </x:c>
      <x:c r="H212" s="2" t="str">
        <x:f>IF(OR($E$4="",NOT(ISNUMBER($E$4)),$E$4&lt;1,$E$4&gt;400),"参考年待填",IF(OR(E212="",F212="",G212=""),"年代待核",IF($E$4&lt;E212,"未出生",IF($E$4&lt;F212,"未登场",IF($E$4&gt;G212,"已过卒年",IF($E$4=G212,"卒年边界待核","年表可登场"))))))</x:f>
        <x:v>年表可登场</x:v>
      </x:c>
      <x:c r="I212" s="12"/>
      <x:c r="J212" s="2" t="str">
        <x:v>SAN14游戏设定</x:v>
      </x:c>
      <x:c r="K212" s="2" t="str"/>
      <x:c r="L212" s="2" t="str">
        <x:v>鞏志</x:v>
      </x:c>
      <x:c r="M212" s="2" t="str">
        <x:v>san14-candidate-0204</x:v>
      </x:c>
      <x:c r="N212" s="2" t="str">
        <x:v>鞏志</x:v>
      </x:c>
      <x:c r="O212" s="2" t="str">
        <x:v>キョウシ</x:v>
      </x:c>
    </x:row>
    <x:row r="213" ht="23" customHeight="1">
      <x:c r="A213" s="13" t="n">
        <x:v>205</x:v>
      </x:c>
      <x:c r="B213" s="2" t="str">
        <x:v>姜叙</x:v>
      </x:c>
      <x:c r="C213" s="2" t="str">
        <x:v>姜敘</x:v>
      </x:c>
      <x:c r="D213" s="2" t="str"/>
      <x:c r="E213" s="13" t="n">
        <x:v>177</x:v>
      </x:c>
      <x:c r="F213" s="13" t="n">
        <x:v>196</x:v>
      </x:c>
      <x:c r="G213" s="13" t="n">
        <x:v>232</x:v>
      </x:c>
      <x:c r="H213" s="2" t="str">
        <x:f>IF(OR($E$4="",NOT(ISNUMBER($E$4)),$E$4&lt;1,$E$4&gt;400),"参考年待填",IF(OR(E213="",F213="",G213=""),"年代待核",IF($E$4&lt;E213,"未出生",IF($E$4&lt;F213,"未登场",IF($E$4&gt;G213,"已过卒年",IF($E$4=G213,"卒年边界待核","年表可登场"))))))</x:f>
        <x:v>年表可登场</x:v>
      </x:c>
      <x:c r="I213" s="12"/>
      <x:c r="J213" s="2" t="str">
        <x:v>SAN14游戏设定</x:v>
      </x:c>
      <x:c r="K213" s="2" t="str"/>
      <x:c r="L213" s="2" t="str">
        <x:v>姜敘</x:v>
      </x:c>
      <x:c r="M213" s="2" t="str">
        <x:v>san14-candidate-0205</x:v>
      </x:c>
      <x:c r="N213" s="2" t="str">
        <x:v>姜叙</x:v>
      </x:c>
      <x:c r="O213" s="2" t="str">
        <x:v>キョウジョ</x:v>
      </x:c>
    </x:row>
    <x:row r="214" ht="23" customHeight="1">
      <x:c r="A214" s="13" t="n">
        <x:v>206</x:v>
      </x:c>
      <x:c r="B214" s="2" t="str">
        <x:v>桥蕤</x:v>
      </x:c>
      <x:c r="C214" s="2" t="str">
        <x:v>橋蕤</x:v>
      </x:c>
      <x:c r="D214" s="2" t="str"/>
      <x:c r="E214" s="13" t="n">
        <x:v>143</x:v>
      </x:c>
      <x:c r="F214" s="13" t="n">
        <x:v>184</x:v>
      </x:c>
      <x:c r="G214" s="13" t="n">
        <x:v>195</x:v>
      </x:c>
      <x:c r="H214" s="2" t="str">
        <x:f>IF(OR($E$4="",NOT(ISNUMBER($E$4)),$E$4&lt;1,$E$4&gt;400),"参考年待填",IF(OR(E214="",F214="",G214=""),"年代待核",IF($E$4&lt;E214,"未出生",IF($E$4&lt;F214,"未登场",IF($E$4&gt;G214,"已过卒年",IF($E$4=G214,"卒年边界待核","年表可登场"))))))</x:f>
        <x:v>已过卒年</x:v>
      </x:c>
      <x:c r="I214" s="12"/>
      <x:c r="J214" s="2" t="str">
        <x:v>SAN14游戏设定</x:v>
      </x:c>
      <x:c r="K214" s="2" t="str"/>
      <x:c r="L214" s="2" t="str">
        <x:v>橋蕤</x:v>
      </x:c>
      <x:c r="M214" s="2" t="str">
        <x:v>san14-candidate-0206</x:v>
      </x:c>
      <x:c r="N214" s="2" t="str">
        <x:v>橋ズイ</x:v>
      </x:c>
      <x:c r="O214" s="2" t="str">
        <x:v>キョウズイ</x:v>
      </x:c>
    </x:row>
    <x:row r="215" ht="23" customHeight="1">
      <x:c r="A215" s="13" t="n">
        <x:v>207</x:v>
      </x:c>
      <x:c r="B215" s="2" t="str">
        <x:v>强端</x:v>
      </x:c>
      <x:c r="C215" s="2" t="str">
        <x:v>強端</x:v>
      </x:c>
      <x:c r="D215" s="2" t="str"/>
      <x:c r="E215" s="13" t="n">
        <x:v>168</x:v>
      </x:c>
      <x:c r="F215" s="13" t="n">
        <x:v>184</x:v>
      </x:c>
      <x:c r="G215" s="13" t="n">
        <x:v>237</x:v>
      </x:c>
      <x:c r="H215" s="2" t="str">
        <x:f>IF(OR($E$4="",NOT(ISNUMBER($E$4)),$E$4&lt;1,$E$4&gt;400),"参考年待填",IF(OR(E215="",F215="",G215=""),"年代待核",IF($E$4&lt;E215,"未出生",IF($E$4&lt;F215,"未登场",IF($E$4&gt;G215,"已过卒年",IF($E$4=G215,"卒年边界待核","年表可登场"))))))</x:f>
        <x:v>年表可登场</x:v>
      </x:c>
      <x:c r="I215" s="12"/>
      <x:c r="J215" s="2" t="str">
        <x:v>SAN14游戏设定</x:v>
      </x:c>
      <x:c r="K215" s="2" t="str"/>
      <x:c r="L215" s="2" t="str">
        <x:v>強端</x:v>
      </x:c>
      <x:c r="M215" s="2" t="str">
        <x:v>san14-candidate-0207</x:v>
      </x:c>
      <x:c r="N215" s="2" t="str">
        <x:v>強端</x:v>
      </x:c>
      <x:c r="O215" s="2" t="str">
        <x:v>キョウタン</x:v>
      </x:c>
    </x:row>
    <x:row r="216" ht="23" customHeight="1">
      <x:c r="A216" s="13" t="n">
        <x:v>208</x:v>
      </x:c>
      <x:c r="B216" s="2" t="str">
        <x:v>龚都</x:v>
      </x:c>
      <x:c r="C216" s="2" t="str">
        <x:v>龔都</x:v>
      </x:c>
      <x:c r="D216" s="2" t="str"/>
      <x:c r="E216" s="13" t="n">
        <x:v>164</x:v>
      </x:c>
      <x:c r="F216" s="13" t="n">
        <x:v>184</x:v>
      </x:c>
      <x:c r="G216" s="13" t="n">
        <x:v>200</x:v>
      </x:c>
      <x:c r="H216" s="2" t="str">
        <x:f>IF(OR($E$4="",NOT(ISNUMBER($E$4)),$E$4&lt;1,$E$4&gt;400),"参考年待填",IF(OR(E216="",F216="",G216=""),"年代待核",IF($E$4&lt;E216,"未出生",IF($E$4&lt;F216,"未登场",IF($E$4&gt;G216,"已过卒年",IF($E$4=G216,"卒年边界待核","年表可登场"))))))</x:f>
        <x:v>已过卒年</x:v>
      </x:c>
      <x:c r="I216" s="12"/>
      <x:c r="J216" s="2" t="str">
        <x:v>SAN14游戏设定</x:v>
      </x:c>
      <x:c r="K216" s="2" t="str"/>
      <x:c r="L216" s="2" t="str">
        <x:v>龔都</x:v>
      </x:c>
      <x:c r="M216" s="2" t="str">
        <x:v>san14-candidate-0208</x:v>
      </x:c>
      <x:c r="N216" s="2" t="str">
        <x:v>キョウ都</x:v>
      </x:c>
      <x:c r="O216" s="2" t="str">
        <x:v>キョウト</x:v>
      </x:c>
    </x:row>
    <x:row r="217" ht="23" customHeight="1">
      <x:c r="A217" s="13" t="n">
        <x:v>209</x:v>
      </x:c>
      <x:c r="B217" s="2" t="str">
        <x:v>桥瑁</x:v>
      </x:c>
      <x:c r="C217" s="2" t="str">
        <x:v>橋瑁</x:v>
      </x:c>
      <x:c r="D217" s="2" t="str"/>
      <x:c r="E217" s="13" t="n">
        <x:v>150</x:v>
      </x:c>
      <x:c r="F217" s="13" t="n">
        <x:v>184</x:v>
      </x:c>
      <x:c r="G217" s="13" t="n">
        <x:v>190</x:v>
      </x:c>
      <x:c r="H217" s="2" t="str">
        <x:f>IF(OR($E$4="",NOT(ISNUMBER($E$4)),$E$4&lt;1,$E$4&gt;400),"参考年待填",IF(OR(E217="",F217="",G217=""),"年代待核",IF($E$4&lt;E217,"未出生",IF($E$4&lt;F217,"未登场",IF($E$4&gt;G217,"已过卒年",IF($E$4=G217,"卒年边界待核","年表可登场"))))))</x:f>
        <x:v>已过卒年</x:v>
      </x:c>
      <x:c r="I217" s="12"/>
      <x:c r="J217" s="2" t="str">
        <x:v>SAN14游戏设定</x:v>
      </x:c>
      <x:c r="K217" s="2" t="str"/>
      <x:c r="L217" s="2" t="str">
        <x:v>橋瑁</x:v>
      </x:c>
      <x:c r="M217" s="2" t="str">
        <x:v>san14-candidate-0209</x:v>
      </x:c>
      <x:c r="N217" s="2" t="str">
        <x:v>橋瑁</x:v>
      </x:c>
      <x:c r="O217" s="2" t="str">
        <x:v>キョウボウ</x:v>
      </x:c>
    </x:row>
    <x:row r="218" ht="23" customHeight="1">
      <x:c r="A218" s="13" t="n">
        <x:v>210</x:v>
      </x:c>
      <x:c r="B218" s="2" t="str">
        <x:v>许仪</x:v>
      </x:c>
      <x:c r="C218" s="2" t="str">
        <x:v>許儀</x:v>
      </x:c>
      <x:c r="D218" s="2" t="str"/>
      <x:c r="E218" s="13" t="n">
        <x:v>213</x:v>
      </x:c>
      <x:c r="F218" s="13" t="n">
        <x:v>227</x:v>
      </x:c>
      <x:c r="G218" s="13" t="n">
        <x:v>263</x:v>
      </x:c>
      <x:c r="H218" s="2" t="str">
        <x:f>IF(OR($E$4="",NOT(ISNUMBER($E$4)),$E$4&lt;1,$E$4&gt;400),"参考年待填",IF(OR(E218="",F218="",G218=""),"年代待核",IF($E$4&lt;E218,"未出生",IF($E$4&lt;F218,"未登场",IF($E$4&gt;G218,"已过卒年",IF($E$4=G218,"卒年边界待核","年表可登场"))))))</x:f>
        <x:v>年表可登场</x:v>
      </x:c>
      <x:c r="I218" s="12"/>
      <x:c r="J218" s="2" t="str">
        <x:v>SAN14游戏设定</x:v>
      </x:c>
      <x:c r="K218" s="2" t="str"/>
      <x:c r="L218" s="2" t="str">
        <x:v>許儀</x:v>
      </x:c>
      <x:c r="M218" s="2" t="str">
        <x:v>san14-candidate-0210</x:v>
      </x:c>
      <x:c r="N218" s="2" t="str">
        <x:v>許儀</x:v>
      </x:c>
      <x:c r="O218" s="2" t="str">
        <x:v>キョギ</x:v>
      </x:c>
    </x:row>
    <x:row r="219" ht="23" customHeight="1">
      <x:c r="A219" s="13" t="n">
        <x:v>211</x:v>
      </x:c>
      <x:c r="B219" s="2" t="str">
        <x:v>许贡</x:v>
      </x:c>
      <x:c r="C219" s="2" t="str">
        <x:v>許貢</x:v>
      </x:c>
      <x:c r="D219" s="2" t="str"/>
      <x:c r="E219" s="13" t="n">
        <x:v>155</x:v>
      </x:c>
      <x:c r="F219" s="13" t="n">
        <x:v>184</x:v>
      </x:c>
      <x:c r="G219" s="13" t="n">
        <x:v>200</x:v>
      </x:c>
      <x:c r="H219" s="2" t="str">
        <x:f>IF(OR($E$4="",NOT(ISNUMBER($E$4)),$E$4&lt;1,$E$4&gt;400),"参考年待填",IF(OR(E219="",F219="",G219=""),"年代待核",IF($E$4&lt;E219,"未出生",IF($E$4&lt;F219,"未登场",IF($E$4&gt;G219,"已过卒年",IF($E$4=G219,"卒年边界待核","年表可登场"))))))</x:f>
        <x:v>已过卒年</x:v>
      </x:c>
      <x:c r="I219" s="12"/>
      <x:c r="J219" s="2" t="str">
        <x:v>SAN14游戏设定</x:v>
      </x:c>
      <x:c r="K219" s="2" t="str"/>
      <x:c r="L219" s="2" t="str">
        <x:v>許貢</x:v>
      </x:c>
      <x:c r="M219" s="2" t="str">
        <x:v>san14-candidate-0211</x:v>
      </x:c>
      <x:c r="N219" s="2" t="str">
        <x:v>許貢</x:v>
      </x:c>
      <x:c r="O219" s="2" t="str">
        <x:v>キョコウ</x:v>
      </x:c>
    </x:row>
    <x:row r="220" ht="23" customHeight="1">
      <x:c r="A220" s="13" t="n">
        <x:v>212</x:v>
      </x:c>
      <x:c r="B220" s="2" t="str">
        <x:v>许汜</x:v>
      </x:c>
      <x:c r="C220" s="2" t="str">
        <x:v>許汜</x:v>
      </x:c>
      <x:c r="D220" s="2" t="str"/>
      <x:c r="E220" s="13" t="n">
        <x:v>165</x:v>
      </x:c>
      <x:c r="F220" s="13" t="n">
        <x:v>189</x:v>
      </x:c>
      <x:c r="G220" s="13" t="n">
        <x:v>206</x:v>
      </x:c>
      <x:c r="H220" s="2" t="str">
        <x:f>IF(OR($E$4="",NOT(ISNUMBER($E$4)),$E$4&lt;1,$E$4&gt;400),"参考年待填",IF(OR(E220="",F220="",G220=""),"年代待核",IF($E$4&lt;E220,"未出生",IF($E$4&lt;F220,"未登场",IF($E$4&gt;G220,"已过卒年",IF($E$4=G220,"卒年边界待核","年表可登场"))))))</x:f>
        <x:v>已过卒年</x:v>
      </x:c>
      <x:c r="I220" s="12"/>
      <x:c r="J220" s="2" t="str">
        <x:v>SAN14游戏设定</x:v>
      </x:c>
      <x:c r="K220" s="2" t="str"/>
      <x:c r="L220" s="2" t="str">
        <x:v>許汜</x:v>
      </x:c>
      <x:c r="M220" s="2" t="str">
        <x:v>san14-candidate-0212</x:v>
      </x:c>
      <x:c r="N220" s="2" t="str">
        <x:v>許汜</x:v>
      </x:c>
      <x:c r="O220" s="2" t="str">
        <x:v>キョシ</x:v>
      </x:c>
    </x:row>
    <x:row r="221" ht="23" customHeight="1">
      <x:c r="A221" s="13" t="n">
        <x:v>213</x:v>
      </x:c>
      <x:c r="B221" s="2" t="str">
        <x:v>许慈</x:v>
      </x:c>
      <x:c r="C221" s="2" t="str">
        <x:v>許慈</x:v>
      </x:c>
      <x:c r="D221" s="2" t="str"/>
      <x:c r="E221" s="13" t="n">
        <x:v>156</x:v>
      </x:c>
      <x:c r="F221" s="13" t="n">
        <x:v>184</x:v>
      </x:c>
      <x:c r="G221" s="13" t="n">
        <x:v>226</x:v>
      </x:c>
      <x:c r="H221" s="2" t="str">
        <x:f>IF(OR($E$4="",NOT(ISNUMBER($E$4)),$E$4&lt;1,$E$4&gt;400),"参考年待填",IF(OR(E221="",F221="",G221=""),"年代待核",IF($E$4&lt;E221,"未出生",IF($E$4&lt;F221,"未登场",IF($E$4&gt;G221,"已过卒年",IF($E$4=G221,"卒年边界待核","年表可登场"))))))</x:f>
        <x:v>已过卒年</x:v>
      </x:c>
      <x:c r="I221" s="12"/>
      <x:c r="J221" s="2" t="str">
        <x:v>SAN14游戏设定</x:v>
      </x:c>
      <x:c r="K221" s="2" t="str"/>
      <x:c r="L221" s="2" t="str">
        <x:v>許慈</x:v>
      </x:c>
      <x:c r="M221" s="2" t="str">
        <x:v>san14-candidate-0213</x:v>
      </x:c>
      <x:c r="N221" s="2" t="str">
        <x:v>許慈</x:v>
      </x:c>
      <x:c r="O221" s="2" t="str">
        <x:v>キョジ</x:v>
      </x:c>
    </x:row>
    <x:row r="222" ht="23" customHeight="1">
      <x:c r="A222" s="13" t="n">
        <x:v>214</x:v>
      </x:c>
      <x:c r="B222" s="2" t="str">
        <x:v>许靖</x:v>
      </x:c>
      <x:c r="C222" s="2" t="str">
        <x:v>許靖</x:v>
      </x:c>
      <x:c r="D222" s="2" t="str"/>
      <x:c r="E222" s="13" t="n">
        <x:v>152</x:v>
      </x:c>
      <x:c r="F222" s="13" t="n">
        <x:v>184</x:v>
      </x:c>
      <x:c r="G222" s="13" t="n">
        <x:v>222</x:v>
      </x:c>
      <x:c r="H222" s="2" t="str">
        <x:f>IF(OR($E$4="",NOT(ISNUMBER($E$4)),$E$4&lt;1,$E$4&gt;400),"参考年待填",IF(OR(E222="",F222="",G222=""),"年代待核",IF($E$4&lt;E222,"未出生",IF($E$4&lt;F222,"未登场",IF($E$4&gt;G222,"已过卒年",IF($E$4=G222,"卒年边界待核","年表可登场"))))))</x:f>
        <x:v>已过卒年</x:v>
      </x:c>
      <x:c r="I222" s="12"/>
      <x:c r="J222" s="2" t="str">
        <x:v>SAN14游戏设定</x:v>
      </x:c>
      <x:c r="K222" s="2" t="str"/>
      <x:c r="L222" s="2" t="str">
        <x:v>許靖</x:v>
      </x:c>
      <x:c r="M222" s="2" t="str">
        <x:v>san14-candidate-0214</x:v>
      </x:c>
      <x:c r="N222" s="2" t="str">
        <x:v>許靖</x:v>
      </x:c>
      <x:c r="O222" s="2" t="str">
        <x:v>キョセイ</x:v>
      </x:c>
    </x:row>
    <x:row r="223" ht="23" customHeight="1">
      <x:c r="A223" s="13" t="n">
        <x:v>215</x:v>
      </x:c>
      <x:c r="B223" s="2" t="str">
        <x:v>许褚</x:v>
      </x:c>
      <x:c r="C223" s="2" t="str">
        <x:v>許褚</x:v>
      </x:c>
      <x:c r="D223" s="2" t="str"/>
      <x:c r="E223" s="13" t="n">
        <x:v>169</x:v>
      </x:c>
      <x:c r="F223" s="13" t="n">
        <x:v>189</x:v>
      </x:c>
      <x:c r="G223" s="13" t="n">
        <x:v>226</x:v>
      </x:c>
      <x:c r="H223" s="2" t="str">
        <x:f>IF(OR($E$4="",NOT(ISNUMBER($E$4)),$E$4&lt;1,$E$4&gt;400),"参考年待填",IF(OR(E223="",F223="",G223=""),"年代待核",IF($E$4&lt;E223,"未出生",IF($E$4&lt;F223,"未登场",IF($E$4&gt;G223,"已过卒年",IF($E$4=G223,"卒年边界待核","年表可登场"))))))</x:f>
        <x:v>已过卒年</x:v>
      </x:c>
      <x:c r="I223" s="12"/>
      <x:c r="J223" s="2" t="str">
        <x:v>SAN14游戏设定</x:v>
      </x:c>
      <x:c r="K223" s="2" t="str"/>
      <x:c r="L223" s="2" t="str">
        <x:v>許褚</x:v>
      </x:c>
      <x:c r="M223" s="2" t="str">
        <x:v>san14-candidate-0215</x:v>
      </x:c>
      <x:c r="N223" s="2" t="str">
        <x:v>許チョ</x:v>
      </x:c>
      <x:c r="O223" s="2" t="str">
        <x:v>キョチョ</x:v>
      </x:c>
    </x:row>
    <x:row r="224" ht="23" customHeight="1">
      <x:c r="A224" s="13" t="n">
        <x:v>216</x:v>
      </x:c>
      <x:c r="B224" s="2" t="str">
        <x:v>许定</x:v>
      </x:c>
      <x:c r="C224" s="2" t="str">
        <x:v>許定</x:v>
      </x:c>
      <x:c r="D224" s="2" t="str"/>
      <x:c r="E224" s="13" t="n">
        <x:v>164</x:v>
      </x:c>
      <x:c r="F224" s="13" t="n">
        <x:v>189</x:v>
      </x:c>
      <x:c r="G224" s="13" t="n">
        <x:v>223</x:v>
      </x:c>
      <x:c r="H224" s="2" t="str">
        <x:f>IF(OR($E$4="",NOT(ISNUMBER($E$4)),$E$4&lt;1,$E$4&gt;400),"参考年待填",IF(OR(E224="",F224="",G224=""),"年代待核",IF($E$4&lt;E224,"未出生",IF($E$4&lt;F224,"未登场",IF($E$4&gt;G224,"已过卒年",IF($E$4=G224,"卒年边界待核","年表可登场"))))))</x:f>
        <x:v>已过卒年</x:v>
      </x:c>
      <x:c r="I224" s="12"/>
      <x:c r="J224" s="2" t="str">
        <x:v>SAN14游戏设定</x:v>
      </x:c>
      <x:c r="K224" s="2" t="str"/>
      <x:c r="L224" s="2" t="str">
        <x:v>許定</x:v>
      </x:c>
      <x:c r="M224" s="2" t="str">
        <x:v>san14-candidate-0216</x:v>
      </x:c>
      <x:c r="N224" s="2" t="str">
        <x:v>許定</x:v>
      </x:c>
      <x:c r="O224" s="2" t="str">
        <x:v>キョテイ</x:v>
      </x:c>
    </x:row>
    <x:row r="225" ht="23" customHeight="1">
      <x:c r="A225" s="13" t="n">
        <x:v>217</x:v>
      </x:c>
      <x:c r="B225" s="2" t="str">
        <x:v>许攸</x:v>
      </x:c>
      <x:c r="C225" s="2" t="str">
        <x:v>許攸</x:v>
      </x:c>
      <x:c r="D225" s="2" t="str"/>
      <x:c r="E225" s="13" t="n">
        <x:v>155</x:v>
      </x:c>
      <x:c r="F225" s="13" t="n">
        <x:v>184</x:v>
      </x:c>
      <x:c r="G225" s="13" t="n">
        <x:v>204</x:v>
      </x:c>
      <x:c r="H225" s="2" t="str">
        <x:f>IF(OR($E$4="",NOT(ISNUMBER($E$4)),$E$4&lt;1,$E$4&gt;400),"参考年待填",IF(OR(E225="",F225="",G225=""),"年代待核",IF($E$4&lt;E225,"未出生",IF($E$4&lt;F225,"未登场",IF($E$4&gt;G225,"已过卒年",IF($E$4=G225,"卒年边界待核","年表可登场"))))))</x:f>
        <x:v>已过卒年</x:v>
      </x:c>
      <x:c r="I225" s="12"/>
      <x:c r="J225" s="2" t="str">
        <x:v>SAN14游戏设定</x:v>
      </x:c>
      <x:c r="K225" s="2" t="str"/>
      <x:c r="L225" s="2" t="str">
        <x:v>許攸</x:v>
      </x:c>
      <x:c r="M225" s="2" t="str">
        <x:v>san14-candidate-0217</x:v>
      </x:c>
      <x:c r="N225" s="2" t="str">
        <x:v>許攸</x:v>
      </x:c>
      <x:c r="O225" s="2" t="str">
        <x:v>キョユウ</x:v>
      </x:c>
    </x:row>
    <x:row r="226" ht="23" customHeight="1">
      <x:c r="A226" s="13" t="n">
        <x:v>218</x:v>
      </x:c>
      <x:c r="B226" s="2" t="str">
        <x:v>妫览</x:v>
      </x:c>
      <x:c r="C226" s="2" t="str">
        <x:v>媯覽</x:v>
      </x:c>
      <x:c r="D226" s="2" t="str"/>
      <x:c r="E226" s="13" t="n">
        <x:v>165</x:v>
      </x:c>
      <x:c r="F226" s="13" t="n">
        <x:v>192</x:v>
      </x:c>
      <x:c r="G226" s="13" t="n">
        <x:v>204</x:v>
      </x:c>
      <x:c r="H226" s="2" t="str">
        <x:f>IF(OR($E$4="",NOT(ISNUMBER($E$4)),$E$4&lt;1,$E$4&gt;400),"参考年待填",IF(OR(E226="",F226="",G226=""),"年代待核",IF($E$4&lt;E226,"未出生",IF($E$4&lt;F226,"未登场",IF($E$4&gt;G226,"已过卒年",IF($E$4=G226,"卒年边界待核","年表可登场"))))))</x:f>
        <x:v>已过卒年</x:v>
      </x:c>
      <x:c r="I226" s="12"/>
      <x:c r="J226" s="2" t="str">
        <x:v>SAN14游戏设定</x:v>
      </x:c>
      <x:c r="K226" s="2" t="str"/>
      <x:c r="L226" s="2" t="str">
        <x:v>媯覽</x:v>
      </x:c>
      <x:c r="M226" s="2" t="str">
        <x:v>san14-candidate-0218</x:v>
      </x:c>
      <x:c r="N226" s="2" t="str">
        <x:v>キ覽</x:v>
      </x:c>
      <x:c r="O226" s="2" t="str">
        <x:v>キラン</x:v>
      </x:c>
    </x:row>
    <x:row r="227" ht="23" customHeight="1">
      <x:c r="A227" s="13" t="n">
        <x:v>219</x:v>
      </x:c>
      <x:c r="B227" s="2" t="str">
        <x:v>纪灵</x:v>
      </x:c>
      <x:c r="C227" s="2" t="str">
        <x:v>紀靈</x:v>
      </x:c>
      <x:c r="D227" s="2" t="str"/>
      <x:c r="E227" s="13" t="n">
        <x:v>155</x:v>
      </x:c>
      <x:c r="F227" s="13" t="n">
        <x:v>184</x:v>
      </x:c>
      <x:c r="G227" s="13" t="n">
        <x:v>199</x:v>
      </x:c>
      <x:c r="H227" s="2" t="str">
        <x:f>IF(OR($E$4="",NOT(ISNUMBER($E$4)),$E$4&lt;1,$E$4&gt;400),"参考年待填",IF(OR(E227="",F227="",G227=""),"年代待核",IF($E$4&lt;E227,"未出生",IF($E$4&lt;F227,"未登场",IF($E$4&gt;G227,"已过卒年",IF($E$4=G227,"卒年边界待核","年表可登场"))))))</x:f>
        <x:v>已过卒年</x:v>
      </x:c>
      <x:c r="I227" s="12"/>
      <x:c r="J227" s="2" t="str">
        <x:v>SAN14游戏设定</x:v>
      </x:c>
      <x:c r="K227" s="2" t="str"/>
      <x:c r="L227" s="2" t="str">
        <x:v>紀靈</x:v>
      </x:c>
      <x:c r="M227" s="2" t="str">
        <x:v>san14-candidate-0219</x:v>
      </x:c>
      <x:c r="N227" s="2" t="str">
        <x:v>紀霊</x:v>
      </x:c>
      <x:c r="O227" s="2" t="str">
        <x:v>キレイ</x:v>
      </x:c>
    </x:row>
    <x:row r="228" ht="23" customHeight="1">
      <x:c r="A228" s="13" t="n">
        <x:v>220</x:v>
      </x:c>
      <x:c r="B228" s="2" t="str">
        <x:v>金祎</x:v>
      </x:c>
      <x:c r="C228" s="2" t="str">
        <x:v>金禕</x:v>
      </x:c>
      <x:c r="D228" s="2" t="str"/>
      <x:c r="E228" s="13" t="n">
        <x:v>177</x:v>
      </x:c>
      <x:c r="F228" s="13" t="n">
        <x:v>197</x:v>
      </x:c>
      <x:c r="G228" s="13" t="n">
        <x:v>218</x:v>
      </x:c>
      <x:c r="H228" s="2" t="str">
        <x:f>IF(OR($E$4="",NOT(ISNUMBER($E$4)),$E$4&lt;1,$E$4&gt;400),"参考年待填",IF(OR(E228="",F228="",G228=""),"年代待核",IF($E$4&lt;E228,"未出生",IF($E$4&lt;F228,"未登场",IF($E$4&gt;G228,"已过卒年",IF($E$4=G228,"卒年边界待核","年表可登场"))))))</x:f>
        <x:v>已过卒年</x:v>
      </x:c>
      <x:c r="I228" s="12"/>
      <x:c r="J228" s="2" t="str">
        <x:v>SAN14游戏设定</x:v>
      </x:c>
      <x:c r="K228" s="2" t="str"/>
      <x:c r="L228" s="2" t="str">
        <x:v>金禕</x:v>
      </x:c>
      <x:c r="M228" s="2" t="str">
        <x:v>san14-candidate-0220</x:v>
      </x:c>
      <x:c r="N228" s="2" t="str">
        <x:v>金イ</x:v>
      </x:c>
      <x:c r="O228" s="2" t="str">
        <x:v>キンイ</x:v>
      </x:c>
    </x:row>
    <x:row r="229" ht="23" customHeight="1">
      <x:c r="A229" s="13" t="n">
        <x:v>221</x:v>
      </x:c>
      <x:c r="B229" s="2" t="str">
        <x:v>金环三结</x:v>
      </x:c>
      <x:c r="C229" s="2" t="str">
        <x:v>金環三結</x:v>
      </x:c>
      <x:c r="D229" s="2" t="str"/>
      <x:c r="E229" s="13" t="n">
        <x:v>192</x:v>
      </x:c>
      <x:c r="F229" s="13" t="n">
        <x:v>217</x:v>
      </x:c>
      <x:c r="G229" s="13" t="n">
        <x:v>225</x:v>
      </x:c>
      <x:c r="H229" s="2" t="str">
        <x:f>IF(OR($E$4="",NOT(ISNUMBER($E$4)),$E$4&lt;1,$E$4&gt;400),"参考年待填",IF(OR(E229="",F229="",G229=""),"年代待核",IF($E$4&lt;E229,"未出生",IF($E$4&lt;F229,"未登场",IF($E$4&gt;G229,"已过卒年",IF($E$4=G229,"卒年边界待核","年表可登场"))))))</x:f>
        <x:v>已过卒年</x:v>
      </x:c>
      <x:c r="I229" s="12"/>
      <x:c r="J229" s="2" t="str">
        <x:v>SAN14游戏设定</x:v>
      </x:c>
      <x:c r="K229" s="2" t="str"/>
      <x:c r="L229" s="2" t="str">
        <x:v>金環三結</x:v>
      </x:c>
      <x:c r="M229" s="2" t="str">
        <x:v>san14-candidate-0221</x:v>
      </x:c>
      <x:c r="N229" s="2" t="str">
        <x:v>金環三結</x:v>
      </x:c>
      <x:c r="O229" s="2" t="str">
        <x:v>キンカンサンケツ</x:v>
      </x:c>
    </x:row>
    <x:row r="230" ht="23" customHeight="1">
      <x:c r="A230" s="13" t="n">
        <x:v>222</x:v>
      </x:c>
      <x:c r="B230" s="2" t="str">
        <x:v>金尚</x:v>
      </x:c>
      <x:c r="C230" s="2" t="str">
        <x:v>金尚</x:v>
      </x:c>
      <x:c r="D230" s="2" t="str"/>
      <x:c r="E230" s="13" t="n">
        <x:v>152</x:v>
      </x:c>
      <x:c r="F230" s="13" t="n">
        <x:v>184</x:v>
      </x:c>
      <x:c r="G230" s="13" t="n">
        <x:v>197</x:v>
      </x:c>
      <x:c r="H230" s="2" t="str">
        <x:f>IF(OR($E$4="",NOT(ISNUMBER($E$4)),$E$4&lt;1,$E$4&gt;400),"参考年待填",IF(OR(E230="",F230="",G230=""),"年代待核",IF($E$4&lt;E230,"未出生",IF($E$4&lt;F230,"未登场",IF($E$4&gt;G230,"已过卒年",IF($E$4=G230,"卒年边界待核","年表可登场"))))))</x:f>
        <x:v>已过卒年</x:v>
      </x:c>
      <x:c r="I230" s="12"/>
      <x:c r="J230" s="2" t="str">
        <x:v>SAN14游戏设定</x:v>
      </x:c>
      <x:c r="K230" s="2" t="str"/>
      <x:c r="L230" s="2" t="str">
        <x:v>金尚</x:v>
      </x:c>
      <x:c r="M230" s="2" t="str">
        <x:v>san14-candidate-0222</x:v>
      </x:c>
      <x:c r="N230" s="2" t="str">
        <x:v>金尚</x:v>
      </x:c>
      <x:c r="O230" s="2" t="str">
        <x:v>キンショウ</x:v>
      </x:c>
    </x:row>
    <x:row r="231" ht="23" customHeight="1">
      <x:c r="A231" s="13" t="n">
        <x:v>223</x:v>
      </x:c>
      <x:c r="B231" s="2" t="str">
        <x:v>金旋</x:v>
      </x:c>
      <x:c r="C231" s="2" t="str">
        <x:v>金旋</x:v>
      </x:c>
      <x:c r="D231" s="2" t="str"/>
      <x:c r="E231" s="13" t="n">
        <x:v>155</x:v>
      </x:c>
      <x:c r="F231" s="13" t="n">
        <x:v>184</x:v>
      </x:c>
      <x:c r="G231" s="13" t="n">
        <x:v>208</x:v>
      </x:c>
      <x:c r="H231" s="2" t="str">
        <x:f>IF(OR($E$4="",NOT(ISNUMBER($E$4)),$E$4&lt;1,$E$4&gt;400),"参考年待填",IF(OR(E231="",F231="",G231=""),"年代待核",IF($E$4&lt;E231,"未出生",IF($E$4&lt;F231,"未登场",IF($E$4&gt;G231,"已过卒年",IF($E$4=G231,"卒年边界待核","年表可登场"))))))</x:f>
        <x:v>已过卒年</x:v>
      </x:c>
      <x:c r="I231" s="12"/>
      <x:c r="J231" s="2" t="str">
        <x:v>SAN14游戏设定</x:v>
      </x:c>
      <x:c r="K231" s="2" t="str"/>
      <x:c r="L231" s="2" t="str">
        <x:v>金旋</x:v>
      </x:c>
      <x:c r="M231" s="2" t="str">
        <x:v>san14-candidate-0223</x:v>
      </x:c>
      <x:c r="N231" s="2" t="str">
        <x:v>金旋</x:v>
      </x:c>
      <x:c r="O231" s="2" t="str">
        <x:v>キンセン</x:v>
      </x:c>
    </x:row>
    <x:row r="232" ht="23" customHeight="1">
      <x:c r="A232" s="13" t="n">
        <x:v>224</x:v>
      </x:c>
      <x:c r="B232" s="2" t="str">
        <x:v>虞汜</x:v>
      </x:c>
      <x:c r="C232" s="2" t="str">
        <x:v>虞汜</x:v>
      </x:c>
      <x:c r="D232" s="2" t="str"/>
      <x:c r="E232" s="13" t="n">
        <x:v>217</x:v>
      </x:c>
      <x:c r="F232" s="13" t="n">
        <x:v>231</x:v>
      </x:c>
      <x:c r="G232" s="13" t="n">
        <x:v>273</x:v>
      </x:c>
      <x:c r="H232" s="2" t="str">
        <x:f>IF(OR($E$4="",NOT(ISNUMBER($E$4)),$E$4&lt;1,$E$4&gt;400),"参考年待填",IF(OR(E232="",F232="",G232=""),"年代待核",IF($E$4&lt;E232,"未出生",IF($E$4&lt;F232,"未登场",IF($E$4&gt;G232,"已过卒年",IF($E$4=G232,"卒年边界待核","年表可登场"))))))</x:f>
        <x:v>未登场</x:v>
      </x:c>
      <x:c r="I232" s="12"/>
      <x:c r="J232" s="2" t="str">
        <x:v>SAN14游戏设定</x:v>
      </x:c>
      <x:c r="K232" s="2" t="str"/>
      <x:c r="L232" s="2" t="str">
        <x:v>虞汜</x:v>
      </x:c>
      <x:c r="M232" s="2" t="str">
        <x:v>san14-candidate-0224</x:v>
      </x:c>
      <x:c r="N232" s="2" t="str">
        <x:v>虞汜</x:v>
      </x:c>
      <x:c r="O232" s="2" t="str">
        <x:v>グシ</x:v>
      </x:c>
    </x:row>
    <x:row r="233" ht="23" customHeight="1">
      <x:c r="A233" s="13" t="n">
        <x:v>225</x:v>
      </x:c>
      <x:c r="B233" s="2" t="str">
        <x:v>虞翻</x:v>
      </x:c>
      <x:c r="C233" s="2" t="str">
        <x:v>虞翻</x:v>
      </x:c>
      <x:c r="D233" s="2" t="str"/>
      <x:c r="E233" s="13" t="n">
        <x:v>164</x:v>
      </x:c>
      <x:c r="F233" s="13" t="n">
        <x:v>184</x:v>
      </x:c>
      <x:c r="G233" s="13" t="n">
        <x:v>233</x:v>
      </x:c>
      <x:c r="H233" s="2" t="str">
        <x:f>IF(OR($E$4="",NOT(ISNUMBER($E$4)),$E$4&lt;1,$E$4&gt;400),"参考年待填",IF(OR(E233="",F233="",G233=""),"年代待核",IF($E$4&lt;E233,"未出生",IF($E$4&lt;F233,"未登场",IF($E$4&gt;G233,"已过卒年",IF($E$4=G233,"卒年边界待核","年表可登场"))))))</x:f>
        <x:v>年表可登场</x:v>
      </x:c>
      <x:c r="I233" s="12"/>
      <x:c r="J233" s="2" t="str">
        <x:v>SAN14游戏设定</x:v>
      </x:c>
      <x:c r="K233" s="2" t="str"/>
      <x:c r="L233" s="2" t="str">
        <x:v>虞翻</x:v>
      </x:c>
      <x:c r="M233" s="2" t="str">
        <x:v>san14-candidate-0225</x:v>
      </x:c>
      <x:c r="N233" s="2" t="str">
        <x:v>虞翻</x:v>
      </x:c>
      <x:c r="O233" s="2" t="str">
        <x:v>グホン</x:v>
      </x:c>
    </x:row>
    <x:row r="234" ht="23" customHeight="1">
      <x:c r="A234" s="13" t="n">
        <x:v>226</x:v>
      </x:c>
      <x:c r="B234" s="2" t="str">
        <x:v>惠衢</x:v>
      </x:c>
      <x:c r="C234" s="2" t="str">
        <x:v>惠衢</x:v>
      </x:c>
      <x:c r="D234" s="2" t="str"/>
      <x:c r="E234" s="13" t="n">
        <x:v>167</x:v>
      </x:c>
      <x:c r="F234" s="13" t="n">
        <x:v>191</x:v>
      </x:c>
      <x:c r="G234" s="13" t="n">
        <x:v>199</x:v>
      </x:c>
      <x:c r="H234" s="2" t="str">
        <x:f>IF(OR($E$4="",NOT(ISNUMBER($E$4)),$E$4&lt;1,$E$4&gt;400),"参考年待填",IF(OR(E234="",F234="",G234=""),"年代待核",IF($E$4&lt;E234,"未出生",IF($E$4&lt;F234,"未登场",IF($E$4&gt;G234,"已过卒年",IF($E$4=G234,"卒年边界待核","年表可登场"))))))</x:f>
        <x:v>已过卒年</x:v>
      </x:c>
      <x:c r="I234" s="12"/>
      <x:c r="J234" s="2" t="str">
        <x:v>SAN14游戏设定</x:v>
      </x:c>
      <x:c r="K234" s="2" t="str"/>
      <x:c r="L234" s="2" t="str">
        <x:v>惠衢</x:v>
      </x:c>
      <x:c r="M234" s="2" t="str">
        <x:v>san14-candidate-0226</x:v>
      </x:c>
      <x:c r="N234" s="2" t="str">
        <x:v>恵衢</x:v>
      </x:c>
      <x:c r="O234" s="2" t="str">
        <x:v>ケイク</x:v>
      </x:c>
    </x:row>
    <x:row r="235" ht="23" customHeight="1">
      <x:c r="A235" s="13" t="n">
        <x:v>227</x:v>
      </x:c>
      <x:c r="B235" s="2" t="str">
        <x:v>嵇康</x:v>
      </x:c>
      <x:c r="C235" s="2" t="str">
        <x:v>嵇康</x:v>
      </x:c>
      <x:c r="D235" s="2" t="str"/>
      <x:c r="E235" s="13" t="n">
        <x:v>224</x:v>
      </x:c>
      <x:c r="F235" s="13" t="n">
        <x:v>240</x:v>
      </x:c>
      <x:c r="G235" s="13" t="n">
        <x:v>263</x:v>
      </x:c>
      <x:c r="H235" s="2" t="str">
        <x:f>IF(OR($E$4="",NOT(ISNUMBER($E$4)),$E$4&lt;1,$E$4&gt;400),"参考年待填",IF(OR(E235="",F235="",G235=""),"年代待核",IF($E$4&lt;E235,"未出生",IF($E$4&lt;F235,"未登场",IF($E$4&gt;G235,"已过卒年",IF($E$4=G235,"卒年边界待核","年表可登场"))))))</x:f>
        <x:v>未登场</x:v>
      </x:c>
      <x:c r="I235" s="12"/>
      <x:c r="J235" s="2" t="str">
        <x:v>SAN14游戏设定</x:v>
      </x:c>
      <x:c r="K235" s="2" t="str"/>
      <x:c r="L235" s="2" t="str">
        <x:v>嵇康</x:v>
      </x:c>
      <x:c r="M235" s="2" t="str">
        <x:v>san14-candidate-0227</x:v>
      </x:c>
      <x:c r="N235" s="2" t="str">
        <x:v>ケイ康</x:v>
      </x:c>
      <x:c r="O235" s="2" t="str">
        <x:v>ケイコウ</x:v>
      </x:c>
    </x:row>
    <x:row r="236" ht="23" customHeight="1">
      <x:c r="A236" s="13" t="n">
        <x:v>228</x:v>
      </x:c>
      <x:c r="B236" s="2" t="str">
        <x:v>邢道荣</x:v>
      </x:c>
      <x:c r="C236" s="2" t="str">
        <x:v>邢道榮</x:v>
      </x:c>
      <x:c r="D236" s="2" t="str"/>
      <x:c r="E236" s="13" t="n">
        <x:v>174</x:v>
      </x:c>
      <x:c r="F236" s="13" t="n">
        <x:v>193</x:v>
      </x:c>
      <x:c r="G236" s="13" t="n">
        <x:v>208</x:v>
      </x:c>
      <x:c r="H236" s="2" t="str">
        <x:f>IF(OR($E$4="",NOT(ISNUMBER($E$4)),$E$4&lt;1,$E$4&gt;400),"参考年待填",IF(OR(E236="",F236="",G236=""),"年代待核",IF($E$4&lt;E236,"未出生",IF($E$4&lt;F236,"未登场",IF($E$4&gt;G236,"已过卒年",IF($E$4=G236,"卒年边界待核","年表可登场"))))))</x:f>
        <x:v>已过卒年</x:v>
      </x:c>
      <x:c r="I236" s="12"/>
      <x:c r="J236" s="2" t="str">
        <x:v>SAN14游戏设定</x:v>
      </x:c>
      <x:c r="K236" s="2" t="str"/>
      <x:c r="L236" s="2" t="str">
        <x:v>邢道榮</x:v>
      </x:c>
      <x:c r="M236" s="2" t="str">
        <x:v>san14-candidate-0228</x:v>
      </x:c>
      <x:c r="N236" s="2" t="str">
        <x:v>ケイ道栄</x:v>
      </x:c>
      <x:c r="O236" s="2" t="str">
        <x:v>ケイドウエイ</x:v>
      </x:c>
    </x:row>
    <x:row r="237" ht="23" customHeight="1">
      <x:c r="A237" s="13" t="n">
        <x:v>229</x:v>
      </x:c>
      <x:c r="B237" s="2" t="str">
        <x:v>奚泥</x:v>
      </x:c>
      <x:c r="C237" s="2" t="str">
        <x:v>奚泥</x:v>
      </x:c>
      <x:c r="D237" s="2" t="str"/>
      <x:c r="E237" s="13" t="n">
        <x:v>191</x:v>
      </x:c>
      <x:c r="F237" s="13" t="n">
        <x:v>217</x:v>
      </x:c>
      <x:c r="G237" s="13" t="n">
        <x:v>225</x:v>
      </x:c>
      <x:c r="H237" s="2" t="str">
        <x:f>IF(OR($E$4="",NOT(ISNUMBER($E$4)),$E$4&lt;1,$E$4&gt;400),"参考年待填",IF(OR(E237="",F237="",G237=""),"年代待核",IF($E$4&lt;E237,"未出生",IF($E$4&lt;F237,"未登场",IF($E$4&gt;G237,"已过卒年",IF($E$4=G237,"卒年边界待核","年表可登场"))))))</x:f>
        <x:v>已过卒年</x:v>
      </x:c>
      <x:c r="I237" s="12"/>
      <x:c r="J237" s="2" t="str">
        <x:v>SAN14游戏设定</x:v>
      </x:c>
      <x:c r="K237" s="2" t="str"/>
      <x:c r="L237" s="2" t="str">
        <x:v>奚泥</x:v>
      </x:c>
      <x:c r="M237" s="2" t="str">
        <x:v>san14-candidate-0229</x:v>
      </x:c>
      <x:c r="N237" s="2" t="str">
        <x:v>奚泥</x:v>
      </x:c>
      <x:c r="O237" s="2" t="str">
        <x:v>ケイデイ</x:v>
      </x:c>
    </x:row>
    <x:row r="238" ht="23" customHeight="1">
      <x:c r="A238" s="13" t="n">
        <x:v>230</x:v>
      </x:c>
      <x:c r="B238" s="2" t="str">
        <x:v>郤正</x:v>
      </x:c>
      <x:c r="C238" s="2" t="str">
        <x:v>郤正</x:v>
      </x:c>
      <x:c r="D238" s="2" t="str"/>
      <x:c r="E238" s="13" t="n">
        <x:v>208</x:v>
      </x:c>
      <x:c r="F238" s="13" t="n">
        <x:v>227</x:v>
      </x:c>
      <x:c r="G238" s="13" t="n">
        <x:v>278</x:v>
      </x:c>
      <x:c r="H238" s="2" t="str">
        <x:f>IF(OR($E$4="",NOT(ISNUMBER($E$4)),$E$4&lt;1,$E$4&gt;400),"参考年待填",IF(OR(E238="",F238="",G238=""),"年代待核",IF($E$4&lt;E238,"未出生",IF($E$4&lt;F238,"未登场",IF($E$4&gt;G238,"已过卒年",IF($E$4=G238,"卒年边界待核","年表可登场"))))))</x:f>
        <x:v>年表可登场</x:v>
      </x:c>
      <x:c r="I238" s="12"/>
      <x:c r="J238" s="2" t="str">
        <x:v>SAN14游戏设定</x:v>
      </x:c>
      <x:c r="K238" s="2" t="str"/>
      <x:c r="L238" s="2" t="str">
        <x:v>郤正</x:v>
      </x:c>
      <x:c r="M238" s="2" t="str">
        <x:v>san14-candidate-0230</x:v>
      </x:c>
      <x:c r="N238" s="2" t="str">
        <x:v>郤正</x:v>
      </x:c>
      <x:c r="O238" s="2" t="str">
        <x:v>ゲキセイ</x:v>
      </x:c>
    </x:row>
    <x:row r="239" ht="23" customHeight="1">
      <x:c r="A239" s="13" t="n">
        <x:v>231</x:v>
      </x:c>
      <x:c r="B239" s="2" t="str">
        <x:v>严颜</x:v>
      </x:c>
      <x:c r="C239" s="2" t="str">
        <x:v>嚴顏</x:v>
      </x:c>
      <x:c r="D239" s="2" t="str"/>
      <x:c r="E239" s="13" t="n">
        <x:v>151</x:v>
      </x:c>
      <x:c r="F239" s="13" t="n">
        <x:v>184</x:v>
      </x:c>
      <x:c r="G239" s="13" t="n">
        <x:v>222</x:v>
      </x:c>
      <x:c r="H239" s="2" t="str">
        <x:f>IF(OR($E$4="",NOT(ISNUMBER($E$4)),$E$4&lt;1,$E$4&gt;400),"参考年待填",IF(OR(E239="",F239="",G239=""),"年代待核",IF($E$4&lt;E239,"未出生",IF($E$4&lt;F239,"未登场",IF($E$4&gt;G239,"已过卒年",IF($E$4=G239,"卒年边界待核","年表可登场"))))))</x:f>
        <x:v>已过卒年</x:v>
      </x:c>
      <x:c r="I239" s="12"/>
      <x:c r="J239" s="2" t="str">
        <x:v>SAN14游戏设定</x:v>
      </x:c>
      <x:c r="K239" s="2" t="str"/>
      <x:c r="L239" s="2" t="str">
        <x:v>嚴顏</x:v>
      </x:c>
      <x:c r="M239" s="2" t="str">
        <x:v>san14-candidate-0231</x:v>
      </x:c>
      <x:c r="N239" s="2" t="str">
        <x:v>厳顔</x:v>
      </x:c>
      <x:c r="O239" s="2" t="str">
        <x:v>ゲンガン</x:v>
      </x:c>
    </x:row>
    <x:row r="240" ht="23" customHeight="1">
      <x:c r="A240" s="13" t="n">
        <x:v>232</x:v>
      </x:c>
      <x:c r="B240" s="2" t="str">
        <x:v>牵弘</x:v>
      </x:c>
      <x:c r="C240" s="2" t="str">
        <x:v>牽弘</x:v>
      </x:c>
      <x:c r="D240" s="2" t="str"/>
      <x:c r="E240" s="13" t="n">
        <x:v>224</x:v>
      </x:c>
      <x:c r="F240" s="13" t="n">
        <x:v>243</x:v>
      </x:c>
      <x:c r="G240" s="13" t="n">
        <x:v>272</x:v>
      </x:c>
      <x:c r="H240" s="2" t="str">
        <x:f>IF(OR($E$4="",NOT(ISNUMBER($E$4)),$E$4&lt;1,$E$4&gt;400),"参考年待填",IF(OR(E240="",F240="",G240=""),"年代待核",IF($E$4&lt;E240,"未出生",IF($E$4&lt;F240,"未登场",IF($E$4&gt;G240,"已过卒年",IF($E$4=G240,"卒年边界待核","年表可登场"))))))</x:f>
        <x:v>未登场</x:v>
      </x:c>
      <x:c r="I240" s="12"/>
      <x:c r="J240" s="2" t="str">
        <x:v>SAN14游戏设定</x:v>
      </x:c>
      <x:c r="K240" s="2" t="str"/>
      <x:c r="L240" s="2" t="str">
        <x:v>牽弘</x:v>
      </x:c>
      <x:c r="M240" s="2" t="str">
        <x:v>san14-candidate-0232</x:v>
      </x:c>
      <x:c r="N240" s="2" t="str">
        <x:v>牽弘</x:v>
      </x:c>
      <x:c r="O240" s="2" t="str">
        <x:v>ケンコウ</x:v>
      </x:c>
    </x:row>
    <x:row r="241" ht="23" customHeight="1">
      <x:c r="A241" s="13" t="n">
        <x:v>233</x:v>
      </x:c>
      <x:c r="B241" s="2" t="str">
        <x:v>严纲</x:v>
      </x:c>
      <x:c r="C241" s="2" t="str">
        <x:v>嚴綱</x:v>
      </x:c>
      <x:c r="D241" s="2" t="str"/>
      <x:c r="E241" s="13" t="n">
        <x:v>163</x:v>
      </x:c>
      <x:c r="F241" s="13" t="n">
        <x:v>184</x:v>
      </x:c>
      <x:c r="G241" s="13" t="n">
        <x:v>192</x:v>
      </x:c>
      <x:c r="H241" s="2" t="str">
        <x:f>IF(OR($E$4="",NOT(ISNUMBER($E$4)),$E$4&lt;1,$E$4&gt;400),"参考年待填",IF(OR(E241="",F241="",G241=""),"年代待核",IF($E$4&lt;E241,"未出生",IF($E$4&lt;F241,"未登场",IF($E$4&gt;G241,"已过卒年",IF($E$4=G241,"卒年边界待核","年表可登场"))))))</x:f>
        <x:v>已过卒年</x:v>
      </x:c>
      <x:c r="I241" s="12"/>
      <x:c r="J241" s="2" t="str">
        <x:v>SAN14游戏设定</x:v>
      </x:c>
      <x:c r="K241" s="2" t="str"/>
      <x:c r="L241" s="2" t="str">
        <x:v>嚴綱</x:v>
      </x:c>
      <x:c r="M241" s="2" t="str">
        <x:v>san14-candidate-0233</x:v>
      </x:c>
      <x:c r="N241" s="2" t="str">
        <x:v>厳綱</x:v>
      </x:c>
      <x:c r="O241" s="2" t="str">
        <x:v>ゲンコウ</x:v>
      </x:c>
    </x:row>
    <x:row r="242" ht="23" customHeight="1">
      <x:c r="A242" s="13" t="n">
        <x:v>234</x:v>
      </x:c>
      <x:c r="B242" s="2" t="str">
        <x:v>严氏</x:v>
      </x:c>
      <x:c r="C242" s="2" t="str">
        <x:v>嚴氏</x:v>
      </x:c>
      <x:c r="D242" s="2" t="str"/>
      <x:c r="E242" s="13" t="n">
        <x:v>164</x:v>
      </x:c>
      <x:c r="F242" s="13" t="n">
        <x:v>184</x:v>
      </x:c>
      <x:c r="G242" s="13" t="n">
        <x:v>198</x:v>
      </x:c>
      <x:c r="H242" s="2" t="str">
        <x:f>IF(OR($E$4="",NOT(ISNUMBER($E$4)),$E$4&lt;1,$E$4&gt;400),"参考年待填",IF(OR(E242="",F242="",G242=""),"年代待核",IF($E$4&lt;E242,"未出生",IF($E$4&lt;F242,"未登场",IF($E$4&gt;G242,"已过卒年",IF($E$4=G242,"卒年边界待核","年表可登场"))))))</x:f>
        <x:v>已过卒年</x:v>
      </x:c>
      <x:c r="I242" s="12"/>
      <x:c r="J242" s="2" t="str">
        <x:v>SAN14游戏设定</x:v>
      </x:c>
      <x:c r="K242" s="2" t="str"/>
      <x:c r="L242" s="2" t="str">
        <x:v>嚴氏</x:v>
      </x:c>
      <x:c r="M242" s="2" t="str">
        <x:v>san14-candidate-0234</x:v>
      </x:c>
      <x:c r="N242" s="2" t="str">
        <x:v>厳氏</x:v>
      </x:c>
      <x:c r="O242" s="2" t="str">
        <x:v>ゲンシ</x:v>
      </x:c>
    </x:row>
    <x:row r="243" ht="23" customHeight="1">
      <x:c r="A243" s="13" t="n">
        <x:v>235</x:v>
      </x:c>
      <x:c r="B243" s="2" t="str">
        <x:v>严畯</x:v>
      </x:c>
      <x:c r="C243" s="2" t="str">
        <x:v>嚴畯</x:v>
      </x:c>
      <x:c r="D243" s="2" t="str"/>
      <x:c r="E243" s="13" t="n">
        <x:v>169</x:v>
      </x:c>
      <x:c r="F243" s="13" t="n">
        <x:v>188</x:v>
      </x:c>
      <x:c r="G243" s="13" t="n">
        <x:v>246</x:v>
      </x:c>
      <x:c r="H243" s="2" t="str">
        <x:f>IF(OR($E$4="",NOT(ISNUMBER($E$4)),$E$4&lt;1,$E$4&gt;400),"参考年待填",IF(OR(E243="",F243="",G243=""),"年代待核",IF($E$4&lt;E243,"未出生",IF($E$4&lt;F243,"未登场",IF($E$4&gt;G243,"已过卒年",IF($E$4=G243,"卒年边界待核","年表可登场"))))))</x:f>
        <x:v>年表可登场</x:v>
      </x:c>
      <x:c r="I243" s="12"/>
      <x:c r="J243" s="2" t="str">
        <x:v>SAN14游戏设定</x:v>
      </x:c>
      <x:c r="K243" s="2" t="str"/>
      <x:c r="L243" s="2" t="str">
        <x:v>嚴畯</x:v>
      </x:c>
      <x:c r="M243" s="2" t="str">
        <x:v>san14-candidate-0235</x:v>
      </x:c>
      <x:c r="N243" s="2" t="str">
        <x:v>厳畯</x:v>
      </x:c>
      <x:c r="O243" s="2" t="str">
        <x:v>ゲンシュン</x:v>
      </x:c>
    </x:row>
    <x:row r="244" ht="23" customHeight="1">
      <x:c r="A244" s="13" t="n">
        <x:v>236</x:v>
      </x:c>
      <x:c r="B244" s="2" t="str">
        <x:v>牵招</x:v>
      </x:c>
      <x:c r="C244" s="2" t="str">
        <x:v>牽招</x:v>
      </x:c>
      <x:c r="D244" s="2" t="str"/>
      <x:c r="E244" s="13" t="n">
        <x:v>168</x:v>
      </x:c>
      <x:c r="F244" s="13" t="n">
        <x:v>189</x:v>
      </x:c>
      <x:c r="G244" s="13" t="n">
        <x:v>244</x:v>
      </x:c>
      <x:c r="H244" s="2" t="str">
        <x:f>IF(OR($E$4="",NOT(ISNUMBER($E$4)),$E$4&lt;1,$E$4&gt;400),"参考年待填",IF(OR(E244="",F244="",G244=""),"年代待核",IF($E$4&lt;E244,"未出生",IF($E$4&lt;F244,"未登场",IF($E$4&gt;G244,"已过卒年",IF($E$4=G244,"卒年边界待核","年表可登场"))))))</x:f>
        <x:v>年表可登场</x:v>
      </x:c>
      <x:c r="I244" s="12"/>
      <x:c r="J244" s="2" t="str">
        <x:v>SAN14游戏设定</x:v>
      </x:c>
      <x:c r="K244" s="2" t="str"/>
      <x:c r="L244" s="2" t="str">
        <x:v>牽招</x:v>
      </x:c>
      <x:c r="M244" s="2" t="str">
        <x:v>san14-candidate-0236</x:v>
      </x:c>
      <x:c r="N244" s="2" t="str">
        <x:v>牽招</x:v>
      </x:c>
      <x:c r="O244" s="2" t="str">
        <x:v>ケンショウ</x:v>
      </x:c>
    </x:row>
    <x:row r="245" ht="23" customHeight="1">
      <x:c r="A245" s="13" t="n">
        <x:v>237</x:v>
      </x:c>
      <x:c r="B245" s="2" t="str">
        <x:v>严政</x:v>
      </x:c>
      <x:c r="C245" s="2" t="str">
        <x:v>嚴政</x:v>
      </x:c>
      <x:c r="D245" s="2" t="str"/>
      <x:c r="E245" s="13" t="n">
        <x:v>151</x:v>
      </x:c>
      <x:c r="F245" s="13" t="n">
        <x:v>184</x:v>
      </x:c>
      <x:c r="G245" s="13" t="n">
        <x:v>189</x:v>
      </x:c>
      <x:c r="H245" s="2" t="str">
        <x:f>IF(OR($E$4="",NOT(ISNUMBER($E$4)),$E$4&lt;1,$E$4&gt;400),"参考年待填",IF(OR(E245="",F245="",G245=""),"年代待核",IF($E$4&lt;E245,"未出生",IF($E$4&lt;F245,"未登场",IF($E$4&gt;G245,"已过卒年",IF($E$4=G245,"卒年边界待核","年表可登场"))))))</x:f>
        <x:v>已过卒年</x:v>
      </x:c>
      <x:c r="I245" s="12"/>
      <x:c r="J245" s="2" t="str">
        <x:v>SAN14游戏设定</x:v>
      </x:c>
      <x:c r="K245" s="2" t="str"/>
      <x:c r="L245" s="2" t="str">
        <x:v>嚴政</x:v>
      </x:c>
      <x:c r="M245" s="2" t="str">
        <x:v>san14-candidate-0237</x:v>
      </x:c>
      <x:c r="N245" s="2" t="str">
        <x:v>厳政</x:v>
      </x:c>
      <x:c r="O245" s="2" t="str">
        <x:v>ゲンセイ</x:v>
      </x:c>
    </x:row>
    <x:row r="246" ht="23" customHeight="1">
      <x:c r="A246" s="13" t="n">
        <x:v>238</x:v>
      </x:c>
      <x:c r="B246" s="2" t="str">
        <x:v>阮籍</x:v>
      </x:c>
      <x:c r="C246" s="2" t="str">
        <x:v>阮籍</x:v>
      </x:c>
      <x:c r="D246" s="2" t="str"/>
      <x:c r="E246" s="13" t="n">
        <x:v>210</x:v>
      </x:c>
      <x:c r="F246" s="13" t="n">
        <x:v>225</x:v>
      </x:c>
      <x:c r="G246" s="13" t="n">
        <x:v>263</x:v>
      </x:c>
      <x:c r="H246" s="2" t="str">
        <x:f>IF(OR($E$4="",NOT(ISNUMBER($E$4)),$E$4&lt;1,$E$4&gt;400),"参考年待填",IF(OR(E246="",F246="",G246=""),"年代待核",IF($E$4&lt;E246,"未出生",IF($E$4&lt;F246,"未登场",IF($E$4&gt;G246,"已过卒年",IF($E$4=G246,"卒年边界待核","年表可登场"))))))</x:f>
        <x:v>年表可登场</x:v>
      </x:c>
      <x:c r="I246" s="12"/>
      <x:c r="J246" s="2" t="str">
        <x:v>SAN14游戏设定</x:v>
      </x:c>
      <x:c r="K246" s="2" t="str"/>
      <x:c r="L246" s="2" t="str">
        <x:v>阮籍</x:v>
      </x:c>
      <x:c r="M246" s="2" t="str">
        <x:v>san14-candidate-0238</x:v>
      </x:c>
      <x:c r="N246" s="2" t="str">
        <x:v>阮籍</x:v>
      </x:c>
      <x:c r="O246" s="2" t="str">
        <x:v>ゲンセキ</x:v>
      </x:c>
    </x:row>
    <x:row r="247" ht="23" customHeight="1">
      <x:c r="A247" s="13" t="n">
        <x:v>239</x:v>
      </x:c>
      <x:c r="B247" s="2" t="str">
        <x:v>严白虎</x:v>
      </x:c>
      <x:c r="C247" s="2" t="str">
        <x:v>嚴白虎</x:v>
      </x:c>
      <x:c r="D247" s="2" t="str"/>
      <x:c r="E247" s="13" t="n">
        <x:v>142</x:v>
      </x:c>
      <x:c r="F247" s="13" t="n">
        <x:v>184</x:v>
      </x:c>
      <x:c r="G247" s="13" t="n">
        <x:v>196</x:v>
      </x:c>
      <x:c r="H247" s="2" t="str">
        <x:f>IF(OR($E$4="",NOT(ISNUMBER($E$4)),$E$4&lt;1,$E$4&gt;400),"参考年待填",IF(OR(E247="",F247="",G247=""),"年代待核",IF($E$4&lt;E247,"未出生",IF($E$4&lt;F247,"未登场",IF($E$4&gt;G247,"已过卒年",IF($E$4=G247,"卒年边界待核","年表可登场"))))))</x:f>
        <x:v>已过卒年</x:v>
      </x:c>
      <x:c r="I247" s="12"/>
      <x:c r="J247" s="2" t="str">
        <x:v>SAN14游戏设定</x:v>
      </x:c>
      <x:c r="K247" s="2" t="str"/>
      <x:c r="L247" s="2" t="str">
        <x:v>嚴白虎</x:v>
      </x:c>
      <x:c r="M247" s="2" t="str">
        <x:v>san14-candidate-0239</x:v>
      </x:c>
      <x:c r="N247" s="2" t="str">
        <x:v>厳白虎</x:v>
      </x:c>
      <x:c r="O247" s="2" t="str">
        <x:v>ゲンハクコ</x:v>
      </x:c>
    </x:row>
    <x:row r="248" ht="23" customHeight="1">
      <x:c r="A248" s="13" t="n">
        <x:v>240</x:v>
      </x:c>
      <x:c r="B248" s="2" t="str">
        <x:v>严舆</x:v>
      </x:c>
      <x:c r="C248" s="2" t="str">
        <x:v>嚴輿</x:v>
      </x:c>
      <x:c r="D248" s="2" t="str"/>
      <x:c r="E248" s="13" t="n">
        <x:v>145</x:v>
      </x:c>
      <x:c r="F248" s="13" t="n">
        <x:v>184</x:v>
      </x:c>
      <x:c r="G248" s="13" t="n">
        <x:v>196</x:v>
      </x:c>
      <x:c r="H248" s="2" t="str">
        <x:f>IF(OR($E$4="",NOT(ISNUMBER($E$4)),$E$4&lt;1,$E$4&gt;400),"参考年待填",IF(OR(E248="",F248="",G248=""),"年代待核",IF($E$4&lt;E248,"未出生",IF($E$4&lt;F248,"未登场",IF($E$4&gt;G248,"已过卒年",IF($E$4=G248,"卒年边界待核","年表可登场"))))))</x:f>
        <x:v>已过卒年</x:v>
      </x:c>
      <x:c r="I248" s="12"/>
      <x:c r="J248" s="2" t="str">
        <x:v>SAN14游戏设定</x:v>
      </x:c>
      <x:c r="K248" s="2" t="str"/>
      <x:c r="L248" s="2" t="str">
        <x:v>嚴輿</x:v>
      </x:c>
      <x:c r="M248" s="2" t="str">
        <x:v>san14-candidate-0240</x:v>
      </x:c>
      <x:c r="N248" s="2" t="str">
        <x:v>厳輿</x:v>
      </x:c>
      <x:c r="O248" s="2" t="str">
        <x:v>ゲンヨ</x:v>
      </x:c>
    </x:row>
    <x:row r="249" ht="23" customHeight="1">
      <x:c r="A249" s="13" t="n">
        <x:v>241</x:v>
      </x:c>
      <x:c r="B249" s="2" t="str">
        <x:v>吴懿</x:v>
      </x:c>
      <x:c r="C249" s="2" t="str">
        <x:v>吳懿</x:v>
      </x:c>
      <x:c r="D249" s="2" t="str"/>
      <x:c r="E249" s="13" t="n">
        <x:v>165</x:v>
      </x:c>
      <x:c r="F249" s="13" t="n">
        <x:v>185</x:v>
      </x:c>
      <x:c r="G249" s="13" t="n">
        <x:v>237</x:v>
      </x:c>
      <x:c r="H249" s="2" t="str">
        <x:f>IF(OR($E$4="",NOT(ISNUMBER($E$4)),$E$4&lt;1,$E$4&gt;400),"参考年待填",IF(OR(E249="",F249="",G249=""),"年代待核",IF($E$4&lt;E249,"未出生",IF($E$4&lt;F249,"未登场",IF($E$4&gt;G249,"已过卒年",IF($E$4=G249,"卒年边界待核","年表可登场"))))))</x:f>
        <x:v>年表可登场</x:v>
      </x:c>
      <x:c r="I249" s="12"/>
      <x:c r="J249" s="2" t="str">
        <x:v>SAN14游戏设定</x:v>
      </x:c>
      <x:c r="K249" s="2" t="str"/>
      <x:c r="L249" s="2" t="str">
        <x:v>吳懿</x:v>
      </x:c>
      <x:c r="M249" s="2" t="str">
        <x:v>san14-candidate-0241</x:v>
      </x:c>
      <x:c r="N249" s="2" t="str">
        <x:v>呉懿</x:v>
      </x:c>
      <x:c r="O249" s="2" t="str">
        <x:v>ゴイ</x:v>
      </x:c>
    </x:row>
    <x:row r="250" ht="23" customHeight="1">
      <x:c r="A250" s="13" t="n">
        <x:v>242</x:v>
      </x:c>
      <x:c r="B250" s="2" t="str">
        <x:v>句安</x:v>
      </x:c>
      <x:c r="C250" s="2" t="str">
        <x:v>句安</x:v>
      </x:c>
      <x:c r="D250" s="2" t="str"/>
      <x:c r="E250" s="13" t="n">
        <x:v>214</x:v>
      </x:c>
      <x:c r="F250" s="13" t="n">
        <x:v>233</x:v>
      </x:c>
      <x:c r="G250" s="13" t="n">
        <x:v>264</x:v>
      </x:c>
      <x:c r="H250" s="2" t="str">
        <x:f>IF(OR($E$4="",NOT(ISNUMBER($E$4)),$E$4&lt;1,$E$4&gt;400),"参考年待填",IF(OR(E250="",F250="",G250=""),"年代待核",IF($E$4&lt;E250,"未出生",IF($E$4&lt;F250,"未登场",IF($E$4&gt;G250,"已过卒年",IF($E$4=G250,"卒年边界待核","年表可登场"))))))</x:f>
        <x:v>未登场</x:v>
      </x:c>
      <x:c r="I250" s="12"/>
      <x:c r="J250" s="2" t="str">
        <x:v>SAN14游戏设定</x:v>
      </x:c>
      <x:c r="K250" s="2" t="str"/>
      <x:c r="L250" s="2" t="str">
        <x:v>句安</x:v>
      </x:c>
      <x:c r="M250" s="2" t="str">
        <x:v>san14-candidate-0242</x:v>
      </x:c>
      <x:c r="N250" s="2" t="str">
        <x:v>句安</x:v>
      </x:c>
      <x:c r="O250" s="2" t="str">
        <x:v>コウアン</x:v>
      </x:c>
    </x:row>
    <x:row r="251" ht="23" customHeight="1">
      <x:c r="A251" s="13" t="n">
        <x:v>243</x:v>
      </x:c>
      <x:c r="B251" s="2" t="str">
        <x:v>黄琬</x:v>
      </x:c>
      <x:c r="C251" s="2" t="str">
        <x:v>黃琬</x:v>
      </x:c>
      <x:c r="D251" s="2" t="str"/>
      <x:c r="E251" s="13" t="n">
        <x:v>141</x:v>
      </x:c>
      <x:c r="F251" s="13" t="n">
        <x:v>184</x:v>
      </x:c>
      <x:c r="G251" s="13" t="n">
        <x:v>192</x:v>
      </x:c>
      <x:c r="H251" s="2" t="str">
        <x:f>IF(OR($E$4="",NOT(ISNUMBER($E$4)),$E$4&lt;1,$E$4&gt;400),"参考年待填",IF(OR(E251="",F251="",G251=""),"年代待核",IF($E$4&lt;E251,"未出生",IF($E$4&lt;F251,"未登场",IF($E$4&gt;G251,"已过卒年",IF($E$4=G251,"卒年边界待核","年表可登场"))))))</x:f>
        <x:v>已过卒年</x:v>
      </x:c>
      <x:c r="I251" s="12"/>
      <x:c r="J251" s="2" t="str">
        <x:v>SAN14游戏设定</x:v>
      </x:c>
      <x:c r="K251" s="2" t="str"/>
      <x:c r="L251" s="2" t="str">
        <x:v>黃琬</x:v>
      </x:c>
      <x:c r="M251" s="2" t="str">
        <x:v>san14-candidate-0243</x:v>
      </x:c>
      <x:c r="N251" s="2" t="str">
        <x:v>黄エン</x:v>
      </x:c>
      <x:c r="O251" s="2" t="str">
        <x:v>コウエン</x:v>
      </x:c>
    </x:row>
    <x:row r="252" ht="23" customHeight="1">
      <x:c r="A252" s="13" t="n">
        <x:v>244</x:v>
      </x:c>
      <x:c r="B252" s="2" t="str">
        <x:v>黄射</x:v>
      </x:c>
      <x:c r="C252" s="2" t="str">
        <x:v>黃射</x:v>
      </x:c>
      <x:c r="D252" s="2" t="str"/>
      <x:c r="E252" s="13" t="n">
        <x:v>175</x:v>
      </x:c>
      <x:c r="F252" s="13" t="n">
        <x:v>194</x:v>
      </x:c>
      <x:c r="G252" s="13" t="n">
        <x:v>208</x:v>
      </x:c>
      <x:c r="H252" s="2" t="str">
        <x:f>IF(OR($E$4="",NOT(ISNUMBER($E$4)),$E$4&lt;1,$E$4&gt;400),"参考年待填",IF(OR(E252="",F252="",G252=""),"年代待核",IF($E$4&lt;E252,"未出生",IF($E$4&lt;F252,"未登场",IF($E$4&gt;G252,"已过卒年",IF($E$4=G252,"卒年边界待核","年表可登场"))))))</x:f>
        <x:v>已过卒年</x:v>
      </x:c>
      <x:c r="I252" s="12"/>
      <x:c r="J252" s="2" t="str">
        <x:v>SAN14游戏设定</x:v>
      </x:c>
      <x:c r="K252" s="2" t="str"/>
      <x:c r="L252" s="2" t="str">
        <x:v>黃射</x:v>
      </x:c>
      <x:c r="M252" s="2" t="str">
        <x:v>san14-candidate-0244</x:v>
      </x:c>
      <x:c r="N252" s="2" t="str">
        <x:v>黄射</x:v>
      </x:c>
      <x:c r="O252" s="2" t="str">
        <x:v>コウエキ</x:v>
      </x:c>
    </x:row>
    <x:row r="253" ht="23" customHeight="1">
      <x:c r="A253" s="13" t="n">
        <x:v>245</x:v>
      </x:c>
      <x:c r="B253" s="2" t="str">
        <x:v>耿纪</x:v>
      </x:c>
      <x:c r="C253" s="2" t="str">
        <x:v>耿紀</x:v>
      </x:c>
      <x:c r="D253" s="2" t="str"/>
      <x:c r="E253" s="13" t="n">
        <x:v>182</x:v>
      </x:c>
      <x:c r="F253" s="13" t="n">
        <x:v>201</x:v>
      </x:c>
      <x:c r="G253" s="13" t="n">
        <x:v>218</x:v>
      </x:c>
      <x:c r="H253" s="2" t="str">
        <x:f>IF(OR($E$4="",NOT(ISNUMBER($E$4)),$E$4&lt;1,$E$4&gt;400),"参考年待填",IF(OR(E253="",F253="",G253=""),"年代待核",IF($E$4&lt;E253,"未出生",IF($E$4&lt;F253,"未登场",IF($E$4&gt;G253,"已过卒年",IF($E$4=G253,"卒年边界待核","年表可登场"))))))</x:f>
        <x:v>已过卒年</x:v>
      </x:c>
      <x:c r="I253" s="12"/>
      <x:c r="J253" s="2" t="str">
        <x:v>SAN14游戏设定</x:v>
      </x:c>
      <x:c r="K253" s="2" t="str"/>
      <x:c r="L253" s="2" t="str">
        <x:v>耿紀</x:v>
      </x:c>
      <x:c r="M253" s="2" t="str">
        <x:v>san14-candidate-0245</x:v>
      </x:c>
      <x:c r="N253" s="2" t="str">
        <x:v>耿紀</x:v>
      </x:c>
      <x:c r="O253" s="2" t="str">
        <x:v>コウキ</x:v>
      </x:c>
    </x:row>
    <x:row r="254" ht="23" customHeight="1">
      <x:c r="A254" s="13" t="n">
        <x:v>246</x:v>
      </x:c>
      <x:c r="B254" s="2" t="str">
        <x:v>侯音</x:v>
      </x:c>
      <x:c r="C254" s="2" t="str">
        <x:v>侯音</x:v>
      </x:c>
      <x:c r="D254" s="2" t="str"/>
      <x:c r="E254" s="13" t="n">
        <x:v>184</x:v>
      </x:c>
      <x:c r="F254" s="13" t="n">
        <x:v>205</x:v>
      </x:c>
      <x:c r="G254" s="13" t="n">
        <x:v>219</x:v>
      </x:c>
      <x:c r="H254" s="2" t="str">
        <x:f>IF(OR($E$4="",NOT(ISNUMBER($E$4)),$E$4&lt;1,$E$4&gt;400),"参考年待填",IF(OR(E254="",F254="",G254=""),"年代待核",IF($E$4&lt;E254,"未出生",IF($E$4&lt;F254,"未登场",IF($E$4&gt;G254,"已过卒年",IF($E$4=G254,"卒年边界待核","年表可登场"))))))</x:f>
        <x:v>已过卒年</x:v>
      </x:c>
      <x:c r="I254" s="12"/>
      <x:c r="J254" s="2" t="str">
        <x:v>SAN14游戏设定</x:v>
      </x:c>
      <x:c r="K254" s="2" t="str"/>
      <x:c r="L254" s="2" t="str">
        <x:v>侯音</x:v>
      </x:c>
      <x:c r="M254" s="2" t="str">
        <x:v>san14-candidate-0246</x:v>
      </x:c>
      <x:c r="N254" s="2" t="str">
        <x:v>侯音</x:v>
      </x:c>
      <x:c r="O254" s="2" t="str">
        <x:v>コウオン</x:v>
      </x:c>
    </x:row>
    <x:row r="255" ht="23" customHeight="1">
      <x:c r="A255" s="13" t="n">
        <x:v>247</x:v>
      </x:c>
      <x:c r="B255" s="2" t="str">
        <x:v>黄盖</x:v>
      </x:c>
      <x:c r="C255" s="2" t="str">
        <x:v>黃蓋</x:v>
      </x:c>
      <x:c r="D255" s="2" t="str"/>
      <x:c r="E255" s="13" t="n">
        <x:v>154</x:v>
      </x:c>
      <x:c r="F255" s="13" t="n">
        <x:v>184</x:v>
      </x:c>
      <x:c r="G255" s="13" t="n">
        <x:v>218</x:v>
      </x:c>
      <x:c r="H255" s="2" t="str">
        <x:f>IF(OR($E$4="",NOT(ISNUMBER($E$4)),$E$4&lt;1,$E$4&gt;400),"参考年待填",IF(OR(E255="",F255="",G255=""),"年代待核",IF($E$4&lt;E255,"未出生",IF($E$4&lt;F255,"未登场",IF($E$4&gt;G255,"已过卒年",IF($E$4=G255,"卒年边界待核","年表可登场"))))))</x:f>
        <x:v>已过卒年</x:v>
      </x:c>
      <x:c r="I255" s="12"/>
      <x:c r="J255" s="2" t="str">
        <x:v>SAN14游戏设定</x:v>
      </x:c>
      <x:c r="K255" s="2" t="str"/>
      <x:c r="L255" s="2" t="str">
        <x:v>黃蓋</x:v>
      </x:c>
      <x:c r="M255" s="2" t="str">
        <x:v>san14-candidate-0247</x:v>
      </x:c>
      <x:c r="N255" s="2" t="str">
        <x:v>黄蓋</x:v>
      </x:c>
      <x:c r="O255" s="2" t="str">
        <x:v>コウガイ</x:v>
      </x:c>
    </x:row>
    <x:row r="256" ht="23" customHeight="1">
      <x:c r="A256" s="13" t="n">
        <x:v>248</x:v>
      </x:c>
      <x:c r="B256" s="2" t="str">
        <x:v>高干</x:v>
      </x:c>
      <x:c r="C256" s="2" t="str">
        <x:v>高幹</x:v>
      </x:c>
      <x:c r="D256" s="2" t="str"/>
      <x:c r="E256" s="13" t="n">
        <x:v>168</x:v>
      </x:c>
      <x:c r="F256" s="13" t="n">
        <x:v>187</x:v>
      </x:c>
      <x:c r="G256" s="13" t="n">
        <x:v>206</x:v>
      </x:c>
      <x:c r="H256" s="2" t="str">
        <x:f>IF(OR($E$4="",NOT(ISNUMBER($E$4)),$E$4&lt;1,$E$4&gt;400),"参考年待填",IF(OR(E256="",F256="",G256=""),"年代待核",IF($E$4&lt;E256,"未出生",IF($E$4&lt;F256,"未登场",IF($E$4&gt;G256,"已过卒年",IF($E$4=G256,"卒年边界待核","年表可登场"))))))</x:f>
        <x:v>已过卒年</x:v>
      </x:c>
      <x:c r="I256" s="12"/>
      <x:c r="J256" s="2" t="str">
        <x:v>SAN14游戏设定</x:v>
      </x:c>
      <x:c r="K256" s="2" t="str"/>
      <x:c r="L256" s="2" t="str">
        <x:v>高幹</x:v>
      </x:c>
      <x:c r="M256" s="2" t="str">
        <x:v>san14-candidate-0248</x:v>
      </x:c>
      <x:c r="N256" s="2" t="str">
        <x:v>高幹</x:v>
      </x:c>
      <x:c r="O256" s="2" t="str">
        <x:v>コウカン</x:v>
      </x:c>
    </x:row>
    <x:row r="257" ht="23" customHeight="1">
      <x:c r="A257" s="13" t="n">
        <x:v>249</x:v>
      </x:c>
      <x:c r="B257" s="2" t="str">
        <x:v>黄月英</x:v>
      </x:c>
      <x:c r="C257" s="2" t="str">
        <x:v>黃月英</x:v>
      </x:c>
      <x:c r="D257" s="2" t="str"/>
      <x:c r="E257" s="13" t="n">
        <x:v>186</x:v>
      </x:c>
      <x:c r="F257" s="13" t="n">
        <x:v>208</x:v>
      </x:c>
      <x:c r="G257" s="13" t="n">
        <x:v>235</x:v>
      </x:c>
      <x:c r="H257" s="2" t="str">
        <x:f>IF(OR($E$4="",NOT(ISNUMBER($E$4)),$E$4&lt;1,$E$4&gt;400),"参考年待填",IF(OR(E257="",F257="",G257=""),"年代待核",IF($E$4&lt;E257,"未出生",IF($E$4&lt;F257,"未登场",IF($E$4&gt;G257,"已过卒年",IF($E$4=G257,"卒年边界待核","年表可登场"))))))</x:f>
        <x:v>年表可登场</x:v>
      </x:c>
      <x:c r="I257" s="12"/>
      <x:c r="J257" s="2" t="str">
        <x:v>SAN14游戏设定</x:v>
      </x:c>
      <x:c r="K257" s="2" t="str"/>
      <x:c r="L257" s="2" t="str">
        <x:v>黃月英</x:v>
      </x:c>
      <x:c r="M257" s="2" t="str">
        <x:v>san14-candidate-0249</x:v>
      </x:c>
      <x:c r="N257" s="2" t="str">
        <x:v>黄月英</x:v>
      </x:c>
      <x:c r="O257" s="2" t="str">
        <x:v>コウゲツエイ</x:v>
      </x:c>
    </x:row>
    <x:row r="258" ht="23" customHeight="1">
      <x:c r="A258" s="13" t="n">
        <x:v>250</x:v>
      </x:c>
      <x:c r="B258" s="2" t="str">
        <x:v>黄权</x:v>
      </x:c>
      <x:c r="C258" s="2" t="str">
        <x:v>黃權</x:v>
      </x:c>
      <x:c r="D258" s="2" t="str"/>
      <x:c r="E258" s="13" t="n">
        <x:v>167</x:v>
      </x:c>
      <x:c r="F258" s="13" t="n">
        <x:v>186</x:v>
      </x:c>
      <x:c r="G258" s="13" t="n">
        <x:v>240</x:v>
      </x:c>
      <x:c r="H258" s="2" t="str">
        <x:f>IF(OR($E$4="",NOT(ISNUMBER($E$4)),$E$4&lt;1,$E$4&gt;400),"参考年待填",IF(OR(E258="",F258="",G258=""),"年代待核",IF($E$4&lt;E258,"未出生",IF($E$4&lt;F258,"未登场",IF($E$4&gt;G258,"已过卒年",IF($E$4=G258,"卒年边界待核","年表可登场"))))))</x:f>
        <x:v>年表可登场</x:v>
      </x:c>
      <x:c r="I258" s="12"/>
      <x:c r="J258" s="2" t="str">
        <x:v>SAN14游戏设定</x:v>
      </x:c>
      <x:c r="K258" s="2" t="str"/>
      <x:c r="L258" s="2" t="str">
        <x:v>黃權</x:v>
      </x:c>
      <x:c r="M258" s="2" t="str">
        <x:v>san14-candidate-0250</x:v>
      </x:c>
      <x:c r="N258" s="2" t="str">
        <x:v>黄権</x:v>
      </x:c>
      <x:c r="O258" s="2" t="str">
        <x:v>コウケン</x:v>
      </x:c>
    </x:row>
    <x:row r="259" ht="23" customHeight="1">
      <x:c r="A259" s="13" t="n">
        <x:v>251</x:v>
      </x:c>
      <x:c r="B259" s="2" t="str">
        <x:v>黄皓</x:v>
      </x:c>
      <x:c r="C259" s="2" t="str">
        <x:v>黃皓</x:v>
      </x:c>
      <x:c r="D259" s="2" t="str"/>
      <x:c r="E259" s="13" t="n">
        <x:v>226</x:v>
      </x:c>
      <x:c r="F259" s="13" t="n">
        <x:v>245</x:v>
      </x:c>
      <x:c r="G259" s="13" t="n">
        <x:v>263</x:v>
      </x:c>
      <x:c r="H259" s="2" t="str">
        <x:f>IF(OR($E$4="",NOT(ISNUMBER($E$4)),$E$4&lt;1,$E$4&gt;400),"参考年待填",IF(OR(E259="",F259="",G259=""),"年代待核",IF($E$4&lt;E259,"未出生",IF($E$4&lt;F259,"未登场",IF($E$4&gt;G259,"已过卒年",IF($E$4=G259,"卒年边界待核","年表可登场"))))))</x:f>
        <x:v>未登场</x:v>
      </x:c>
      <x:c r="I259" s="12"/>
      <x:c r="J259" s="2" t="str">
        <x:v>SAN14游戏设定</x:v>
      </x:c>
      <x:c r="K259" s="2" t="str"/>
      <x:c r="L259" s="2" t="str">
        <x:v>黃皓</x:v>
      </x:c>
      <x:c r="M259" s="2" t="str">
        <x:v>san14-candidate-0251</x:v>
      </x:c>
      <x:c r="N259" s="2" t="str">
        <x:v>黄皓</x:v>
      </x:c>
      <x:c r="O259" s="2" t="str">
        <x:v>コウコウ</x:v>
      </x:c>
    </x:row>
    <x:row r="260" ht="23" customHeight="1">
      <x:c r="A260" s="13" t="n">
        <x:v>252</x:v>
      </x:c>
      <x:c r="B260" s="2" t="str">
        <x:v>侯氏</x:v>
      </x:c>
      <x:c r="C260" s="2" t="str">
        <x:v>侯氏</x:v>
      </x:c>
      <x:c r="D260" s="2" t="str"/>
      <x:c r="E260" s="13" t="n">
        <x:v>158</x:v>
      </x:c>
      <x:c r="F260" s="13" t="n">
        <x:v>184</x:v>
      </x:c>
      <x:c r="G260" s="13" t="n">
        <x:v>199</x:v>
      </x:c>
      <x:c r="H260" s="2" t="str">
        <x:f>IF(OR($E$4="",NOT(ISNUMBER($E$4)),$E$4&lt;1,$E$4&gt;400),"参考年待填",IF(OR(E260="",F260="",G260=""),"年代待核",IF($E$4&lt;E260,"未出生",IF($E$4&lt;F260,"未登场",IF($E$4&gt;G260,"已过卒年",IF($E$4=G260,"卒年边界待核","年表可登场"))))))</x:f>
        <x:v>已过卒年</x:v>
      </x:c>
      <x:c r="I260" s="12"/>
      <x:c r="J260" s="2" t="str">
        <x:v>SAN14游戏设定</x:v>
      </x:c>
      <x:c r="K260" s="2" t="str"/>
      <x:c r="L260" s="2" t="str">
        <x:v>侯氏</x:v>
      </x:c>
      <x:c r="M260" s="2" t="str">
        <x:v>san14-candidate-0252</x:v>
      </x:c>
      <x:c r="N260" s="2" t="str">
        <x:v>侯氏</x:v>
      </x:c>
      <x:c r="O260" s="2" t="str">
        <x:v>コウシ</x:v>
      </x:c>
    </x:row>
    <x:row r="261" ht="23" customHeight="1">
      <x:c r="A261" s="13" t="n">
        <x:v>253</x:v>
      </x:c>
      <x:c r="B261" s="2" t="str">
        <x:v>高柔</x:v>
      </x:c>
      <x:c r="C261" s="2" t="str">
        <x:v>高柔</x:v>
      </x:c>
      <x:c r="D261" s="2" t="str"/>
      <x:c r="E261" s="13" t="n">
        <x:v>174</x:v>
      </x:c>
      <x:c r="F261" s="13" t="n">
        <x:v>193</x:v>
      </x:c>
      <x:c r="G261" s="13" t="n">
        <x:v>263</x:v>
      </x:c>
      <x:c r="H261" s="2" t="str">
        <x:f>IF(OR($E$4="",NOT(ISNUMBER($E$4)),$E$4&lt;1,$E$4&gt;400),"参考年待填",IF(OR(E261="",F261="",G261=""),"年代待核",IF($E$4&lt;E261,"未出生",IF($E$4&lt;F261,"未登场",IF($E$4&gt;G261,"已过卒年",IF($E$4=G261,"卒年边界待核","年表可登场"))))))</x:f>
        <x:v>年表可登场</x:v>
      </x:c>
      <x:c r="I261" s="12"/>
      <x:c r="J261" s="2" t="str">
        <x:v>SAN14游戏设定</x:v>
      </x:c>
      <x:c r="K261" s="2" t="str"/>
      <x:c r="L261" s="2" t="str">
        <x:v>高柔</x:v>
      </x:c>
      <x:c r="M261" s="2" t="str">
        <x:v>san14-candidate-0253</x:v>
      </x:c>
      <x:c r="N261" s="2" t="str">
        <x:v>高柔</x:v>
      </x:c>
      <x:c r="O261" s="2" t="str">
        <x:v>コウジュウ</x:v>
      </x:c>
    </x:row>
    <x:row r="262" ht="23" customHeight="1">
      <x:c r="A262" s="13" t="n">
        <x:v>254</x:v>
      </x:c>
      <x:c r="B262" s="2" t="str">
        <x:v>高顺</x:v>
      </x:c>
      <x:c r="C262" s="2" t="str">
        <x:v>高順</x:v>
      </x:c>
      <x:c r="D262" s="2" t="str"/>
      <x:c r="E262" s="13" t="n">
        <x:v>162</x:v>
      </x:c>
      <x:c r="F262" s="13" t="n">
        <x:v>186</x:v>
      </x:c>
      <x:c r="G262" s="13" t="n">
        <x:v>198</x:v>
      </x:c>
      <x:c r="H262" s="2" t="str">
        <x:f>IF(OR($E$4="",NOT(ISNUMBER($E$4)),$E$4&lt;1,$E$4&gt;400),"参考年待填",IF(OR(E262="",F262="",G262=""),"年代待核",IF($E$4&lt;E262,"未出生",IF($E$4&lt;F262,"未登场",IF($E$4&gt;G262,"已过卒年",IF($E$4=G262,"卒年边界待核","年表可登场"))))))</x:f>
        <x:v>已过卒年</x:v>
      </x:c>
      <x:c r="I262" s="12"/>
      <x:c r="J262" s="2" t="str">
        <x:v>SAN14游戏设定</x:v>
      </x:c>
      <x:c r="K262" s="2" t="str"/>
      <x:c r="L262" s="2" t="str">
        <x:v>高順</x:v>
      </x:c>
      <x:c r="M262" s="2" t="str">
        <x:v>san14-candidate-0254</x:v>
      </x:c>
      <x:c r="N262" s="2" t="str">
        <x:v>高順</x:v>
      </x:c>
      <x:c r="O262" s="2" t="str">
        <x:v>コウジュン</x:v>
      </x:c>
    </x:row>
    <x:row r="263" ht="23" customHeight="1">
      <x:c r="A263" s="13" t="n">
        <x:v>255</x:v>
      </x:c>
      <x:c r="B263" s="2" t="str">
        <x:v>高翔</x:v>
      </x:c>
      <x:c r="C263" s="2" t="str">
        <x:v>高翔</x:v>
      </x:c>
      <x:c r="D263" s="2" t="str"/>
      <x:c r="E263" s="13" t="n">
        <x:v>194</x:v>
      </x:c>
      <x:c r="F263" s="13" t="n">
        <x:v>213</x:v>
      </x:c>
      <x:c r="G263" s="13" t="n">
        <x:v>252</x:v>
      </x:c>
      <x:c r="H263" s="2" t="str">
        <x:f>IF(OR($E$4="",NOT(ISNUMBER($E$4)),$E$4&lt;1,$E$4&gt;400),"参考年待填",IF(OR(E263="",F263="",G263=""),"年代待核",IF($E$4&lt;E263,"未出生",IF($E$4&lt;F263,"未登场",IF($E$4&gt;G263,"已过卒年",IF($E$4=G263,"卒年边界待核","年表可登场"))))))</x:f>
        <x:v>年表可登场</x:v>
      </x:c>
      <x:c r="I263" s="12"/>
      <x:c r="J263" s="2" t="str">
        <x:v>SAN14游戏设定</x:v>
      </x:c>
      <x:c r="K263" s="2" t="str"/>
      <x:c r="L263" s="2" t="str">
        <x:v>高翔</x:v>
      </x:c>
      <x:c r="M263" s="2" t="str">
        <x:v>san14-candidate-0255</x:v>
      </x:c>
      <x:c r="N263" s="2" t="str">
        <x:v>高翔</x:v>
      </x:c>
      <x:c r="O263" s="2" t="str">
        <x:v>コウショウ</x:v>
      </x:c>
    </x:row>
    <x:row r="264" ht="23" customHeight="1">
      <x:c r="A264" s="13" t="n">
        <x:v>256</x:v>
      </x:c>
      <x:c r="B264" s="2" t="str">
        <x:v>高升</x:v>
      </x:c>
      <x:c r="C264" s="2" t="str">
        <x:v>高昇</x:v>
      </x:c>
      <x:c r="D264" s="2" t="str"/>
      <x:c r="E264" s="13" t="n">
        <x:v>145</x:v>
      </x:c>
      <x:c r="F264" s="13" t="n">
        <x:v>184</x:v>
      </x:c>
      <x:c r="G264" s="13" t="n">
        <x:v>184</x:v>
      </x:c>
      <x:c r="H264" s="2" t="str">
        <x:f>IF(OR($E$4="",NOT(ISNUMBER($E$4)),$E$4&lt;1,$E$4&gt;400),"参考年待填",IF(OR(E264="",F264="",G264=""),"年代待核",IF($E$4&lt;E264,"未出生",IF($E$4&lt;F264,"未登场",IF($E$4&gt;G264,"已过卒年",IF($E$4=G264,"卒年边界待核","年表可登场"))))))</x:f>
        <x:v>已过卒年</x:v>
      </x:c>
      <x:c r="I264" s="12"/>
      <x:c r="J264" s="2" t="str">
        <x:v>SAN14游戏设定</x:v>
      </x:c>
      <x:c r="K264" s="2" t="str"/>
      <x:c r="L264" s="2" t="str">
        <x:v>高昇</x:v>
      </x:c>
      <x:c r="M264" s="2" t="str">
        <x:v>san14-candidate-0256</x:v>
      </x:c>
      <x:c r="N264" s="2" t="str">
        <x:v>高昇</x:v>
      </x:c>
      <x:c r="O264" s="2" t="str">
        <x:v>コウショウ</x:v>
      </x:c>
    </x:row>
    <x:row r="265" ht="23" customHeight="1">
      <x:c r="A265" s="13" t="n">
        <x:v>257</x:v>
      </x:c>
      <x:c r="B265" s="2" t="str">
        <x:v>黄崇</x:v>
      </x:c>
      <x:c r="C265" s="2" t="str">
        <x:v>黃崇</x:v>
      </x:c>
      <x:c r="D265" s="2" t="str"/>
      <x:c r="E265" s="13" t="n">
        <x:v>208</x:v>
      </x:c>
      <x:c r="F265" s="13" t="n">
        <x:v>222</x:v>
      </x:c>
      <x:c r="G265" s="13" t="n">
        <x:v>263</x:v>
      </x:c>
      <x:c r="H265" s="2" t="str">
        <x:f>IF(OR($E$4="",NOT(ISNUMBER($E$4)),$E$4&lt;1,$E$4&gt;400),"参考年待填",IF(OR(E265="",F265="",G265=""),"年代待核",IF($E$4&lt;E265,"未出生",IF($E$4&lt;F265,"未登场",IF($E$4&gt;G265,"已过卒年",IF($E$4=G265,"卒年边界待核","年表可登场"))))))</x:f>
        <x:v>年表可登场</x:v>
      </x:c>
      <x:c r="I265" s="12"/>
      <x:c r="J265" s="2" t="str">
        <x:v>SAN14游戏设定</x:v>
      </x:c>
      <x:c r="K265" s="2" t="str"/>
      <x:c r="L265" s="2" t="str">
        <x:v>黃崇</x:v>
      </x:c>
      <x:c r="M265" s="2" t="str">
        <x:v>san14-candidate-0257</x:v>
      </x:c>
      <x:c r="N265" s="2" t="str">
        <x:v>黄崇</x:v>
      </x:c>
      <x:c r="O265" s="2" t="str">
        <x:v>コウスウ</x:v>
      </x:c>
    </x:row>
    <x:row r="266" ht="23" customHeight="1">
      <x:c r="A266" s="13" t="n">
        <x:v>258</x:v>
      </x:c>
      <x:c r="B266" s="2" t="str">
        <x:v>侯成</x:v>
      </x:c>
      <x:c r="C266" s="2" t="str">
        <x:v>侯成</x:v>
      </x:c>
      <x:c r="D266" s="2" t="str"/>
      <x:c r="E266" s="13" t="n">
        <x:v>158</x:v>
      </x:c>
      <x:c r="F266" s="13" t="n">
        <x:v>184</x:v>
      </x:c>
      <x:c r="G266" s="13" t="n">
        <x:v>199</x:v>
      </x:c>
      <x:c r="H266" s="2" t="str">
        <x:f>IF(OR($E$4="",NOT(ISNUMBER($E$4)),$E$4&lt;1,$E$4&gt;400),"参考年待填",IF(OR(E266="",F266="",G266=""),"年代待核",IF($E$4&lt;E266,"未出生",IF($E$4&lt;F266,"未登场",IF($E$4&gt;G266,"已过卒年",IF($E$4=G266,"卒年边界待核","年表可登场"))))))</x:f>
        <x:v>已过卒年</x:v>
      </x:c>
      <x:c r="I266" s="12"/>
      <x:c r="J266" s="2" t="str">
        <x:v>SAN14游戏设定</x:v>
      </x:c>
      <x:c r="K266" s="2" t="str"/>
      <x:c r="L266" s="2" t="str">
        <x:v>侯成</x:v>
      </x:c>
      <x:c r="M266" s="2" t="str">
        <x:v>san14-candidate-0258</x:v>
      </x:c>
      <x:c r="N266" s="2" t="str">
        <x:v>侯成</x:v>
      </x:c>
      <x:c r="O266" s="2" t="str">
        <x:v>コウセイ</x:v>
      </x:c>
    </x:row>
    <x:row r="267" ht="23" customHeight="1">
      <x:c r="A267" s="13" t="n">
        <x:v>259</x:v>
      </x:c>
      <x:c r="B267" s="2" t="str">
        <x:v>侯选</x:v>
      </x:c>
      <x:c r="C267" s="2" t="str">
        <x:v>侯選</x:v>
      </x:c>
      <x:c r="D267" s="2" t="str"/>
      <x:c r="E267" s="13" t="n">
        <x:v>175</x:v>
      </x:c>
      <x:c r="F267" s="13" t="n">
        <x:v>194</x:v>
      </x:c>
      <x:c r="G267" s="13" t="n">
        <x:v>228</x:v>
      </x:c>
      <x:c r="H267" s="2" t="str">
        <x:f>IF(OR($E$4="",NOT(ISNUMBER($E$4)),$E$4&lt;1,$E$4&gt;400),"参考年待填",IF(OR(E267="",F267="",G267=""),"年代待核",IF($E$4&lt;E267,"未出生",IF($E$4&lt;F267,"未登场",IF($E$4&gt;G267,"已过卒年",IF($E$4=G267,"卒年边界待核","年表可登场"))))))</x:f>
        <x:v>已过卒年</x:v>
      </x:c>
      <x:c r="I267" s="12"/>
      <x:c r="J267" s="2" t="str">
        <x:v>SAN14游戏设定</x:v>
      </x:c>
      <x:c r="K267" s="2" t="str"/>
      <x:c r="L267" s="2" t="str">
        <x:v>侯選</x:v>
      </x:c>
      <x:c r="M267" s="2" t="str">
        <x:v>san14-candidate-0259</x:v>
      </x:c>
      <x:c r="N267" s="2" t="str">
        <x:v>侯選</x:v>
      </x:c>
      <x:c r="O267" s="2" t="str">
        <x:v>コウセン</x:v>
      </x:c>
    </x:row>
    <x:row r="268" ht="23" customHeight="1">
      <x:c r="A268" s="13" t="n">
        <x:v>260</x:v>
      </x:c>
      <x:c r="B268" s="2" t="str">
        <x:v>黄祖</x:v>
      </x:c>
      <x:c r="C268" s="2" t="str">
        <x:v>黃祖</x:v>
      </x:c>
      <x:c r="D268" s="2" t="str"/>
      <x:c r="E268" s="13" t="n">
        <x:v>148</x:v>
      </x:c>
      <x:c r="F268" s="13" t="n">
        <x:v>184</x:v>
      </x:c>
      <x:c r="G268" s="13" t="n">
        <x:v>208</x:v>
      </x:c>
      <x:c r="H268" s="2" t="str">
        <x:f>IF(OR($E$4="",NOT(ISNUMBER($E$4)),$E$4&lt;1,$E$4&gt;400),"参考年待填",IF(OR(E268="",F268="",G268=""),"年代待核",IF($E$4&lt;E268,"未出生",IF($E$4&lt;F268,"未登场",IF($E$4&gt;G268,"已过卒年",IF($E$4=G268,"卒年边界待核","年表可登场"))))))</x:f>
        <x:v>已过卒年</x:v>
      </x:c>
      <x:c r="I268" s="12"/>
      <x:c r="J268" s="2" t="str">
        <x:v>SAN14游戏设定</x:v>
      </x:c>
      <x:c r="K268" s="2" t="str"/>
      <x:c r="L268" s="2" t="str">
        <x:v>黃祖</x:v>
      </x:c>
      <x:c r="M268" s="2" t="str">
        <x:v>san14-candidate-0260</x:v>
      </x:c>
      <x:c r="N268" s="2" t="str">
        <x:v>黄祖</x:v>
      </x:c>
      <x:c r="O268" s="2" t="str">
        <x:v>コウソ</x:v>
      </x:c>
    </x:row>
    <x:row r="269" ht="23" customHeight="1">
      <x:c r="A269" s="13" t="n">
        <x:v>261</x:v>
      </x:c>
      <x:c r="B269" s="2" t="str">
        <x:v>公孙越</x:v>
      </x:c>
      <x:c r="C269" s="2" t="str">
        <x:v>公孫越</x:v>
      </x:c>
      <x:c r="D269" s="2" t="str"/>
      <x:c r="E269" s="13" t="n">
        <x:v>160</x:v>
      </x:c>
      <x:c r="F269" s="13" t="n">
        <x:v>184</x:v>
      </x:c>
      <x:c r="G269" s="13" t="n">
        <x:v>192</x:v>
      </x:c>
      <x:c r="H269" s="2" t="str">
        <x:f>IF(OR($E$4="",NOT(ISNUMBER($E$4)),$E$4&lt;1,$E$4&gt;400),"参考年待填",IF(OR(E269="",F269="",G269=""),"年代待核",IF($E$4&lt;E269,"未出生",IF($E$4&lt;F269,"未登场",IF($E$4&gt;G269,"已过卒年",IF($E$4=G269,"卒年边界待核","年表可登场"))))))</x:f>
        <x:v>已过卒年</x:v>
      </x:c>
      <x:c r="I269" s="12"/>
      <x:c r="J269" s="2" t="str">
        <x:v>SAN14游戏设定</x:v>
      </x:c>
      <x:c r="K269" s="2" t="str"/>
      <x:c r="L269" s="2" t="str">
        <x:v>公孫越</x:v>
      </x:c>
      <x:c r="M269" s="2" t="str">
        <x:v>san14-candidate-0261</x:v>
      </x:c>
      <x:c r="N269" s="2" t="str">
        <x:v>公孫越</x:v>
      </x:c>
      <x:c r="O269" s="2" t="str">
        <x:v>コウソンエツ</x:v>
      </x:c>
    </x:row>
    <x:row r="270" ht="23" customHeight="1">
      <x:c r="A270" s="13" t="n">
        <x:v>262</x:v>
      </x:c>
      <x:c r="B270" s="2" t="str">
        <x:v>公孙渊</x:v>
      </x:c>
      <x:c r="C270" s="2" t="str">
        <x:v>公孫淵</x:v>
      </x:c>
      <x:c r="D270" s="2" t="str"/>
      <x:c r="E270" s="13" t="n">
        <x:v>205</x:v>
      </x:c>
      <x:c r="F270" s="13" t="n">
        <x:v>219</x:v>
      </x:c>
      <x:c r="G270" s="13" t="n">
        <x:v>238</x:v>
      </x:c>
      <x:c r="H270" s="2" t="str">
        <x:f>IF(OR($E$4="",NOT(ISNUMBER($E$4)),$E$4&lt;1,$E$4&gt;400),"参考年待填",IF(OR(E270="",F270="",G270=""),"年代待核",IF($E$4&lt;E270,"未出生",IF($E$4&lt;F270,"未登场",IF($E$4&gt;G270,"已过卒年",IF($E$4=G270,"卒年边界待核","年表可登场"))))))</x:f>
        <x:v>年表可登场</x:v>
      </x:c>
      <x:c r="I270" s="12"/>
      <x:c r="J270" s="2" t="str">
        <x:v>SAN14游戏设定</x:v>
      </x:c>
      <x:c r="K270" s="2" t="str"/>
      <x:c r="L270" s="2" t="str">
        <x:v>公孫淵</x:v>
      </x:c>
      <x:c r="M270" s="2" t="str">
        <x:v>san14-candidate-0262</x:v>
      </x:c>
      <x:c r="N270" s="2" t="str">
        <x:v>公孫淵</x:v>
      </x:c>
      <x:c r="O270" s="2" t="str">
        <x:v>コウソンエン</x:v>
      </x:c>
    </x:row>
    <x:row r="271" ht="23" customHeight="1">
      <x:c r="A271" s="13" t="n">
        <x:v>263</x:v>
      </x:c>
      <x:c r="B271" s="2" t="str">
        <x:v>公孙恭</x:v>
      </x:c>
      <x:c r="C271" s="2" t="str">
        <x:v>公孫恭</x:v>
      </x:c>
      <x:c r="D271" s="2" t="str"/>
      <x:c r="E271" s="13" t="n">
        <x:v>174</x:v>
      </x:c>
      <x:c r="F271" s="13" t="n">
        <x:v>188</x:v>
      </x:c>
      <x:c r="G271" s="13" t="n">
        <x:v>238</x:v>
      </x:c>
      <x:c r="H271" s="2" t="str">
        <x:f>IF(OR($E$4="",NOT(ISNUMBER($E$4)),$E$4&lt;1,$E$4&gt;400),"参考年待填",IF(OR(E271="",F271="",G271=""),"年代待核",IF($E$4&lt;E271,"未出生",IF($E$4&lt;F271,"未登场",IF($E$4&gt;G271,"已过卒年",IF($E$4=G271,"卒年边界待核","年表可登场"))))))</x:f>
        <x:v>年表可登场</x:v>
      </x:c>
      <x:c r="I271" s="12"/>
      <x:c r="J271" s="2" t="str">
        <x:v>SAN14游戏设定</x:v>
      </x:c>
      <x:c r="K271" s="2" t="str"/>
      <x:c r="L271" s="2" t="str">
        <x:v>公孫恭</x:v>
      </x:c>
      <x:c r="M271" s="2" t="str">
        <x:v>san14-candidate-0263</x:v>
      </x:c>
      <x:c r="N271" s="2" t="str">
        <x:v>公孫恭</x:v>
      </x:c>
      <x:c r="O271" s="2" t="str">
        <x:v>コウソンキョウ</x:v>
      </x:c>
    </x:row>
    <x:row r="272" ht="23" customHeight="1">
      <x:c r="A272" s="13" t="n">
        <x:v>264</x:v>
      </x:c>
      <x:c r="B272" s="2" t="str">
        <x:v>公孙康</x:v>
      </x:c>
      <x:c r="C272" s="2" t="str">
        <x:v>公孫康</x:v>
      </x:c>
      <x:c r="D272" s="2" t="str"/>
      <x:c r="E272" s="13" t="n">
        <x:v>172</x:v>
      </x:c>
      <x:c r="F272" s="13" t="n">
        <x:v>186</x:v>
      </x:c>
      <x:c r="G272" s="13" t="n">
        <x:v>210</x:v>
      </x:c>
      <x:c r="H272" s="2" t="str">
        <x:f>IF(OR($E$4="",NOT(ISNUMBER($E$4)),$E$4&lt;1,$E$4&gt;400),"参考年待填",IF(OR(E272="",F272="",G272=""),"年代待核",IF($E$4&lt;E272,"未出生",IF($E$4&lt;F272,"未登场",IF($E$4&gt;G272,"已过卒年",IF($E$4=G272,"卒年边界待核","年表可登场"))))))</x:f>
        <x:v>已过卒年</x:v>
      </x:c>
      <x:c r="I272" s="12"/>
      <x:c r="J272" s="2" t="str">
        <x:v>SAN14游戏设定</x:v>
      </x:c>
      <x:c r="K272" s="2" t="str"/>
      <x:c r="L272" s="2" t="str">
        <x:v>公孫康</x:v>
      </x:c>
      <x:c r="M272" s="2" t="str">
        <x:v>san14-candidate-0264</x:v>
      </x:c>
      <x:c r="N272" s="2" t="str">
        <x:v>公孫康</x:v>
      </x:c>
      <x:c r="O272" s="2" t="str">
        <x:v>コウソンコウ</x:v>
      </x:c>
    </x:row>
    <x:row r="273" ht="23" customHeight="1">
      <x:c r="A273" s="13" t="n">
        <x:v>265</x:v>
      </x:c>
      <x:c r="B273" s="2" t="str">
        <x:v>公孙晃</x:v>
      </x:c>
      <x:c r="C273" s="2" t="str">
        <x:v>公孫晃</x:v>
      </x:c>
      <x:c r="D273" s="2" t="str"/>
      <x:c r="E273" s="13" t="n">
        <x:v>200</x:v>
      </x:c>
      <x:c r="F273" s="13" t="n">
        <x:v>214</x:v>
      </x:c>
      <x:c r="G273" s="13" t="n">
        <x:v>238</x:v>
      </x:c>
      <x:c r="H273" s="2" t="str">
        <x:f>IF(OR($E$4="",NOT(ISNUMBER($E$4)),$E$4&lt;1,$E$4&gt;400),"参考年待填",IF(OR(E273="",F273="",G273=""),"年代待核",IF($E$4&lt;E273,"未出生",IF($E$4&lt;F273,"未登场",IF($E$4&gt;G273,"已过卒年",IF($E$4=G273,"卒年边界待核","年表可登场"))))))</x:f>
        <x:v>年表可登场</x:v>
      </x:c>
      <x:c r="I273" s="12"/>
      <x:c r="J273" s="2" t="str">
        <x:v>SAN14游戏设定</x:v>
      </x:c>
      <x:c r="K273" s="2" t="str"/>
      <x:c r="L273" s="2" t="str">
        <x:v>公孫晃</x:v>
      </x:c>
      <x:c r="M273" s="2" t="str">
        <x:v>san14-candidate-0265</x:v>
      </x:c>
      <x:c r="N273" s="2" t="str">
        <x:v>公孫晃</x:v>
      </x:c>
      <x:c r="O273" s="2" t="str">
        <x:v>コウソンコウ</x:v>
      </x:c>
    </x:row>
    <x:row r="274" ht="23" customHeight="1">
      <x:c r="A274" s="13" t="n">
        <x:v>266</x:v>
      </x:c>
      <x:c r="B274" s="2" t="str">
        <x:v>公孙瓒</x:v>
      </x:c>
      <x:c r="C274" s="2" t="str">
        <x:v>公孫瓚</x:v>
      </x:c>
      <x:c r="D274" s="2" t="str"/>
      <x:c r="E274" s="13" t="n">
        <x:v>152</x:v>
      </x:c>
      <x:c r="F274" s="13" t="n">
        <x:v>184</x:v>
      </x:c>
      <x:c r="G274" s="13" t="n">
        <x:v>199</x:v>
      </x:c>
      <x:c r="H274" s="2" t="str">
        <x:f>IF(OR($E$4="",NOT(ISNUMBER($E$4)),$E$4&lt;1,$E$4&gt;400),"参考年待填",IF(OR(E274="",F274="",G274=""),"年代待核",IF($E$4&lt;E274,"未出生",IF($E$4&lt;F274,"未登场",IF($E$4&gt;G274,"已过卒年",IF($E$4=G274,"卒年边界待核","年表可登场"))))))</x:f>
        <x:v>已过卒年</x:v>
      </x:c>
      <x:c r="I274" s="12"/>
      <x:c r="J274" s="2" t="str">
        <x:v>SAN14游戏设定</x:v>
      </x:c>
      <x:c r="K274" s="2" t="str"/>
      <x:c r="L274" s="2" t="str">
        <x:v>公孫瓚</x:v>
      </x:c>
      <x:c r="M274" s="2" t="str">
        <x:v>san14-candidate-0266</x:v>
      </x:c>
      <x:c r="N274" s="2" t="str">
        <x:v>公孫サン</x:v>
      </x:c>
      <x:c r="O274" s="2" t="str">
        <x:v>コウソンサン</x:v>
      </x:c>
    </x:row>
    <x:row r="275" ht="23" customHeight="1">
      <x:c r="A275" s="13" t="n">
        <x:v>267</x:v>
      </x:c>
      <x:c r="B275" s="2" t="str">
        <x:v>公孙续</x:v>
      </x:c>
      <x:c r="C275" s="2" t="str">
        <x:v>公孫續</x:v>
      </x:c>
      <x:c r="D275" s="2" t="str"/>
      <x:c r="E275" s="13" t="n">
        <x:v>176</x:v>
      </x:c>
      <x:c r="F275" s="13" t="n">
        <x:v>190</x:v>
      </x:c>
      <x:c r="G275" s="13" t="n">
        <x:v>199</x:v>
      </x:c>
      <x:c r="H275" s="2" t="str">
        <x:f>IF(OR($E$4="",NOT(ISNUMBER($E$4)),$E$4&lt;1,$E$4&gt;400),"参考年待填",IF(OR(E275="",F275="",G275=""),"年代待核",IF($E$4&lt;E275,"未出生",IF($E$4&lt;F275,"未登场",IF($E$4&gt;G275,"已过卒年",IF($E$4=G275,"卒年边界待核","年表可登场"))))))</x:f>
        <x:v>已过卒年</x:v>
      </x:c>
      <x:c r="I275" s="12"/>
      <x:c r="J275" s="2" t="str">
        <x:v>SAN14游戏设定</x:v>
      </x:c>
      <x:c r="K275" s="2" t="str"/>
      <x:c r="L275" s="2" t="str">
        <x:v>公孫續</x:v>
      </x:c>
      <x:c r="M275" s="2" t="str">
        <x:v>san14-candidate-0267</x:v>
      </x:c>
      <x:c r="N275" s="2" t="str">
        <x:v>公孫続</x:v>
      </x:c>
      <x:c r="O275" s="2" t="str">
        <x:v>コウソンショク</x:v>
      </x:c>
    </x:row>
    <x:row r="276" ht="23" customHeight="1">
      <x:c r="A276" s="13" t="n">
        <x:v>268</x:v>
      </x:c>
      <x:c r="B276" s="2" t="str">
        <x:v>公孙度</x:v>
      </x:c>
      <x:c r="C276" s="2" t="str">
        <x:v>公孫度</x:v>
      </x:c>
      <x:c r="D276" s="2" t="str"/>
      <x:c r="E276" s="13" t="n">
        <x:v>154</x:v>
      </x:c>
      <x:c r="F276" s="13" t="n">
        <x:v>184</x:v>
      </x:c>
      <x:c r="G276" s="13" t="n">
        <x:v>204</x:v>
      </x:c>
      <x:c r="H276" s="2" t="str">
        <x:f>IF(OR($E$4="",NOT(ISNUMBER($E$4)),$E$4&lt;1,$E$4&gt;400),"参考年待填",IF(OR(E276="",F276="",G276=""),"年代待核",IF($E$4&lt;E276,"未出生",IF($E$4&lt;F276,"未登场",IF($E$4&gt;G276,"已过卒年",IF($E$4=G276,"卒年边界待核","年表可登场"))))))</x:f>
        <x:v>已过卒年</x:v>
      </x:c>
      <x:c r="I276" s="12"/>
      <x:c r="J276" s="2" t="str">
        <x:v>SAN14游戏设定</x:v>
      </x:c>
      <x:c r="K276" s="2" t="str"/>
      <x:c r="L276" s="2" t="str">
        <x:v>公孫度</x:v>
      </x:c>
      <x:c r="M276" s="2" t="str">
        <x:v>san14-candidate-0268</x:v>
      </x:c>
      <x:c r="N276" s="2" t="str">
        <x:v>公孫度</x:v>
      </x:c>
      <x:c r="O276" s="2" t="str">
        <x:v>コウソンド</x:v>
      </x:c>
    </x:row>
    <x:row r="277" ht="23" customHeight="1">
      <x:c r="A277" s="13" t="n">
        <x:v>269</x:v>
      </x:c>
      <x:c r="B277" s="2" t="str">
        <x:v>公孙范</x:v>
      </x:c>
      <x:c r="C277" s="2" t="str">
        <x:v>公孫範</x:v>
      </x:c>
      <x:c r="D277" s="2" t="str"/>
      <x:c r="E277" s="13" t="n">
        <x:v>158</x:v>
      </x:c>
      <x:c r="F277" s="13" t="n">
        <x:v>184</x:v>
      </x:c>
      <x:c r="G277" s="13" t="n">
        <x:v>199</x:v>
      </x:c>
      <x:c r="H277" s="2" t="str">
        <x:f>IF(OR($E$4="",NOT(ISNUMBER($E$4)),$E$4&lt;1,$E$4&gt;400),"参考年待填",IF(OR(E277="",F277="",G277=""),"年代待核",IF($E$4&lt;E277,"未出生",IF($E$4&lt;F277,"未登场",IF($E$4&gt;G277,"已过卒年",IF($E$4=G277,"卒年边界待核","年表可登场"))))))</x:f>
        <x:v>已过卒年</x:v>
      </x:c>
      <x:c r="I277" s="12"/>
      <x:c r="J277" s="2" t="str">
        <x:v>SAN14游戏设定</x:v>
      </x:c>
      <x:c r="K277" s="2" t="str"/>
      <x:c r="L277" s="2" t="str">
        <x:v>公孫範</x:v>
      </x:c>
      <x:c r="M277" s="2" t="str">
        <x:v>san14-candidate-0269</x:v>
      </x:c>
      <x:c r="N277" s="2" t="str">
        <x:v>公孫範</x:v>
      </x:c>
      <x:c r="O277" s="2" t="str">
        <x:v>コウソンハン</x:v>
      </x:c>
    </x:row>
    <x:row r="278" ht="23" customHeight="1">
      <x:c r="A278" s="13" t="n">
        <x:v>270</x:v>
      </x:c>
      <x:c r="B278" s="2" t="str">
        <x:v>孔伷</x:v>
      </x:c>
      <x:c r="C278" s="2" t="str">
        <x:v>孔伷</x:v>
      </x:c>
      <x:c r="D278" s="2" t="str"/>
      <x:c r="E278" s="13" t="n">
        <x:v>151</x:v>
      </x:c>
      <x:c r="F278" s="13" t="n">
        <x:v>184</x:v>
      </x:c>
      <x:c r="G278" s="13" t="n">
        <x:v>194</x:v>
      </x:c>
      <x:c r="H278" s="2" t="str">
        <x:f>IF(OR($E$4="",NOT(ISNUMBER($E$4)),$E$4&lt;1,$E$4&gt;400),"参考年待填",IF(OR(E278="",F278="",G278=""),"年代待核",IF($E$4&lt;E278,"未出生",IF($E$4&lt;F278,"未登场",IF($E$4&gt;G278,"已过卒年",IF($E$4=G278,"卒年边界待核","年表可登场"))))))</x:f>
        <x:v>已过卒年</x:v>
      </x:c>
      <x:c r="I278" s="12"/>
      <x:c r="J278" s="2" t="str">
        <x:v>SAN14游戏设定</x:v>
      </x:c>
      <x:c r="K278" s="2" t="str"/>
      <x:c r="L278" s="2" t="str">
        <x:v>孔伷</x:v>
      </x:c>
      <x:c r="M278" s="2" t="str">
        <x:v>san14-candidate-0270</x:v>
      </x:c>
      <x:c r="N278" s="2" t="str">
        <x:v>孔チュウ</x:v>
      </x:c>
      <x:c r="O278" s="2" t="str">
        <x:v>コウチュウ</x:v>
      </x:c>
    </x:row>
    <x:row r="279" ht="23" customHeight="1">
      <x:c r="A279" s="13" t="n">
        <x:v>271</x:v>
      </x:c>
      <x:c r="B279" s="2" t="str">
        <x:v>黄忠</x:v>
      </x:c>
      <x:c r="C279" s="2" t="str">
        <x:v>黃忠</x:v>
      </x:c>
      <x:c r="D279" s="2" t="str"/>
      <x:c r="E279" s="13" t="n">
        <x:v>148</x:v>
      </x:c>
      <x:c r="F279" s="13" t="n">
        <x:v>184</x:v>
      </x:c>
      <x:c r="G279" s="13" t="n">
        <x:v>222</x:v>
      </x:c>
      <x:c r="H279" s="2" t="str">
        <x:f>IF(OR($E$4="",NOT(ISNUMBER($E$4)),$E$4&lt;1,$E$4&gt;400),"参考年待填",IF(OR(E279="",F279="",G279=""),"年代待核",IF($E$4&lt;E279,"未出生",IF($E$4&lt;F279,"未登场",IF($E$4&gt;G279,"已过卒年",IF($E$4=G279,"卒年边界待核","年表可登场"))))))</x:f>
        <x:v>已过卒年</x:v>
      </x:c>
      <x:c r="I279" s="12"/>
      <x:c r="J279" s="2" t="str">
        <x:v>SAN14游戏设定</x:v>
      </x:c>
      <x:c r="K279" s="2" t="str"/>
      <x:c r="L279" s="2" t="str">
        <x:v>黃忠</x:v>
      </x:c>
      <x:c r="M279" s="2" t="str">
        <x:v>san14-candidate-0271</x:v>
      </x:c>
      <x:c r="N279" s="2" t="str">
        <x:v>黄忠</x:v>
      </x:c>
      <x:c r="O279" s="2" t="str">
        <x:v>コウチュウ</x:v>
      </x:c>
    </x:row>
    <x:row r="280" ht="23" customHeight="1">
      <x:c r="A280" s="13" t="n">
        <x:v>272</x:v>
      </x:c>
      <x:c r="B280" s="2" t="str">
        <x:v>高定</x:v>
      </x:c>
      <x:c r="C280" s="2" t="str">
        <x:v>高定</x:v>
      </x:c>
      <x:c r="D280" s="2" t="str"/>
      <x:c r="E280" s="13" t="n">
        <x:v>188</x:v>
      </x:c>
      <x:c r="F280" s="13" t="n">
        <x:v>207</x:v>
      </x:c>
      <x:c r="G280" s="13" t="n">
        <x:v>251</x:v>
      </x:c>
      <x:c r="H280" s="2" t="str">
        <x:f>IF(OR($E$4="",NOT(ISNUMBER($E$4)),$E$4&lt;1,$E$4&gt;400),"参考年待填",IF(OR(E280="",F280="",G280=""),"年代待核",IF($E$4&lt;E280,"未出生",IF($E$4&lt;F280,"未登场",IF($E$4&gt;G280,"已过卒年",IF($E$4=G280,"卒年边界待核","年表可登场"))))))</x:f>
        <x:v>年表可登场</x:v>
      </x:c>
      <x:c r="I280" s="12"/>
      <x:c r="J280" s="2" t="str">
        <x:v>SAN14游戏设定</x:v>
      </x:c>
      <x:c r="K280" s="2" t="str"/>
      <x:c r="L280" s="2" t="str">
        <x:v>高定</x:v>
      </x:c>
      <x:c r="M280" s="2" t="str">
        <x:v>san14-candidate-0272</x:v>
      </x:c>
      <x:c r="N280" s="2" t="str">
        <x:v>高定</x:v>
      </x:c>
      <x:c r="O280" s="2" t="str">
        <x:v>コウテイ</x:v>
      </x:c>
    </x:row>
    <x:row r="281" ht="23" customHeight="1">
      <x:c r="A281" s="13" t="n">
        <x:v>273</x:v>
      </x:c>
      <x:c r="B281" s="2" t="str">
        <x:v>高堂隆</x:v>
      </x:c>
      <x:c r="C281" s="2" t="str">
        <x:v>高堂隆</x:v>
      </x:c>
      <x:c r="D281" s="2" t="str"/>
      <x:c r="E281" s="13" t="n">
        <x:v>190</x:v>
      </x:c>
      <x:c r="F281" s="13" t="n">
        <x:v>210</x:v>
      </x:c>
      <x:c r="G281" s="13" t="n">
        <x:v>244</x:v>
      </x:c>
      <x:c r="H281" s="2" t="str">
        <x:f>IF(OR($E$4="",NOT(ISNUMBER($E$4)),$E$4&lt;1,$E$4&gt;400),"参考年待填",IF(OR(E281="",F281="",G281=""),"年代待核",IF($E$4&lt;E281,"未出生",IF($E$4&lt;F281,"未登场",IF($E$4&gt;G281,"已过卒年",IF($E$4=G281,"卒年边界待核","年表可登场"))))))</x:f>
        <x:v>年表可登场</x:v>
      </x:c>
      <x:c r="I281" s="12"/>
      <x:c r="J281" s="2" t="str">
        <x:v>SAN14游戏设定</x:v>
      </x:c>
      <x:c r="K281" s="2" t="str"/>
      <x:c r="L281" s="2" t="str">
        <x:v>高堂隆</x:v>
      </x:c>
      <x:c r="M281" s="2" t="str">
        <x:v>san14-candidate-0273</x:v>
      </x:c>
      <x:c r="N281" s="2" t="str">
        <x:v>高堂隆</x:v>
      </x:c>
      <x:c r="O281" s="2" t="str">
        <x:v>コウドウリュウ</x:v>
      </x:c>
    </x:row>
    <x:row r="282" ht="23" customHeight="1">
      <x:c r="A282" s="13" t="n">
        <x:v>274</x:v>
      </x:c>
      <x:c r="B282" s="2" t="str">
        <x:v>高沛</x:v>
      </x:c>
      <x:c r="C282" s="2" t="str">
        <x:v>高沛</x:v>
      </x:c>
      <x:c r="D282" s="2" t="str"/>
      <x:c r="E282" s="13" t="n">
        <x:v>170</x:v>
      </x:c>
      <x:c r="F282" s="13" t="n">
        <x:v>189</x:v>
      </x:c>
      <x:c r="G282" s="13" t="n">
        <x:v>212</x:v>
      </x:c>
      <x:c r="H282" s="2" t="str">
        <x:f>IF(OR($E$4="",NOT(ISNUMBER($E$4)),$E$4&lt;1,$E$4&gt;400),"参考年待填",IF(OR(E282="",F282="",G282=""),"年代待核",IF($E$4&lt;E282,"未出生",IF($E$4&lt;F282,"未登场",IF($E$4&gt;G282,"已过卒年",IF($E$4=G282,"卒年边界待核","年表可登场"))))))</x:f>
        <x:v>已过卒年</x:v>
      </x:c>
      <x:c r="I282" s="12"/>
      <x:c r="J282" s="2" t="str">
        <x:v>SAN14游戏设定</x:v>
      </x:c>
      <x:c r="K282" s="2" t="str"/>
      <x:c r="L282" s="2" t="str">
        <x:v>高沛</x:v>
      </x:c>
      <x:c r="M282" s="2" t="str">
        <x:v>san14-candidate-0274</x:v>
      </x:c>
      <x:c r="N282" s="2" t="str">
        <x:v>高沛</x:v>
      </x:c>
      <x:c r="O282" s="2" t="str">
        <x:v>コウハイ</x:v>
      </x:c>
    </x:row>
    <x:row r="283" ht="23" customHeight="1">
      <x:c r="A283" s="13" t="n">
        <x:v>275</x:v>
      </x:c>
      <x:c r="B283" s="2" t="str">
        <x:v>高蕃</x:v>
      </x:c>
      <x:c r="C283" s="2" t="str">
        <x:v>高蕃</x:v>
      </x:c>
      <x:c r="D283" s="2" t="str"/>
      <x:c r="E283" s="13" t="n">
        <x:v>167</x:v>
      </x:c>
      <x:c r="F283" s="13" t="n">
        <x:v>186</x:v>
      </x:c>
      <x:c r="G283" s="13" t="n">
        <x:v>202</x:v>
      </x:c>
      <x:c r="H283" s="2" t="str">
        <x:f>IF(OR($E$4="",NOT(ISNUMBER($E$4)),$E$4&lt;1,$E$4&gt;400),"参考年待填",IF(OR(E283="",F283="",G283=""),"年代待核",IF($E$4&lt;E283,"未出生",IF($E$4&lt;F283,"未登场",IF($E$4&gt;G283,"已过卒年",IF($E$4=G283,"卒年边界待核","年表可登场"))))))</x:f>
        <x:v>已过卒年</x:v>
      </x:c>
      <x:c r="I283" s="12"/>
      <x:c r="J283" s="2" t="str">
        <x:v>SAN14游戏设定</x:v>
      </x:c>
      <x:c r="K283" s="2" t="str"/>
      <x:c r="L283" s="2" t="str">
        <x:v>高蕃</x:v>
      </x:c>
      <x:c r="M283" s="2" t="str">
        <x:v>san14-candidate-0275</x:v>
      </x:c>
      <x:c r="N283" s="2" t="str">
        <x:v>高蕃</x:v>
      </x:c>
      <x:c r="O283" s="2" t="str">
        <x:v>コウバン</x:v>
      </x:c>
    </x:row>
    <x:row r="284" ht="23" customHeight="1">
      <x:c r="A284" s="13" t="n">
        <x:v>276</x:v>
      </x:c>
      <x:c r="B284" s="2" t="str">
        <x:v>句扶</x:v>
      </x:c>
      <x:c r="C284" s="2" t="str">
        <x:v>句扶</x:v>
      </x:c>
      <x:c r="D284" s="2" t="str"/>
      <x:c r="E284" s="13" t="n">
        <x:v>195</x:v>
      </x:c>
      <x:c r="F284" s="13" t="n">
        <x:v>219</x:v>
      </x:c>
      <x:c r="G284" s="13" t="n">
        <x:v>252</x:v>
      </x:c>
      <x:c r="H284" s="2" t="str">
        <x:f>IF(OR($E$4="",NOT(ISNUMBER($E$4)),$E$4&lt;1,$E$4&gt;400),"参考年待填",IF(OR(E284="",F284="",G284=""),"年代待核",IF($E$4&lt;E284,"未出生",IF($E$4&lt;F284,"未登场",IF($E$4&gt;G284,"已过卒年",IF($E$4=G284,"卒年边界待核","年表可登场"))))))</x:f>
        <x:v>年表可登场</x:v>
      </x:c>
      <x:c r="I284" s="12"/>
      <x:c r="J284" s="2" t="str">
        <x:v>SAN14游戏设定</x:v>
      </x:c>
      <x:c r="K284" s="2" t="str"/>
      <x:c r="L284" s="2" t="str">
        <x:v>句扶</x:v>
      </x:c>
      <x:c r="M284" s="2" t="str">
        <x:v>san14-candidate-0276</x:v>
      </x:c>
      <x:c r="N284" s="2" t="str">
        <x:v>句扶</x:v>
      </x:c>
      <x:c r="O284" s="2" t="str">
        <x:v>コウフ</x:v>
      </x:c>
    </x:row>
    <x:row r="285" ht="23" customHeight="1">
      <x:c r="A285" s="13" t="n">
        <x:v>277</x:v>
      </x:c>
      <x:c r="B285" s="2" t="str">
        <x:v>耿武</x:v>
      </x:c>
      <x:c r="C285" s="2" t="str">
        <x:v>耿武</x:v>
      </x:c>
      <x:c r="D285" s="2" t="str"/>
      <x:c r="E285" s="13" t="n">
        <x:v>154</x:v>
      </x:c>
      <x:c r="F285" s="13" t="n">
        <x:v>184</x:v>
      </x:c>
      <x:c r="G285" s="13" t="n">
        <x:v>191</x:v>
      </x:c>
      <x:c r="H285" s="2" t="str">
        <x:f>IF(OR($E$4="",NOT(ISNUMBER($E$4)),$E$4&lt;1,$E$4&gt;400),"参考年待填",IF(OR(E285="",F285="",G285=""),"年代待核",IF($E$4&lt;E285,"未出生",IF($E$4&lt;F285,"未登场",IF($E$4&gt;G285,"已过卒年",IF($E$4=G285,"卒年边界待核","年表可登场"))))))</x:f>
        <x:v>已过卒年</x:v>
      </x:c>
      <x:c r="I285" s="12"/>
      <x:c r="J285" s="2" t="str">
        <x:v>SAN14游戏设定</x:v>
      </x:c>
      <x:c r="K285" s="2" t="str"/>
      <x:c r="L285" s="2" t="str">
        <x:v>耿武</x:v>
      </x:c>
      <x:c r="M285" s="2" t="str">
        <x:v>san14-candidate-0277</x:v>
      </x:c>
      <x:c r="N285" s="2" t="str">
        <x:v>耿武</x:v>
      </x:c>
      <x:c r="O285" s="2" t="str">
        <x:v>コウブ</x:v>
      </x:c>
    </x:row>
    <x:row r="286" ht="23" customHeight="1">
      <x:c r="A286" s="13" t="n">
        <x:v>278</x:v>
      </x:c>
      <x:c r="B286" s="2" t="str">
        <x:v>皇甫闿</x:v>
      </x:c>
      <x:c r="C286" s="2" t="str">
        <x:v>皇甫闓</x:v>
      </x:c>
      <x:c r="D286" s="2" t="str"/>
      <x:c r="E286" s="13" t="n">
        <x:v>222</x:v>
      </x:c>
      <x:c r="F286" s="13" t="n">
        <x:v>241</x:v>
      </x:c>
      <x:c r="G286" s="13" t="n">
        <x:v>272</x:v>
      </x:c>
      <x:c r="H286" s="2" t="str">
        <x:f>IF(OR($E$4="",NOT(ISNUMBER($E$4)),$E$4&lt;1,$E$4&gt;400),"参考年待填",IF(OR(E286="",F286="",G286=""),"年代待核",IF($E$4&lt;E286,"未出生",IF($E$4&lt;F286,"未登场",IF($E$4&gt;G286,"已过卒年",IF($E$4=G286,"卒年边界待核","年表可登场"))))))</x:f>
        <x:v>未登场</x:v>
      </x:c>
      <x:c r="I286" s="12"/>
      <x:c r="J286" s="2" t="str">
        <x:v>SAN14游戏设定</x:v>
      </x:c>
      <x:c r="K286" s="2" t="str"/>
      <x:c r="L286" s="2" t="str">
        <x:v>皇甫闓</x:v>
      </x:c>
      <x:c r="M286" s="2" t="str">
        <x:v>san14-candidate-0278</x:v>
      </x:c>
      <x:c r="N286" s="2" t="str">
        <x:v>皇甫ガイ</x:v>
      </x:c>
      <x:c r="O286" s="2" t="str">
        <x:v>コウホガイ</x:v>
      </x:c>
    </x:row>
    <x:row r="287" ht="23" customHeight="1">
      <x:c r="A287" s="13" t="n">
        <x:v>279</x:v>
      </x:c>
      <x:c r="B287" s="2" t="str">
        <x:v>皇甫嵩</x:v>
      </x:c>
      <x:c r="C287" s="2" t="str">
        <x:v>皇甫嵩</x:v>
      </x:c>
      <x:c r="D287" s="2" t="str"/>
      <x:c r="E287" s="13" t="n">
        <x:v>132</x:v>
      </x:c>
      <x:c r="F287" s="13" t="n">
        <x:v>184</x:v>
      </x:c>
      <x:c r="G287" s="13" t="n">
        <x:v>195</x:v>
      </x:c>
      <x:c r="H287" s="2" t="str">
        <x:f>IF(OR($E$4="",NOT(ISNUMBER($E$4)),$E$4&lt;1,$E$4&gt;400),"参考年待填",IF(OR(E287="",F287="",G287=""),"年代待核",IF($E$4&lt;E287,"未出生",IF($E$4&lt;F287,"未登场",IF($E$4&gt;G287,"已过卒年",IF($E$4=G287,"卒年边界待核","年表可登场"))))))</x:f>
        <x:v>已过卒年</x:v>
      </x:c>
      <x:c r="I287" s="12"/>
      <x:c r="J287" s="2" t="str">
        <x:v>SAN14游戏设定</x:v>
      </x:c>
      <x:c r="K287" s="2" t="str"/>
      <x:c r="L287" s="2" t="str">
        <x:v>皇甫嵩</x:v>
      </x:c>
      <x:c r="M287" s="2" t="str">
        <x:v>san14-candidate-0279</x:v>
      </x:c>
      <x:c r="N287" s="2" t="str">
        <x:v>皇甫嵩</x:v>
      </x:c>
      <x:c r="O287" s="2" t="str">
        <x:v>コウホスウ</x:v>
      </x:c>
    </x:row>
    <x:row r="288" ht="23" customHeight="1">
      <x:c r="A288" s="13" t="n">
        <x:v>280</x:v>
      </x:c>
      <x:c r="B288" s="2" t="str">
        <x:v>孔融</x:v>
      </x:c>
      <x:c r="C288" s="2" t="str">
        <x:v>孔融</x:v>
      </x:c>
      <x:c r="D288" s="2" t="str"/>
      <x:c r="E288" s="13" t="n">
        <x:v>153</x:v>
      </x:c>
      <x:c r="F288" s="13" t="n">
        <x:v>184</x:v>
      </x:c>
      <x:c r="G288" s="13" t="n">
        <x:v>208</x:v>
      </x:c>
      <x:c r="H288" s="2" t="str">
        <x:f>IF(OR($E$4="",NOT(ISNUMBER($E$4)),$E$4&lt;1,$E$4&gt;400),"参考年待填",IF(OR(E288="",F288="",G288=""),"年代待核",IF($E$4&lt;E288,"未出生",IF($E$4&lt;F288,"未登场",IF($E$4&gt;G288,"已过卒年",IF($E$4=G288,"卒年边界待核","年表可登场"))))))</x:f>
        <x:v>已过卒年</x:v>
      </x:c>
      <x:c r="I288" s="12"/>
      <x:c r="J288" s="2" t="str">
        <x:v>SAN14游戏设定</x:v>
      </x:c>
      <x:c r="K288" s="2" t="str"/>
      <x:c r="L288" s="2" t="str">
        <x:v>孔融</x:v>
      </x:c>
      <x:c r="M288" s="2" t="str">
        <x:v>san14-candidate-0280</x:v>
      </x:c>
      <x:c r="N288" s="2" t="str">
        <x:v>孔融</x:v>
      </x:c>
      <x:c r="O288" s="2" t="str">
        <x:v>コウユウ</x:v>
      </x:c>
    </x:row>
    <x:row r="289" ht="23" customHeight="1">
      <x:c r="A289" s="13" t="n">
        <x:v>281</x:v>
      </x:c>
      <x:c r="B289" s="2" t="str">
        <x:v>高览</x:v>
      </x:c>
      <x:c r="C289" s="2" t="str">
        <x:v>高覽</x:v>
      </x:c>
      <x:c r="D289" s="2" t="str"/>
      <x:c r="E289" s="13" t="n">
        <x:v>159</x:v>
      </x:c>
      <x:c r="F289" s="13" t="n">
        <x:v>184</x:v>
      </x:c>
      <x:c r="G289" s="13" t="n">
        <x:v>201</x:v>
      </x:c>
      <x:c r="H289" s="2" t="str">
        <x:f>IF(OR($E$4="",NOT(ISNUMBER($E$4)),$E$4&lt;1,$E$4&gt;400),"参考年待填",IF(OR(E289="",F289="",G289=""),"年代待核",IF($E$4&lt;E289,"未出生",IF($E$4&lt;F289,"未登场",IF($E$4&gt;G289,"已过卒年",IF($E$4=G289,"卒年边界待核","年表可登场"))))))</x:f>
        <x:v>已过卒年</x:v>
      </x:c>
      <x:c r="I289" s="12"/>
      <x:c r="J289" s="2" t="str">
        <x:v>SAN14游戏设定</x:v>
      </x:c>
      <x:c r="K289" s="2" t="str"/>
      <x:c r="L289" s="2" t="str">
        <x:v>高覽</x:v>
      </x:c>
      <x:c r="M289" s="2" t="str">
        <x:v>san14-candidate-0281</x:v>
      </x:c>
      <x:c r="N289" s="2" t="str">
        <x:v>高覧</x:v>
      </x:c>
      <x:c r="O289" s="2" t="str">
        <x:v>コウラン</x:v>
      </x:c>
    </x:row>
    <x:row r="290" ht="23" customHeight="1">
      <x:c r="A290" s="13" t="n">
        <x:v>282</x:v>
      </x:c>
      <x:c r="B290" s="2" t="str">
        <x:v>黄乱</x:v>
      </x:c>
      <x:c r="C290" s="2" t="str">
        <x:v>黃亂</x:v>
      </x:c>
      <x:c r="D290" s="2" t="str"/>
      <x:c r="E290" s="13" t="n">
        <x:v>200</x:v>
      </x:c>
      <x:c r="F290" s="13" t="n">
        <x:v>219</x:v>
      </x:c>
      <x:c r="G290" s="13" t="n">
        <x:v>264</x:v>
      </x:c>
      <x:c r="H290" s="2" t="str">
        <x:f>IF(OR($E$4="",NOT(ISNUMBER($E$4)),$E$4&lt;1,$E$4&gt;400),"参考年待填",IF(OR(E290="",F290="",G290=""),"年代待核",IF($E$4&lt;E290,"未出生",IF($E$4&lt;F290,"未登场",IF($E$4&gt;G290,"已过卒年",IF($E$4=G290,"卒年边界待核","年表可登场"))))))</x:f>
        <x:v>年表可登场</x:v>
      </x:c>
      <x:c r="I290" s="12"/>
      <x:c r="J290" s="2" t="str">
        <x:v>SAN14游戏设定</x:v>
      </x:c>
      <x:c r="K290" s="2" t="str"/>
      <x:c r="L290" s="2" t="str">
        <x:v>黃亂</x:v>
      </x:c>
      <x:c r="M290" s="2" t="str">
        <x:v>san14-candidate-0282</x:v>
      </x:c>
      <x:c r="N290" s="2" t="str">
        <x:v>黄乱</x:v>
      </x:c>
      <x:c r="O290" s="2" t="str">
        <x:v>コウラン</x:v>
      </x:c>
    </x:row>
    <x:row r="291" ht="23" customHeight="1">
      <x:c r="A291" s="13" t="n">
        <x:v>283</x:v>
      </x:c>
      <x:c r="B291" s="2" t="str">
        <x:v>胡渊</x:v>
      </x:c>
      <x:c r="C291" s="2" t="str">
        <x:v>胡淵</x:v>
      </x:c>
      <x:c r="D291" s="2" t="str"/>
      <x:c r="E291" s="13" t="n">
        <x:v>247</x:v>
      </x:c>
      <x:c r="F291" s="13" t="n">
        <x:v>261</x:v>
      </x:c>
      <x:c r="G291" s="13" t="n">
        <x:v>301</x:v>
      </x:c>
      <x:c r="H291" s="2" t="str">
        <x:f>IF(OR($E$4="",NOT(ISNUMBER($E$4)),$E$4&lt;1,$E$4&gt;400),"参考年待填",IF(OR(E291="",F291="",G291=""),"年代待核",IF($E$4&lt;E291,"未出生",IF($E$4&lt;F291,"未登场",IF($E$4&gt;G291,"已过卒年",IF($E$4=G291,"卒年边界待核","年表可登场"))))))</x:f>
        <x:v>未出生</x:v>
      </x:c>
      <x:c r="I291" s="12"/>
      <x:c r="J291" s="2" t="str">
        <x:v>SAN14游戏设定</x:v>
      </x:c>
      <x:c r="K291" s="2" t="str"/>
      <x:c r="L291" s="2" t="str">
        <x:v>胡淵</x:v>
      </x:c>
      <x:c r="M291" s="2" t="str">
        <x:v>san14-candidate-0283</x:v>
      </x:c>
      <x:c r="N291" s="2" t="str">
        <x:v>胡淵</x:v>
      </x:c>
      <x:c r="O291" s="2" t="str">
        <x:v>コエン</x:v>
      </x:c>
    </x:row>
    <x:row r="292" ht="23" customHeight="1">
      <x:c r="A292" s="13" t="n">
        <x:v>284</x:v>
      </x:c>
      <x:c r="B292" s="2" t="str">
        <x:v>伍延</x:v>
      </x:c>
      <x:c r="C292" s="2" t="str">
        <x:v>伍延</x:v>
      </x:c>
      <x:c r="D292" s="2" t="str"/>
      <x:c r="E292" s="13" t="n">
        <x:v>234</x:v>
      </x:c>
      <x:c r="F292" s="13" t="n">
        <x:v>253</x:v>
      </x:c>
      <x:c r="G292" s="13" t="n">
        <x:v>280</x:v>
      </x:c>
      <x:c r="H292" s="2" t="str">
        <x:f>IF(OR($E$4="",NOT(ISNUMBER($E$4)),$E$4&lt;1,$E$4&gt;400),"参考年待填",IF(OR(E292="",F292="",G292=""),"年代待核",IF($E$4&lt;E292,"未出生",IF($E$4&lt;F292,"未登场",IF($E$4&gt;G292,"已过卒年",IF($E$4=G292,"卒年边界待核","年表可登场"))))))</x:f>
        <x:v>未出生</x:v>
      </x:c>
      <x:c r="I292" s="12"/>
      <x:c r="J292" s="2" t="str">
        <x:v>SAN14游戏设定</x:v>
      </x:c>
      <x:c r="K292" s="2" t="str"/>
      <x:c r="L292" s="2" t="str">
        <x:v>伍延</x:v>
      </x:c>
      <x:c r="M292" s="2" t="str">
        <x:v>san14-candidate-0284</x:v>
      </x:c>
      <x:c r="N292" s="2" t="str">
        <x:v>伍延</x:v>
      </x:c>
      <x:c r="O292" s="2" t="str">
        <x:v>ゴエン</x:v>
      </x:c>
    </x:row>
    <x:row r="293" ht="23" customHeight="1">
      <x:c r="A293" s="13" t="n">
        <x:v>285</x:v>
      </x:c>
      <x:c r="B293" s="2" t="str">
        <x:v>吴巨</x:v>
      </x:c>
      <x:c r="C293" s="2" t="str">
        <x:v>吳巨</x:v>
      </x:c>
      <x:c r="D293" s="2" t="str"/>
      <x:c r="E293" s="13" t="n">
        <x:v>151</x:v>
      </x:c>
      <x:c r="F293" s="13" t="n">
        <x:v>184</x:v>
      </x:c>
      <x:c r="G293" s="13" t="n">
        <x:v>211</x:v>
      </x:c>
      <x:c r="H293" s="2" t="str">
        <x:f>IF(OR($E$4="",NOT(ISNUMBER($E$4)),$E$4&lt;1,$E$4&gt;400),"参考年待填",IF(OR(E293="",F293="",G293=""),"年代待核",IF($E$4&lt;E293,"未出生",IF($E$4&lt;F293,"未登场",IF($E$4&gt;G293,"已过卒年",IF($E$4=G293,"卒年边界待核","年表可登场"))))))</x:f>
        <x:v>已过卒年</x:v>
      </x:c>
      <x:c r="I293" s="12"/>
      <x:c r="J293" s="2" t="str">
        <x:v>SAN14游戏设定</x:v>
      </x:c>
      <x:c r="K293" s="2" t="str"/>
      <x:c r="L293" s="2" t="str">
        <x:v>吳巨</x:v>
      </x:c>
      <x:c r="M293" s="2" t="str">
        <x:v>san14-candidate-0285</x:v>
      </x:c>
      <x:c r="N293" s="2" t="str">
        <x:v>呉巨</x:v>
      </x:c>
      <x:c r="O293" s="2" t="str">
        <x:v>ゴキョ</x:v>
      </x:c>
    </x:row>
    <x:row r="294" ht="23" customHeight="1">
      <x:c r="A294" s="13" t="n">
        <x:v>286</x:v>
      </x:c>
      <x:c r="B294" s="2" t="str">
        <x:v>吴匡</x:v>
      </x:c>
      <x:c r="C294" s="2" t="str">
        <x:v>吳匡</x:v>
      </x:c>
      <x:c r="D294" s="2" t="str"/>
      <x:c r="E294" s="13" t="n">
        <x:v>144</x:v>
      </x:c>
      <x:c r="F294" s="13" t="n">
        <x:v>184</x:v>
      </x:c>
      <x:c r="G294" s="13" t="n">
        <x:v>192</x:v>
      </x:c>
      <x:c r="H294" s="2" t="str">
        <x:f>IF(OR($E$4="",NOT(ISNUMBER($E$4)),$E$4&lt;1,$E$4&gt;400),"参考年待填",IF(OR(E294="",F294="",G294=""),"年代待核",IF($E$4&lt;E294,"未出生",IF($E$4&lt;F294,"未登场",IF($E$4&gt;G294,"已过卒年",IF($E$4=G294,"卒年边界待核","年表可登场"))))))</x:f>
        <x:v>已过卒年</x:v>
      </x:c>
      <x:c r="I294" s="12"/>
      <x:c r="J294" s="2" t="str">
        <x:v>SAN14游戏设定</x:v>
      </x:c>
      <x:c r="K294" s="2" t="str"/>
      <x:c r="L294" s="2" t="str">
        <x:v>吳匡</x:v>
      </x:c>
      <x:c r="M294" s="2" t="str">
        <x:v>san14-candidate-0286</x:v>
      </x:c>
      <x:c r="N294" s="2" t="str">
        <x:v>呉匡</x:v>
      </x:c>
      <x:c r="O294" s="2" t="str">
        <x:v>ゴキョウ</x:v>
      </x:c>
    </x:row>
    <x:row r="295" ht="23" customHeight="1">
      <x:c r="A295" s="13" t="n">
        <x:v>287</x:v>
      </x:c>
      <x:c r="B295" s="2" t="str">
        <x:v>国渊</x:v>
      </x:c>
      <x:c r="C295" s="2" t="str">
        <x:v>國淵</x:v>
      </x:c>
      <x:c r="D295" s="2" t="str"/>
      <x:c r="E295" s="13" t="n">
        <x:v>160</x:v>
      </x:c>
      <x:c r="F295" s="13" t="n">
        <x:v>184</x:v>
      </x:c>
      <x:c r="G295" s="13" t="n">
        <x:v>219</x:v>
      </x:c>
      <x:c r="H295" s="2" t="str">
        <x:f>IF(OR($E$4="",NOT(ISNUMBER($E$4)),$E$4&lt;1,$E$4&gt;400),"参考年待填",IF(OR(E295="",F295="",G295=""),"年代待核",IF($E$4&lt;E295,"未出生",IF($E$4&lt;F295,"未登场",IF($E$4&gt;G295,"已过卒年",IF($E$4=G295,"卒年边界待核","年表可登场"))))))</x:f>
        <x:v>已过卒年</x:v>
      </x:c>
      <x:c r="I295" s="12"/>
      <x:c r="J295" s="2" t="str">
        <x:v>SAN14游戏设定</x:v>
      </x:c>
      <x:c r="K295" s="2" t="str"/>
      <x:c r="L295" s="2" t="str">
        <x:v>國淵</x:v>
      </x:c>
      <x:c r="M295" s="2" t="str">
        <x:v>san14-candidate-0287</x:v>
      </x:c>
      <x:c r="N295" s="2" t="str">
        <x:v>国淵</x:v>
      </x:c>
      <x:c r="O295" s="2" t="str">
        <x:v>コクエン</x:v>
      </x:c>
    </x:row>
    <x:row r="296" ht="23" customHeight="1">
      <x:c r="A296" s="13" t="n">
        <x:v>288</x:v>
      </x:c>
      <x:c r="B296" s="2" t="str">
        <x:v>谷利</x:v>
      </x:c>
      <x:c r="C296" s="2" t="str">
        <x:v>谷利</x:v>
      </x:c>
      <x:c r="D296" s="2" t="str"/>
      <x:c r="E296" s="13" t="n">
        <x:v>191</x:v>
      </x:c>
      <x:c r="F296" s="13" t="n">
        <x:v>205</x:v>
      </x:c>
      <x:c r="G296" s="13" t="n">
        <x:v>233</x:v>
      </x:c>
      <x:c r="H296" s="2" t="str">
        <x:f>IF(OR($E$4="",NOT(ISNUMBER($E$4)),$E$4&lt;1,$E$4&gt;400),"参考年待填",IF(OR(E296="",F296="",G296=""),"年代待核",IF($E$4&lt;E296,"未出生",IF($E$4&lt;F296,"未登场",IF($E$4&gt;G296,"已过卒年",IF($E$4=G296,"卒年边界待核","年表可登场"))))))</x:f>
        <x:v>年表可登场</x:v>
      </x:c>
      <x:c r="I296" s="12"/>
      <x:c r="J296" s="2" t="str">
        <x:v>SAN14游戏设定</x:v>
      </x:c>
      <x:c r="K296" s="2" t="str"/>
      <x:c r="L296" s="2" t="str">
        <x:v>谷利</x:v>
      </x:c>
      <x:c r="M296" s="2" t="str">
        <x:v>san14-candidate-0288</x:v>
      </x:c>
      <x:c r="N296" s="2" t="str">
        <x:v>谷利</x:v>
      </x:c>
      <x:c r="O296" s="2" t="str">
        <x:v>コクリ</x:v>
      </x:c>
    </x:row>
    <x:row r="297" ht="23" customHeight="1">
      <x:c r="A297" s="13" t="n">
        <x:v>289</x:v>
      </x:c>
      <x:c r="B297" s="2" t="str">
        <x:v>吴景</x:v>
      </x:c>
      <x:c r="C297" s="2" t="str">
        <x:v>吳景</x:v>
      </x:c>
      <x:c r="D297" s="2" t="str"/>
      <x:c r="E297" s="13" t="n">
        <x:v>159</x:v>
      </x:c>
      <x:c r="F297" s="13" t="n">
        <x:v>184</x:v>
      </x:c>
      <x:c r="G297" s="13" t="n">
        <x:v>203</x:v>
      </x:c>
      <x:c r="H297" s="2" t="str">
        <x:f>IF(OR($E$4="",NOT(ISNUMBER($E$4)),$E$4&lt;1,$E$4&gt;400),"参考年待填",IF(OR(E297="",F297="",G297=""),"年代待核",IF($E$4&lt;E297,"未出生",IF($E$4&lt;F297,"未登场",IF($E$4&gt;G297,"已过卒年",IF($E$4=G297,"卒年边界待核","年表可登场"))))))</x:f>
        <x:v>已过卒年</x:v>
      </x:c>
      <x:c r="I297" s="12"/>
      <x:c r="J297" s="2" t="str">
        <x:v>SAN14游戏设定</x:v>
      </x:c>
      <x:c r="K297" s="2" t="str"/>
      <x:c r="L297" s="2" t="str">
        <x:v>吳景</x:v>
      </x:c>
      <x:c r="M297" s="2" t="str">
        <x:v>san14-candidate-0289</x:v>
      </x:c>
      <x:c r="N297" s="2" t="str">
        <x:v>呉景</x:v>
      </x:c>
      <x:c r="O297" s="2" t="str">
        <x:v>ゴケイ</x:v>
      </x:c>
    </x:row>
    <x:row r="298" ht="23" customHeight="1">
      <x:c r="A298" s="13" t="n">
        <x:v>290</x:v>
      </x:c>
      <x:c r="B298" s="2" t="str">
        <x:v>吾彦</x:v>
      </x:c>
      <x:c r="C298" s="2" t="str">
        <x:v>吾彥</x:v>
      </x:c>
      <x:c r="D298" s="2" t="str"/>
      <x:c r="E298" s="13" t="n">
        <x:v>235</x:v>
      </x:c>
      <x:c r="F298" s="13" t="n">
        <x:v>253</x:v>
      </x:c>
      <x:c r="G298" s="13" t="n">
        <x:v>297</x:v>
      </x:c>
      <x:c r="H298" s="2" t="str">
        <x:f>IF(OR($E$4="",NOT(ISNUMBER($E$4)),$E$4&lt;1,$E$4&gt;400),"参考年待填",IF(OR(E298="",F298="",G298=""),"年代待核",IF($E$4&lt;E298,"未出生",IF($E$4&lt;F298,"未登场",IF($E$4&gt;G298,"已过卒年",IF($E$4=G298,"卒年边界待核","年表可登场"))))))</x:f>
        <x:v>未出生</x:v>
      </x:c>
      <x:c r="I298" s="12"/>
      <x:c r="J298" s="2" t="str">
        <x:v>SAN14游戏设定</x:v>
      </x:c>
      <x:c r="K298" s="2" t="str"/>
      <x:c r="L298" s="2" t="str">
        <x:v>吾彥</x:v>
      </x:c>
      <x:c r="M298" s="2" t="str">
        <x:v>san14-candidate-0290</x:v>
      </x:c>
      <x:c r="N298" s="2" t="str">
        <x:v>吾彦</x:v>
      </x:c>
      <x:c r="O298" s="2" t="str">
        <x:v>ゴゲン</x:v>
      </x:c>
    </x:row>
    <x:row r="299" ht="23" customHeight="1">
      <x:c r="A299" s="13" t="n">
        <x:v>291</x:v>
      </x:c>
      <x:c r="B299" s="2" t="str">
        <x:v>吴纲</x:v>
      </x:c>
      <x:c r="C299" s="2" t="str">
        <x:v>吳綱</x:v>
      </x:c>
      <x:c r="D299" s="2" t="str"/>
      <x:c r="E299" s="13" t="n">
        <x:v>216</x:v>
      </x:c>
      <x:c r="F299" s="13" t="n">
        <x:v>235</x:v>
      </x:c>
      <x:c r="G299" s="13" t="n">
        <x:v>275</x:v>
      </x:c>
      <x:c r="H299" s="2" t="str">
        <x:f>IF(OR($E$4="",NOT(ISNUMBER($E$4)),$E$4&lt;1,$E$4&gt;400),"参考年待填",IF(OR(E299="",F299="",G299=""),"年代待核",IF($E$4&lt;E299,"未出生",IF($E$4&lt;F299,"未登场",IF($E$4&gt;G299,"已过卒年",IF($E$4=G299,"卒年边界待核","年表可登场"))))))</x:f>
        <x:v>未登场</x:v>
      </x:c>
      <x:c r="I299" s="12"/>
      <x:c r="J299" s="2" t="str">
        <x:v>SAN14游戏设定</x:v>
      </x:c>
      <x:c r="K299" s="2" t="str"/>
      <x:c r="L299" s="2" t="str">
        <x:v>吳綱</x:v>
      </x:c>
      <x:c r="M299" s="2" t="str">
        <x:v>san14-candidate-0291</x:v>
      </x:c>
      <x:c r="N299" s="2" t="str">
        <x:v>呉綱</x:v>
      </x:c>
      <x:c r="O299" s="2" t="str">
        <x:v>ゴコウ</x:v>
      </x:c>
    </x:row>
    <x:row r="300" ht="23" customHeight="1">
      <x:c r="A300" s="13" t="n">
        <x:v>292</x:v>
      </x:c>
      <x:c r="B300" s="2" t="str">
        <x:v>吴国太</x:v>
      </x:c>
      <x:c r="C300" s="2" t="str">
        <x:v>吳國太</x:v>
      </x:c>
      <x:c r="D300" s="2" t="str"/>
      <x:c r="E300" s="13" t="n">
        <x:v>161</x:v>
      </x:c>
      <x:c r="F300" s="13" t="n">
        <x:v>184</x:v>
      </x:c>
      <x:c r="G300" s="13" t="n">
        <x:v>216</x:v>
      </x:c>
      <x:c r="H300" s="2" t="str">
        <x:f>IF(OR($E$4="",NOT(ISNUMBER($E$4)),$E$4&lt;1,$E$4&gt;400),"参考年待填",IF(OR(E300="",F300="",G300=""),"年代待核",IF($E$4&lt;E300,"未出生",IF($E$4&lt;F300,"未登场",IF($E$4&gt;G300,"已过卒年",IF($E$4=G300,"卒年边界待核","年表可登场"))))))</x:f>
        <x:v>已过卒年</x:v>
      </x:c>
      <x:c r="I300" s="12"/>
      <x:c r="J300" s="2" t="str">
        <x:v>SAN14游戏设定</x:v>
      </x:c>
      <x:c r="K300" s="2" t="str"/>
      <x:c r="L300" s="2" t="str">
        <x:v>吳國太</x:v>
      </x:c>
      <x:c r="M300" s="2" t="str">
        <x:v>san14-candidate-0292</x:v>
      </x:c>
      <x:c r="N300" s="2" t="str">
        <x:v>呉国太</x:v>
      </x:c>
      <x:c r="O300" s="2" t="str">
        <x:v>ゴコクタイ</x:v>
      </x:c>
    </x:row>
    <x:row r="301" ht="23" customHeight="1">
      <x:c r="A301" s="13" t="n">
        <x:v>293</x:v>
      </x:c>
      <x:c r="B301" s="2" t="str">
        <x:v>吾粲</x:v>
      </x:c>
      <x:c r="C301" s="2" t="str">
        <x:v>吾粲</x:v>
      </x:c>
      <x:c r="D301" s="2" t="str"/>
      <x:c r="E301" s="13" t="n">
        <x:v>181</x:v>
      </x:c>
      <x:c r="F301" s="13" t="n">
        <x:v>206</x:v>
      </x:c>
      <x:c r="G301" s="13" t="n">
        <x:v>245</x:v>
      </x:c>
      <x:c r="H301" s="2" t="str">
        <x:f>IF(OR($E$4="",NOT(ISNUMBER($E$4)),$E$4&lt;1,$E$4&gt;400),"参考年待填",IF(OR(E301="",F301="",G301=""),"年代待核",IF($E$4&lt;E301,"未出生",IF($E$4&lt;F301,"未登场",IF($E$4&gt;G301,"已过卒年",IF($E$4=G301,"卒年边界待核","年表可登场"))))))</x:f>
        <x:v>年表可登场</x:v>
      </x:c>
      <x:c r="I301" s="12"/>
      <x:c r="J301" s="2" t="str">
        <x:v>SAN14游戏设定</x:v>
      </x:c>
      <x:c r="K301" s="2" t="str"/>
      <x:c r="L301" s="2" t="str">
        <x:v>吾粲</x:v>
      </x:c>
      <x:c r="M301" s="2" t="str">
        <x:v>san14-candidate-0293</x:v>
      </x:c>
      <x:c r="N301" s="2" t="str">
        <x:v>吾粲</x:v>
      </x:c>
      <x:c r="O301" s="2" t="str">
        <x:v>ゴサン</x:v>
      </x:c>
    </x:row>
    <x:row r="302" ht="23" customHeight="1">
      <x:c r="A302" s="13" t="n">
        <x:v>294</x:v>
      </x:c>
      <x:c r="B302" s="2" t="str">
        <x:v>胡质</x:v>
      </x:c>
      <x:c r="C302" s="2" t="str">
        <x:v>胡質</x:v>
      </x:c>
      <x:c r="D302" s="2" t="str"/>
      <x:c r="E302" s="13" t="n">
        <x:v>192</x:v>
      </x:c>
      <x:c r="F302" s="13" t="n">
        <x:v>214</x:v>
      </x:c>
      <x:c r="G302" s="13" t="n">
        <x:v>250</x:v>
      </x:c>
      <x:c r="H302" s="2" t="str">
        <x:f>IF(OR($E$4="",NOT(ISNUMBER($E$4)),$E$4&lt;1,$E$4&gt;400),"参考年待填",IF(OR(E302="",F302="",G302=""),"年代待核",IF($E$4&lt;E302,"未出生",IF($E$4&lt;F302,"未登场",IF($E$4&gt;G302,"已过卒年",IF($E$4=G302,"卒年边界待核","年表可登场"))))))</x:f>
        <x:v>年表可登场</x:v>
      </x:c>
      <x:c r="I302" s="12"/>
      <x:c r="J302" s="2" t="str">
        <x:v>SAN14游戏设定</x:v>
      </x:c>
      <x:c r="K302" s="2" t="str"/>
      <x:c r="L302" s="2" t="str">
        <x:v>胡質</x:v>
      </x:c>
      <x:c r="M302" s="2" t="str">
        <x:v>san14-candidate-0294</x:v>
      </x:c>
      <x:c r="N302" s="2" t="str">
        <x:v>胡質</x:v>
      </x:c>
      <x:c r="O302" s="2" t="str">
        <x:v>コシツ</x:v>
      </x:c>
    </x:row>
    <x:row r="303" ht="23" customHeight="1">
      <x:c r="A303" s="13" t="n">
        <x:v>295</x:v>
      </x:c>
      <x:c r="B303" s="2" t="str">
        <x:v>吴质</x:v>
      </x:c>
      <x:c r="C303" s="2" t="str">
        <x:v>吳質</x:v>
      </x:c>
      <x:c r="D303" s="2" t="str"/>
      <x:c r="E303" s="13" t="n">
        <x:v>177</x:v>
      </x:c>
      <x:c r="F303" s="13" t="n">
        <x:v>196</x:v>
      </x:c>
      <x:c r="G303" s="13" t="n">
        <x:v>230</x:v>
      </x:c>
      <x:c r="H303" s="2" t="str">
        <x:f>IF(OR($E$4="",NOT(ISNUMBER($E$4)),$E$4&lt;1,$E$4&gt;400),"参考年待填",IF(OR(E303="",F303="",G303=""),"年代待核",IF($E$4&lt;E303,"未出生",IF($E$4&lt;F303,"未登场",IF($E$4&gt;G303,"已过卒年",IF($E$4=G303,"卒年边界待核","年表可登场"))))))</x:f>
        <x:v>卒年边界待核</x:v>
      </x:c>
      <x:c r="I303" s="12"/>
      <x:c r="J303" s="2" t="str">
        <x:v>SAN14游戏设定</x:v>
      </x:c>
      <x:c r="K303" s="2" t="str"/>
      <x:c r="L303" s="2" t="str">
        <x:v>吳質</x:v>
      </x:c>
      <x:c r="M303" s="2" t="str">
        <x:v>san14-candidate-0295</x:v>
      </x:c>
      <x:c r="N303" s="2" t="str">
        <x:v>呉質</x:v>
      </x:c>
      <x:c r="O303" s="2" t="str">
        <x:v>ゴシツ</x:v>
      </x:c>
    </x:row>
    <x:row r="304" ht="23" customHeight="1">
      <x:c r="A304" s="13" t="n">
        <x:v>296</x:v>
      </x:c>
      <x:c r="B304" s="2" t="str">
        <x:v>胡车儿</x:v>
      </x:c>
      <x:c r="C304" s="2" t="str">
        <x:v>胡車兒</x:v>
      </x:c>
      <x:c r="D304" s="2" t="str"/>
      <x:c r="E304" s="13" t="n">
        <x:v>164</x:v>
      </x:c>
      <x:c r="F304" s="13" t="n">
        <x:v>188</x:v>
      </x:c>
      <x:c r="G304" s="13" t="n">
        <x:v>206</x:v>
      </x:c>
      <x:c r="H304" s="2" t="str">
        <x:f>IF(OR($E$4="",NOT(ISNUMBER($E$4)),$E$4&lt;1,$E$4&gt;400),"参考年待填",IF(OR(E304="",F304="",G304=""),"年代待核",IF($E$4&lt;E304,"未出生",IF($E$4&lt;F304,"未登场",IF($E$4&gt;G304,"已过卒年",IF($E$4=G304,"卒年边界待核","年表可登场"))))))</x:f>
        <x:v>已过卒年</x:v>
      </x:c>
      <x:c r="I304" s="12"/>
      <x:c r="J304" s="2" t="str">
        <x:v>SAN14游戏设定</x:v>
      </x:c>
      <x:c r="K304" s="2" t="str"/>
      <x:c r="L304" s="2" t="str">
        <x:v>胡車兒</x:v>
      </x:c>
      <x:c r="M304" s="2" t="str">
        <x:v>san14-candidate-0296</x:v>
      </x:c>
      <x:c r="N304" s="2" t="str">
        <x:v>胡車児</x:v>
      </x:c>
      <x:c r="O304" s="2" t="str">
        <x:v>コシャジ</x:v>
      </x:c>
    </x:row>
    <x:row r="305" ht="23" customHeight="1">
      <x:c r="A305" s="13" t="n">
        <x:v>297</x:v>
      </x:c>
      <x:c r="B305" s="2" t="str">
        <x:v>伍习</x:v>
      </x:c>
      <x:c r="C305" s="2" t="str">
        <x:v>伍習</x:v>
      </x:c>
      <x:c r="D305" s="2" t="str"/>
      <x:c r="E305" s="13" t="n">
        <x:v>152</x:v>
      </x:c>
      <x:c r="F305" s="13" t="n">
        <x:v>184</x:v>
      </x:c>
      <x:c r="G305" s="13" t="n">
        <x:v>198</x:v>
      </x:c>
      <x:c r="H305" s="2" t="str">
        <x:f>IF(OR($E$4="",NOT(ISNUMBER($E$4)),$E$4&lt;1,$E$4&gt;400),"参考年待填",IF(OR(E305="",F305="",G305=""),"年代待核",IF($E$4&lt;E305,"未出生",IF($E$4&lt;F305,"未登场",IF($E$4&gt;G305,"已过卒年",IF($E$4=G305,"卒年边界待核","年表可登场"))))))</x:f>
        <x:v>已过卒年</x:v>
      </x:c>
      <x:c r="I305" s="12"/>
      <x:c r="J305" s="2" t="str">
        <x:v>SAN14游戏设定</x:v>
      </x:c>
      <x:c r="K305" s="2" t="str"/>
      <x:c r="L305" s="2" t="str">
        <x:v>伍習</x:v>
      </x:c>
      <x:c r="M305" s="2" t="str">
        <x:v>san14-candidate-0297</x:v>
      </x:c>
      <x:c r="N305" s="2" t="str">
        <x:v>伍習</x:v>
      </x:c>
      <x:c r="O305" s="2" t="str">
        <x:v>ゴシュウ</x:v>
      </x:c>
    </x:row>
    <x:row r="306" ht="23" customHeight="1">
      <x:c r="A306" s="13" t="n">
        <x:v>298</x:v>
      </x:c>
      <x:c r="B306" s="2" t="str">
        <x:v>胡遵</x:v>
      </x:c>
      <x:c r="C306" s="2" t="str">
        <x:v>胡遵</x:v>
      </x:c>
      <x:c r="D306" s="2" t="str"/>
      <x:c r="E306" s="13" t="n">
        <x:v>200</x:v>
      </x:c>
      <x:c r="F306" s="13" t="n">
        <x:v>219</x:v>
      </x:c>
      <x:c r="G306" s="13" t="n">
        <x:v>256</x:v>
      </x:c>
      <x:c r="H306" s="2" t="str">
        <x:f>IF(OR($E$4="",NOT(ISNUMBER($E$4)),$E$4&lt;1,$E$4&gt;400),"参考年待填",IF(OR(E306="",F306="",G306=""),"年代待核",IF($E$4&lt;E306,"未出生",IF($E$4&lt;F306,"未登场",IF($E$4&gt;G306,"已过卒年",IF($E$4=G306,"卒年边界待核","年表可登场"))))))</x:f>
        <x:v>年表可登场</x:v>
      </x:c>
      <x:c r="I306" s="12"/>
      <x:c r="J306" s="2" t="str">
        <x:v>SAN14游戏设定</x:v>
      </x:c>
      <x:c r="K306" s="2" t="str"/>
      <x:c r="L306" s="2" t="str">
        <x:v>胡遵</x:v>
      </x:c>
      <x:c r="M306" s="2" t="str">
        <x:v>san14-candidate-0298</x:v>
      </x:c>
      <x:c r="N306" s="2" t="str">
        <x:v>胡遵</x:v>
      </x:c>
      <x:c r="O306" s="2" t="str">
        <x:v>コジュン</x:v>
      </x:c>
    </x:row>
    <x:row r="307" ht="23" customHeight="1">
      <x:c r="A307" s="13" t="n">
        <x:v>299</x:v>
      </x:c>
      <x:c r="B307" s="2" t="str">
        <x:v>顾承</x:v>
      </x:c>
      <x:c r="C307" s="2" t="str">
        <x:v>顧承</x:v>
      </x:c>
      <x:c r="D307" s="2" t="str"/>
      <x:c r="E307" s="13" t="n">
        <x:v>210</x:v>
      </x:c>
      <x:c r="F307" s="13" t="n">
        <x:v>224</x:v>
      </x:c>
      <x:c r="G307" s="13" t="n">
        <x:v>246</x:v>
      </x:c>
      <x:c r="H307" s="2" t="str">
        <x:f>IF(OR($E$4="",NOT(ISNUMBER($E$4)),$E$4&lt;1,$E$4&gt;400),"参考年待填",IF(OR(E307="",F307="",G307=""),"年代待核",IF($E$4&lt;E307,"未出生",IF($E$4&lt;F307,"未登场",IF($E$4&gt;G307,"已过卒年",IF($E$4=G307,"卒年边界待核","年表可登场"))))))</x:f>
        <x:v>年表可登场</x:v>
      </x:c>
      <x:c r="I307" s="12"/>
      <x:c r="J307" s="2" t="str">
        <x:v>SAN14游戏设定</x:v>
      </x:c>
      <x:c r="K307" s="2" t="str"/>
      <x:c r="L307" s="2" t="str">
        <x:v>顧承</x:v>
      </x:c>
      <x:c r="M307" s="2" t="str">
        <x:v>san14-candidate-0299</x:v>
      </x:c>
      <x:c r="N307" s="2" t="str">
        <x:v>顧承</x:v>
      </x:c>
      <x:c r="O307" s="2" t="str">
        <x:v>コショウ</x:v>
      </x:c>
    </x:row>
    <x:row r="308" ht="23" customHeight="1">
      <x:c r="A308" s="13" t="n">
        <x:v>300</x:v>
      </x:c>
      <x:c r="B308" s="2" t="str">
        <x:v>顾邵</x:v>
      </x:c>
      <x:c r="C308" s="2" t="str">
        <x:v>顧邵</x:v>
      </x:c>
      <x:c r="D308" s="2" t="str"/>
      <x:c r="E308" s="13" t="n">
        <x:v>184</x:v>
      </x:c>
      <x:c r="F308" s="13" t="n">
        <x:v>198</x:v>
      </x:c>
      <x:c r="G308" s="13" t="n">
        <x:v>214</x:v>
      </x:c>
      <x:c r="H308" s="2" t="str">
        <x:f>IF(OR($E$4="",NOT(ISNUMBER($E$4)),$E$4&lt;1,$E$4&gt;400),"参考年待填",IF(OR(E308="",F308="",G308=""),"年代待核",IF($E$4&lt;E308,"未出生",IF($E$4&lt;F308,"未登场",IF($E$4&gt;G308,"已过卒年",IF($E$4=G308,"卒年边界待核","年表可登场"))))))</x:f>
        <x:v>已过卒年</x:v>
      </x:c>
      <x:c r="I308" s="12"/>
      <x:c r="J308" s="2" t="str">
        <x:v>SAN14游戏设定</x:v>
      </x:c>
      <x:c r="K308" s="2" t="str"/>
      <x:c r="L308" s="2" t="str">
        <x:v>顧邵</x:v>
      </x:c>
      <x:c r="M308" s="2" t="str">
        <x:v>san14-candidate-0300</x:v>
      </x:c>
      <x:c r="N308" s="2" t="str">
        <x:v>顧邵</x:v>
      </x:c>
      <x:c r="O308" s="2" t="str">
        <x:v>コショウ</x:v>
      </x:c>
    </x:row>
    <x:row r="309" ht="23" customHeight="1">
      <x:c r="A309" s="13" t="n">
        <x:v>301</x:v>
      </x:c>
      <x:c r="B309" s="2" t="str">
        <x:v>胡轸</x:v>
      </x:c>
      <x:c r="C309" s="2" t="str">
        <x:v>胡軫</x:v>
      </x:c>
      <x:c r="D309" s="2" t="str"/>
      <x:c r="E309" s="13" t="n">
        <x:v>146</x:v>
      </x:c>
      <x:c r="F309" s="13" t="n">
        <x:v>185</x:v>
      </x:c>
      <x:c r="G309" s="13" t="n">
        <x:v>190</x:v>
      </x:c>
      <x:c r="H309" s="2" t="str">
        <x:f>IF(OR($E$4="",NOT(ISNUMBER($E$4)),$E$4&lt;1,$E$4&gt;400),"参考年待填",IF(OR(E309="",F309="",G309=""),"年代待核",IF($E$4&lt;E309,"未出生",IF($E$4&lt;F309,"未登场",IF($E$4&gt;G309,"已过卒年",IF($E$4=G309,"卒年边界待核","年表可登场"))))))</x:f>
        <x:v>已过卒年</x:v>
      </x:c>
      <x:c r="I309" s="12"/>
      <x:c r="J309" s="2" t="str">
        <x:v>SAN14游戏设定</x:v>
      </x:c>
      <x:c r="K309" s="2" t="str"/>
      <x:c r="L309" s="2" t="str">
        <x:v>胡軫</x:v>
      </x:c>
      <x:c r="M309" s="2" t="str">
        <x:v>san14-candidate-0301</x:v>
      </x:c>
      <x:c r="N309" s="2" t="str">
        <x:v>胡軫</x:v>
      </x:c>
      <x:c r="O309" s="2" t="str">
        <x:v>コシン</x:v>
      </x:c>
    </x:row>
    <x:row r="310" ht="23" customHeight="1">
      <x:c r="A310" s="13" t="n">
        <x:v>302</x:v>
      </x:c>
      <x:c r="B310" s="2" t="str">
        <x:v>胡济</x:v>
      </x:c>
      <x:c r="C310" s="2" t="str">
        <x:v>胡濟</x:v>
      </x:c>
      <x:c r="D310" s="2" t="str"/>
      <x:c r="E310" s="13" t="n">
        <x:v>207</x:v>
      </x:c>
      <x:c r="F310" s="13" t="n">
        <x:v>223</x:v>
      </x:c>
      <x:c r="G310" s="13" t="n">
        <x:v>264</x:v>
      </x:c>
      <x:c r="H310" s="2" t="str">
        <x:f>IF(OR($E$4="",NOT(ISNUMBER($E$4)),$E$4&lt;1,$E$4&gt;400),"参考年待填",IF(OR(E310="",F310="",G310=""),"年代待核",IF($E$4&lt;E310,"未出生",IF($E$4&lt;F310,"未登场",IF($E$4&gt;G310,"已过卒年",IF($E$4=G310,"卒年边界待核","年表可登场"))))))</x:f>
        <x:v>年表可登场</x:v>
      </x:c>
      <x:c r="I310" s="12"/>
      <x:c r="J310" s="2" t="str">
        <x:v>SAN14游戏设定</x:v>
      </x:c>
      <x:c r="K310" s="2" t="str"/>
      <x:c r="L310" s="2" t="str">
        <x:v>胡濟</x:v>
      </x:c>
      <x:c r="M310" s="2" t="str">
        <x:v>san14-candidate-0302</x:v>
      </x:c>
      <x:c r="N310" s="2" t="str">
        <x:v>胡済</x:v>
      </x:c>
      <x:c r="O310" s="2" t="str">
        <x:v>コセイ</x:v>
      </x:c>
    </x:row>
    <x:row r="311" ht="23" customHeight="1">
      <x:c r="A311" s="13" t="n">
        <x:v>303</x:v>
      </x:c>
      <x:c r="B311" s="2" t="str">
        <x:v>胡综</x:v>
      </x:c>
      <x:c r="C311" s="2" t="str">
        <x:v>胡綜</x:v>
      </x:c>
      <x:c r="D311" s="2" t="str"/>
      <x:c r="E311" s="13" t="n">
        <x:v>183</x:v>
      </x:c>
      <x:c r="F311" s="13" t="n">
        <x:v>196</x:v>
      </x:c>
      <x:c r="G311" s="13" t="n">
        <x:v>243</x:v>
      </x:c>
      <x:c r="H311" s="2" t="str">
        <x:f>IF(OR($E$4="",NOT(ISNUMBER($E$4)),$E$4&lt;1,$E$4&gt;400),"参考年待填",IF(OR(E311="",F311="",G311=""),"年代待核",IF($E$4&lt;E311,"未出生",IF($E$4&lt;F311,"未登场",IF($E$4&gt;G311,"已过卒年",IF($E$4=G311,"卒年边界待核","年表可登场"))))))</x:f>
        <x:v>年表可登场</x:v>
      </x:c>
      <x:c r="I311" s="12"/>
      <x:c r="J311" s="2" t="str">
        <x:v>SAN14游戏设定</x:v>
      </x:c>
      <x:c r="K311" s="2" t="str"/>
      <x:c r="L311" s="2" t="str">
        <x:v>胡綜</x:v>
      </x:c>
      <x:c r="M311" s="2" t="str">
        <x:v>san14-candidate-0303</x:v>
      </x:c>
      <x:c r="N311" s="2" t="str">
        <x:v>胡綜</x:v>
      </x:c>
      <x:c r="O311" s="2" t="str">
        <x:v>コソウ</x:v>
      </x:c>
    </x:row>
    <x:row r="312" ht="23" customHeight="1">
      <x:c r="A312" s="13" t="n">
        <x:v>304</x:v>
      </x:c>
      <x:c r="B312" s="2" t="str">
        <x:v>顾谭</x:v>
      </x:c>
      <x:c r="C312" s="2" t="str">
        <x:v>顧譚</x:v>
      </x:c>
      <x:c r="D312" s="2" t="str"/>
      <x:c r="E312" s="13" t="n">
        <x:v>205</x:v>
      </x:c>
      <x:c r="F312" s="13" t="n">
        <x:v>219</x:v>
      </x:c>
      <x:c r="G312" s="13" t="n">
        <x:v>246</x:v>
      </x:c>
      <x:c r="H312" s="2" t="str">
        <x:f>IF(OR($E$4="",NOT(ISNUMBER($E$4)),$E$4&lt;1,$E$4&gt;400),"参考年待填",IF(OR(E312="",F312="",G312=""),"年代待核",IF($E$4&lt;E312,"未出生",IF($E$4&lt;F312,"未登场",IF($E$4&gt;G312,"已过卒年",IF($E$4=G312,"卒年边界待核","年表可登场"))))))</x:f>
        <x:v>年表可登场</x:v>
      </x:c>
      <x:c r="I312" s="12"/>
      <x:c r="J312" s="2" t="str">
        <x:v>SAN14游戏设定</x:v>
      </x:c>
      <x:c r="K312" s="2" t="str"/>
      <x:c r="L312" s="2" t="str">
        <x:v>顧譚</x:v>
      </x:c>
      <x:c r="M312" s="2" t="str">
        <x:v>san14-candidate-0304</x:v>
      </x:c>
      <x:c r="N312" s="2" t="str">
        <x:v>顧譚</x:v>
      </x:c>
      <x:c r="O312" s="2" t="str">
        <x:v>コタン</x:v>
      </x:c>
    </x:row>
    <x:row r="313" ht="23" customHeight="1">
      <x:c r="A313" s="13" t="n">
        <x:v>305</x:v>
      </x:c>
      <x:c r="B313" s="2" t="str">
        <x:v>胡冲</x:v>
      </x:c>
      <x:c r="C313" s="2" t="str">
        <x:v>胡沖</x:v>
      </x:c>
      <x:c r="D313" s="2" t="str"/>
      <x:c r="E313" s="13" t="n">
        <x:v>225</x:v>
      </x:c>
      <x:c r="F313" s="13" t="n">
        <x:v>243</x:v>
      </x:c>
      <x:c r="G313" s="13" t="n">
        <x:v>286</x:v>
      </x:c>
      <x:c r="H313" s="2" t="str">
        <x:f>IF(OR($E$4="",NOT(ISNUMBER($E$4)),$E$4&lt;1,$E$4&gt;400),"参考年待填",IF(OR(E313="",F313="",G313=""),"年代待核",IF($E$4&lt;E313,"未出生",IF($E$4&lt;F313,"未登场",IF($E$4&gt;G313,"已过卒年",IF($E$4=G313,"卒年边界待核","年表可登场"))))))</x:f>
        <x:v>未登场</x:v>
      </x:c>
      <x:c r="I313" s="12"/>
      <x:c r="J313" s="2" t="str">
        <x:v>SAN14游戏设定</x:v>
      </x:c>
      <x:c r="K313" s="2" t="str"/>
      <x:c r="L313" s="2" t="str">
        <x:v>胡沖</x:v>
      </x:c>
      <x:c r="M313" s="2" t="str">
        <x:v>san14-candidate-0305</x:v>
      </x:c>
      <x:c r="N313" s="2" t="str">
        <x:v>胡沖</x:v>
      </x:c>
      <x:c r="O313" s="2" t="str">
        <x:v>コチュウ</x:v>
      </x:c>
    </x:row>
    <x:row r="314" ht="23" customHeight="1">
      <x:c r="A314" s="13" t="n">
        <x:v>306</x:v>
      </x:c>
      <x:c r="B314" s="2" t="str">
        <x:v>呼厨泉</x:v>
      </x:c>
      <x:c r="C314" s="2" t="str">
        <x:v>呼廚泉</x:v>
      </x:c>
      <x:c r="D314" s="2" t="str"/>
      <x:c r="E314" s="13" t="n">
        <x:v>169</x:v>
      </x:c>
      <x:c r="F314" s="13" t="n">
        <x:v>188</x:v>
      </x:c>
      <x:c r="G314" s="13" t="n">
        <x:v>230</x:v>
      </x:c>
      <x:c r="H314" s="2" t="str">
        <x:f>IF(OR($E$4="",NOT(ISNUMBER($E$4)),$E$4&lt;1,$E$4&gt;400),"参考年待填",IF(OR(E314="",F314="",G314=""),"年代待核",IF($E$4&lt;E314,"未出生",IF($E$4&lt;F314,"未登场",IF($E$4&gt;G314,"已过卒年",IF($E$4=G314,"卒年边界待核","年表可登场"))))))</x:f>
        <x:v>卒年边界待核</x:v>
      </x:c>
      <x:c r="I314" s="12"/>
      <x:c r="J314" s="2" t="str">
        <x:v>SAN14游戏设定</x:v>
      </x:c>
      <x:c r="K314" s="2" t="str"/>
      <x:c r="L314" s="2" t="str">
        <x:v>呼廚泉</x:v>
      </x:c>
      <x:c r="M314" s="2" t="str">
        <x:v>san14-candidate-0306</x:v>
      </x:c>
      <x:c r="N314" s="2" t="str">
        <x:v>呼廚泉</x:v>
      </x:c>
      <x:c r="O314" s="2" t="str">
        <x:v>コチュウセン</x:v>
      </x:c>
    </x:row>
    <x:row r="315" ht="23" customHeight="1">
      <x:c r="A315" s="13" t="n">
        <x:v>307</x:v>
      </x:c>
      <x:c r="B315" s="2" t="str">
        <x:v>兀突骨</x:v>
      </x:c>
      <x:c r="C315" s="2" t="str">
        <x:v>兀突骨</x:v>
      </x:c>
      <x:c r="D315" s="2" t="str"/>
      <x:c r="E315" s="13" t="n">
        <x:v>186</x:v>
      </x:c>
      <x:c r="F315" s="13" t="n">
        <x:v>217</x:v>
      </x:c>
      <x:c r="G315" s="13" t="n">
        <x:v>225</x:v>
      </x:c>
      <x:c r="H315" s="2" t="str">
        <x:f>IF(OR($E$4="",NOT(ISNUMBER($E$4)),$E$4&lt;1,$E$4&gt;400),"参考年待填",IF(OR(E315="",F315="",G315=""),"年代待核",IF($E$4&lt;E315,"未出生",IF($E$4&lt;F315,"未登场",IF($E$4&gt;G315,"已过卒年",IF($E$4=G315,"卒年边界待核","年表可登场"))))))</x:f>
        <x:v>已过卒年</x:v>
      </x:c>
      <x:c r="I315" s="12"/>
      <x:c r="J315" s="2" t="str">
        <x:v>SAN14游戏设定</x:v>
      </x:c>
      <x:c r="K315" s="2" t="str"/>
      <x:c r="L315" s="2" t="str">
        <x:v>兀突骨</x:v>
      </x:c>
      <x:c r="M315" s="2" t="str">
        <x:v>san14-candidate-0307</x:v>
      </x:c>
      <x:c r="N315" s="2" t="str">
        <x:v>兀突骨</x:v>
      </x:c>
      <x:c r="O315" s="2" t="str">
        <x:v>ゴツトツコツ</x:v>
      </x:c>
    </x:row>
    <x:row r="316" ht="23" customHeight="1">
      <x:c r="A316" s="13" t="n">
        <x:v>308</x:v>
      </x:c>
      <x:c r="B316" s="2" t="str">
        <x:v>吴敦</x:v>
      </x:c>
      <x:c r="C316" s="2" t="str">
        <x:v>吳敦</x:v>
      </x:c>
      <x:c r="D316" s="2" t="str"/>
      <x:c r="E316" s="13" t="n">
        <x:v>166</x:v>
      </x:c>
      <x:c r="F316" s="13" t="n">
        <x:v>185</x:v>
      </x:c>
      <x:c r="G316" s="13" t="n">
        <x:v>209</x:v>
      </x:c>
      <x:c r="H316" s="2" t="str">
        <x:f>IF(OR($E$4="",NOT(ISNUMBER($E$4)),$E$4&lt;1,$E$4&gt;400),"参考年待填",IF(OR(E316="",F316="",G316=""),"年代待核",IF($E$4&lt;E316,"未出生",IF($E$4&lt;F316,"未登场",IF($E$4&gt;G316,"已过卒年",IF($E$4=G316,"卒年边界待核","年表可登场"))))))</x:f>
        <x:v>已过卒年</x:v>
      </x:c>
      <x:c r="I316" s="12"/>
      <x:c r="J316" s="2" t="str">
        <x:v>SAN14游戏设定</x:v>
      </x:c>
      <x:c r="K316" s="2" t="str"/>
      <x:c r="L316" s="2" t="str">
        <x:v>吳敦</x:v>
      </x:c>
      <x:c r="M316" s="2" t="str">
        <x:v>san14-candidate-0308</x:v>
      </x:c>
      <x:c r="N316" s="2" t="str">
        <x:v>呉敦</x:v>
      </x:c>
      <x:c r="O316" s="2" t="str">
        <x:v>ゴトン</x:v>
      </x:c>
    </x:row>
    <x:row r="317" ht="23" customHeight="1">
      <x:c r="A317" s="13" t="n">
        <x:v>309</x:v>
      </x:c>
      <x:c r="B317" s="2" t="str">
        <x:v>胡班</x:v>
      </x:c>
      <x:c r="C317" s="2" t="str">
        <x:v>胡班</x:v>
      </x:c>
      <x:c r="D317" s="2" t="str"/>
      <x:c r="E317" s="13" t="n">
        <x:v>179</x:v>
      </x:c>
      <x:c r="F317" s="13" t="n">
        <x:v>198</x:v>
      </x:c>
      <x:c r="G317" s="13" t="n">
        <x:v>233</x:v>
      </x:c>
      <x:c r="H317" s="2" t="str">
        <x:f>IF(OR($E$4="",NOT(ISNUMBER($E$4)),$E$4&lt;1,$E$4&gt;400),"参考年待填",IF(OR(E317="",F317="",G317=""),"年代待核",IF($E$4&lt;E317,"未出生",IF($E$4&lt;F317,"未登场",IF($E$4&gt;G317,"已过卒年",IF($E$4=G317,"卒年边界待核","年表可登场"))))))</x:f>
        <x:v>年表可登场</x:v>
      </x:c>
      <x:c r="I317" s="12"/>
      <x:c r="J317" s="2" t="str">
        <x:v>SAN14游戏设定</x:v>
      </x:c>
      <x:c r="K317" s="2" t="str"/>
      <x:c r="L317" s="2" t="str">
        <x:v>胡班</x:v>
      </x:c>
      <x:c r="M317" s="2" t="str">
        <x:v>san14-candidate-0309</x:v>
      </x:c>
      <x:c r="N317" s="2" t="str">
        <x:v>胡班</x:v>
      </x:c>
      <x:c r="O317" s="2" t="str">
        <x:v>コハン</x:v>
      </x:c>
    </x:row>
    <x:row r="318" ht="23" customHeight="1">
      <x:c r="A318" s="13" t="n">
        <x:v>310</x:v>
      </x:c>
      <x:c r="B318" s="2" t="str">
        <x:v>吴班</x:v>
      </x:c>
      <x:c r="C318" s="2" t="str">
        <x:v>吳班</x:v>
      </x:c>
      <x:c r="D318" s="2" t="str"/>
      <x:c r="E318" s="13" t="n">
        <x:v>171</x:v>
      </x:c>
      <x:c r="F318" s="13" t="n">
        <x:v>190</x:v>
      </x:c>
      <x:c r="G318" s="13" t="n">
        <x:v>234</x:v>
      </x:c>
      <x:c r="H318" s="2" t="str">
        <x:f>IF(OR($E$4="",NOT(ISNUMBER($E$4)),$E$4&lt;1,$E$4&gt;400),"参考年待填",IF(OR(E318="",F318="",G318=""),"年代待核",IF($E$4&lt;E318,"未出生",IF($E$4&lt;F318,"未登场",IF($E$4&gt;G318,"已过卒年",IF($E$4=G318,"卒年边界待核","年表可登场"))))))</x:f>
        <x:v>年表可登场</x:v>
      </x:c>
      <x:c r="I318" s="12"/>
      <x:c r="J318" s="2" t="str">
        <x:v>SAN14游戏设定</x:v>
      </x:c>
      <x:c r="K318" s="2" t="str"/>
      <x:c r="L318" s="2" t="str">
        <x:v>吳班</x:v>
      </x:c>
      <x:c r="M318" s="2" t="str">
        <x:v>san14-candidate-0310</x:v>
      </x:c>
      <x:c r="N318" s="2" t="str">
        <x:v>呉班</x:v>
      </x:c>
      <x:c r="O318" s="2" t="str">
        <x:v>ゴハン</x:v>
      </x:c>
    </x:row>
    <x:row r="319" ht="23" customHeight="1">
      <x:c r="A319" s="13" t="n">
        <x:v>311</x:v>
      </x:c>
      <x:c r="B319" s="2" t="str">
        <x:v>吴范</x:v>
      </x:c>
      <x:c r="C319" s="2" t="str">
        <x:v>吳範</x:v>
      </x:c>
      <x:c r="D319" s="2" t="str"/>
      <x:c r="E319" s="13" t="n">
        <x:v>176</x:v>
      </x:c>
      <x:c r="F319" s="13" t="n">
        <x:v>197</x:v>
      </x:c>
      <x:c r="G319" s="13" t="n">
        <x:v>226</x:v>
      </x:c>
      <x:c r="H319" s="2" t="str">
        <x:f>IF(OR($E$4="",NOT(ISNUMBER($E$4)),$E$4&lt;1,$E$4&gt;400),"参考年待填",IF(OR(E319="",F319="",G319=""),"年代待核",IF($E$4&lt;E319,"未出生",IF($E$4&lt;F319,"未登场",IF($E$4&gt;G319,"已过卒年",IF($E$4=G319,"卒年边界待核","年表可登场"))))))</x:f>
        <x:v>已过卒年</x:v>
      </x:c>
      <x:c r="I319" s="12"/>
      <x:c r="J319" s="2" t="str">
        <x:v>SAN14游戏设定</x:v>
      </x:c>
      <x:c r="K319" s="2" t="str"/>
      <x:c r="L319" s="2" t="str">
        <x:v>吳範</x:v>
      </x:c>
      <x:c r="M319" s="2" t="str">
        <x:v>san14-candidate-0311</x:v>
      </x:c>
      <x:c r="N319" s="2" t="str">
        <x:v>呉範</x:v>
      </x:c>
      <x:c r="O319" s="2" t="str">
        <x:v>ゴハン</x:v>
      </x:c>
    </x:row>
    <x:row r="320" ht="23" customHeight="1">
      <x:c r="A320" s="13" t="n">
        <x:v>312</x:v>
      </x:c>
      <x:c r="B320" s="2" t="str">
        <x:v>伍孚</x:v>
      </x:c>
      <x:c r="C320" s="2" t="str">
        <x:v>伍孚</x:v>
      </x:c>
      <x:c r="D320" s="2" t="str"/>
      <x:c r="E320" s="13" t="n">
        <x:v>149</x:v>
      </x:c>
      <x:c r="F320" s="13" t="n">
        <x:v>184</x:v>
      </x:c>
      <x:c r="G320" s="13" t="n">
        <x:v>190</x:v>
      </x:c>
      <x:c r="H320" s="2" t="str">
        <x:f>IF(OR($E$4="",NOT(ISNUMBER($E$4)),$E$4&lt;1,$E$4&gt;400),"参考年待填",IF(OR(E320="",F320="",G320=""),"年代待核",IF($E$4&lt;E320,"未出生",IF($E$4&lt;F320,"未登场",IF($E$4&gt;G320,"已过卒年",IF($E$4=G320,"卒年边界待核","年表可登场"))))))</x:f>
        <x:v>已过卒年</x:v>
      </x:c>
      <x:c r="I320" s="12"/>
      <x:c r="J320" s="2" t="str">
        <x:v>SAN14游戏设定</x:v>
      </x:c>
      <x:c r="K320" s="2" t="str"/>
      <x:c r="L320" s="2" t="str">
        <x:v>伍孚</x:v>
      </x:c>
      <x:c r="M320" s="2" t="str">
        <x:v>san14-candidate-0312</x:v>
      </x:c>
      <x:c r="N320" s="2" t="str">
        <x:v>伍孚</x:v>
      </x:c>
      <x:c r="O320" s="2" t="str">
        <x:v>ゴフ</x:v>
      </x:c>
    </x:row>
    <x:row r="321" ht="23" customHeight="1">
      <x:c r="A321" s="13" t="n">
        <x:v>313</x:v>
      </x:c>
      <x:c r="B321" s="2" t="str">
        <x:v>胡奋</x:v>
      </x:c>
      <x:c r="C321" s="2" t="str">
        <x:v>胡奮</x:v>
      </x:c>
      <x:c r="D321" s="2" t="str"/>
      <x:c r="E321" s="13" t="n">
        <x:v>222</x:v>
      </x:c>
      <x:c r="F321" s="13" t="n">
        <x:v>236</x:v>
      </x:c>
      <x:c r="G321" s="13" t="n">
        <x:v>288</x:v>
      </x:c>
      <x:c r="H321" s="2" t="str">
        <x:f>IF(OR($E$4="",NOT(ISNUMBER($E$4)),$E$4&lt;1,$E$4&gt;400),"参考年待填",IF(OR(E321="",F321="",G321=""),"年代待核",IF($E$4&lt;E321,"未出生",IF($E$4&lt;F321,"未登场",IF($E$4&gt;G321,"已过卒年",IF($E$4=G321,"卒年边界待核","年表可登场"))))))</x:f>
        <x:v>未登场</x:v>
      </x:c>
      <x:c r="I321" s="12"/>
      <x:c r="J321" s="2" t="str">
        <x:v>SAN14游戏设定</x:v>
      </x:c>
      <x:c r="K321" s="2" t="str"/>
      <x:c r="L321" s="2" t="str">
        <x:v>胡奮</x:v>
      </x:c>
      <x:c r="M321" s="2" t="str">
        <x:v>san14-candidate-0313</x:v>
      </x:c>
      <x:c r="N321" s="2" t="str">
        <x:v>胡奮</x:v>
      </x:c>
      <x:c r="O321" s="2" t="str">
        <x:v>コフン</x:v>
      </x:c>
    </x:row>
    <x:row r="322" ht="23" customHeight="1">
      <x:c r="A322" s="13" t="n">
        <x:v>314</x:v>
      </x:c>
      <x:c r="B322" s="2" t="str">
        <x:v>顾雍</x:v>
      </x:c>
      <x:c r="C322" s="2" t="str">
        <x:v>顧雍</x:v>
      </x:c>
      <x:c r="D322" s="2" t="str"/>
      <x:c r="E322" s="13" t="n">
        <x:v>168</x:v>
      </x:c>
      <x:c r="F322" s="13" t="n">
        <x:v>197</x:v>
      </x:c>
      <x:c r="G322" s="13" t="n">
        <x:v>243</x:v>
      </x:c>
      <x:c r="H322" s="2" t="str">
        <x:f>IF(OR($E$4="",NOT(ISNUMBER($E$4)),$E$4&lt;1,$E$4&gt;400),"参考年待填",IF(OR(E322="",F322="",G322=""),"年代待核",IF($E$4&lt;E322,"未出生",IF($E$4&lt;F322,"未登场",IF($E$4&gt;G322,"已过卒年",IF($E$4=G322,"卒年边界待核","年表可登场"))))))</x:f>
        <x:v>年表可登场</x:v>
      </x:c>
      <x:c r="I322" s="12"/>
      <x:c r="J322" s="2" t="str">
        <x:v>SAN14游戏设定</x:v>
      </x:c>
      <x:c r="K322" s="2" t="str"/>
      <x:c r="L322" s="2" t="str">
        <x:v>顧雍</x:v>
      </x:c>
      <x:c r="M322" s="2" t="str">
        <x:v>san14-candidate-0314</x:v>
      </x:c>
      <x:c r="N322" s="2" t="str">
        <x:v>顧雍</x:v>
      </x:c>
      <x:c r="O322" s="2" t="str">
        <x:v>コヨウ</x:v>
      </x:c>
    </x:row>
    <x:row r="323" ht="23" customHeight="1">
      <x:c r="A323" s="13" t="n">
        <x:v>315</x:v>
      </x:c>
      <x:c r="B323" s="2" t="str">
        <x:v>吴兰</x:v>
      </x:c>
      <x:c r="C323" s="2" t="str">
        <x:v>吳蘭</x:v>
      </x:c>
      <x:c r="D323" s="2" t="str"/>
      <x:c r="E323" s="13" t="n">
        <x:v>170</x:v>
      </x:c>
      <x:c r="F323" s="13" t="n">
        <x:v>189</x:v>
      </x:c>
      <x:c r="G323" s="13" t="n">
        <x:v>218</x:v>
      </x:c>
      <x:c r="H323" s="2" t="str">
        <x:f>IF(OR($E$4="",NOT(ISNUMBER($E$4)),$E$4&lt;1,$E$4&gt;400),"参考年待填",IF(OR(E323="",F323="",G323=""),"年代待核",IF($E$4&lt;E323,"未出生",IF($E$4&lt;F323,"未登场",IF($E$4&gt;G323,"已过卒年",IF($E$4=G323,"卒年边界待核","年表可登场"))))))</x:f>
        <x:v>已过卒年</x:v>
      </x:c>
      <x:c r="I323" s="12"/>
      <x:c r="J323" s="2" t="str">
        <x:v>SAN14游戏设定</x:v>
      </x:c>
      <x:c r="K323" s="2" t="str"/>
      <x:c r="L323" s="2" t="str">
        <x:v>吳蘭</x:v>
      </x:c>
      <x:c r="M323" s="2" t="str">
        <x:v>san14-candidate-0315</x:v>
      </x:c>
      <x:c r="N323" s="2" t="str">
        <x:v>呉蘭</x:v>
      </x:c>
      <x:c r="O323" s="2" t="str">
        <x:v>ゴラン</x:v>
      </x:c>
    </x:row>
    <x:row r="324" ht="23" customHeight="1">
      <x:c r="A324" s="13" t="n">
        <x:v>316</x:v>
      </x:c>
      <x:c r="B324" s="2" t="str">
        <x:v>胡烈</x:v>
      </x:c>
      <x:c r="C324" s="2" t="str">
        <x:v>胡烈</x:v>
      </x:c>
      <x:c r="D324" s="2" t="str"/>
      <x:c r="E324" s="13" t="n">
        <x:v>225</x:v>
      </x:c>
      <x:c r="F324" s="13" t="n">
        <x:v>239</x:v>
      </x:c>
      <x:c r="G324" s="13" t="n">
        <x:v>272</x:v>
      </x:c>
      <x:c r="H324" s="2" t="str">
        <x:f>IF(OR($E$4="",NOT(ISNUMBER($E$4)),$E$4&lt;1,$E$4&gt;400),"参考年待填",IF(OR(E324="",F324="",G324=""),"年代待核",IF($E$4&lt;E324,"未出生",IF($E$4&lt;F324,"未登场",IF($E$4&gt;G324,"已过卒年",IF($E$4=G324,"卒年边界待核","年表可登场"))))))</x:f>
        <x:v>未登场</x:v>
      </x:c>
      <x:c r="I324" s="12"/>
      <x:c r="J324" s="2" t="str">
        <x:v>SAN14游戏设定</x:v>
      </x:c>
      <x:c r="K324" s="2" t="str"/>
      <x:c r="L324" s="2" t="str">
        <x:v>胡烈</x:v>
      </x:c>
      <x:c r="M324" s="2" t="str">
        <x:v>san14-candidate-0316</x:v>
      </x:c>
      <x:c r="N324" s="2" t="str">
        <x:v>胡烈</x:v>
      </x:c>
      <x:c r="O324" s="2" t="str">
        <x:v>コレツ</x:v>
      </x:c>
    </x:row>
    <x:row r="325" ht="23" customHeight="1">
      <x:c r="A325" s="13" t="n">
        <x:v>317</x:v>
      </x:c>
      <x:c r="B325" s="2" t="str">
        <x:v>崔琰</x:v>
      </x:c>
      <x:c r="C325" s="2" t="str">
        <x:v>崔琰</x:v>
      </x:c>
      <x:c r="D325" s="2" t="str"/>
      <x:c r="E325" s="13" t="n">
        <x:v>162</x:v>
      </x:c>
      <x:c r="F325" s="13" t="n">
        <x:v>184</x:v>
      </x:c>
      <x:c r="G325" s="13" t="n">
        <x:v>216</x:v>
      </x:c>
      <x:c r="H325" s="2" t="str">
        <x:f>IF(OR($E$4="",NOT(ISNUMBER($E$4)),$E$4&lt;1,$E$4&gt;400),"参考年待填",IF(OR(E325="",F325="",G325=""),"年代待核",IF($E$4&lt;E325,"未出生",IF($E$4&lt;F325,"未登场",IF($E$4&gt;G325,"已过卒年",IF($E$4=G325,"卒年边界待核","年表可登场"))))))</x:f>
        <x:v>已过卒年</x:v>
      </x:c>
      <x:c r="I325" s="12"/>
      <x:c r="J325" s="2" t="str">
        <x:v>SAN14游戏设定</x:v>
      </x:c>
      <x:c r="K325" s="2" t="str"/>
      <x:c r="L325" s="2" t="str">
        <x:v>崔琰</x:v>
      </x:c>
      <x:c r="M325" s="2" t="str">
        <x:v>san14-candidate-0317</x:v>
      </x:c>
      <x:c r="N325" s="2" t="str">
        <x:v>崔エン</x:v>
      </x:c>
      <x:c r="O325" s="2" t="str">
        <x:v>サイエン</x:v>
      </x:c>
    </x:row>
    <x:row r="326" ht="23" customHeight="1">
      <x:c r="A326" s="13" t="n">
        <x:v>318</x:v>
      </x:c>
      <x:c r="B326" s="2" t="str">
        <x:v>蔡琰</x:v>
      </x:c>
      <x:c r="C326" s="2" t="str">
        <x:v>蔡琰</x:v>
      </x:c>
      <x:c r="D326" s="2" t="str"/>
      <x:c r="E326" s="13" t="n">
        <x:v>168</x:v>
      </x:c>
      <x:c r="F326" s="13" t="n">
        <x:v>184</x:v>
      </x:c>
      <x:c r="G326" s="13" t="n">
        <x:v>234</x:v>
      </x:c>
      <x:c r="H326" s="2" t="str">
        <x:f>IF(OR($E$4="",NOT(ISNUMBER($E$4)),$E$4&lt;1,$E$4&gt;400),"参考年待填",IF(OR(E326="",F326="",G326=""),"年代待核",IF($E$4&lt;E326,"未出生",IF($E$4&lt;F326,"未登场",IF($E$4&gt;G326,"已过卒年",IF($E$4=G326,"卒年边界待核","年表可登场"))))))</x:f>
        <x:v>年表可登场</x:v>
      </x:c>
      <x:c r="I326" s="12"/>
      <x:c r="J326" s="2" t="str">
        <x:v>SAN14游戏设定</x:v>
      </x:c>
      <x:c r="K326" s="2" t="str"/>
      <x:c r="L326" s="2" t="str">
        <x:v>蔡琰</x:v>
      </x:c>
      <x:c r="M326" s="2" t="str">
        <x:v>san14-candidate-0318</x:v>
      </x:c>
      <x:c r="N326" s="2" t="str">
        <x:v>蔡エン</x:v>
      </x:c>
      <x:c r="O326" s="2" t="str">
        <x:v>サイエン</x:v>
      </x:c>
    </x:row>
    <x:row r="327" ht="23" customHeight="1">
      <x:c r="A327" s="13" t="n">
        <x:v>319</x:v>
      </x:c>
      <x:c r="B327" s="2" t="str">
        <x:v>蔡和</x:v>
      </x:c>
      <x:c r="C327" s="2" t="str">
        <x:v>蔡和</x:v>
      </x:c>
      <x:c r="D327" s="2" t="str"/>
      <x:c r="E327" s="13" t="n">
        <x:v>166</x:v>
      </x:c>
      <x:c r="F327" s="13" t="n">
        <x:v>185</x:v>
      </x:c>
      <x:c r="G327" s="13" t="n">
        <x:v>208</x:v>
      </x:c>
      <x:c r="H327" s="2" t="str">
        <x:f>IF(OR($E$4="",NOT(ISNUMBER($E$4)),$E$4&lt;1,$E$4&gt;400),"参考年待填",IF(OR(E327="",F327="",G327=""),"年代待核",IF($E$4&lt;E327,"未出生",IF($E$4&lt;F327,"未登场",IF($E$4&gt;G327,"已过卒年",IF($E$4=G327,"卒年边界待核","年表可登场"))))))</x:f>
        <x:v>已过卒年</x:v>
      </x:c>
      <x:c r="I327" s="12"/>
      <x:c r="J327" s="2" t="str">
        <x:v>SAN14游戏设定</x:v>
      </x:c>
      <x:c r="K327" s="2" t="str"/>
      <x:c r="L327" s="2" t="str">
        <x:v>蔡和</x:v>
      </x:c>
      <x:c r="M327" s="2" t="str">
        <x:v>san14-candidate-0319</x:v>
      </x:c>
      <x:c r="N327" s="2" t="str">
        <x:v>蔡和</x:v>
      </x:c>
      <x:c r="O327" s="2" t="str">
        <x:v>サイカ</x:v>
      </x:c>
    </x:row>
    <x:row r="328" ht="23" customHeight="1">
      <x:c r="A328" s="13" t="n">
        <x:v>320</x:v>
      </x:c>
      <x:c r="B328" s="2" t="str">
        <x:v>蔡勋</x:v>
      </x:c>
      <x:c r="C328" s="2" t="str">
        <x:v>蔡勳</x:v>
      </x:c>
      <x:c r="D328" s="2" t="str"/>
      <x:c r="E328" s="13" t="n">
        <x:v>164</x:v>
      </x:c>
      <x:c r="F328" s="13" t="n">
        <x:v>188</x:v>
      </x:c>
      <x:c r="G328" s="13" t="n">
        <x:v>208</x:v>
      </x:c>
      <x:c r="H328" s="2" t="str">
        <x:f>IF(OR($E$4="",NOT(ISNUMBER($E$4)),$E$4&lt;1,$E$4&gt;400),"参考年待填",IF(OR(E328="",F328="",G328=""),"年代待核",IF($E$4&lt;E328,"未出生",IF($E$4&lt;F328,"未登场",IF($E$4&gt;G328,"已过卒年",IF($E$4=G328,"卒年边界待核","年表可登场"))))))</x:f>
        <x:v>已过卒年</x:v>
      </x:c>
      <x:c r="I328" s="12"/>
      <x:c r="J328" s="2" t="str">
        <x:v>SAN14游戏设定</x:v>
      </x:c>
      <x:c r="K328" s="2" t="str"/>
      <x:c r="L328" s="2" t="str">
        <x:v>蔡勳</x:v>
      </x:c>
      <x:c r="M328" s="2" t="str">
        <x:v>san14-candidate-0320</x:v>
      </x:c>
      <x:c r="N328" s="2" t="str">
        <x:v>蔡勳</x:v>
      </x:c>
      <x:c r="O328" s="2" t="str">
        <x:v>サイクン</x:v>
      </x:c>
    </x:row>
    <x:row r="329" ht="23" customHeight="1">
      <x:c r="A329" s="13" t="n">
        <x:v>321</x:v>
      </x:c>
      <x:c r="B329" s="2" t="str">
        <x:v>蔡氏</x:v>
      </x:c>
      <x:c r="C329" s="2" t="str">
        <x:v>蔡氏</x:v>
      </x:c>
      <x:c r="D329" s="2" t="str"/>
      <x:c r="E329" s="13" t="n">
        <x:v>159</x:v>
      </x:c>
      <x:c r="F329" s="13" t="n">
        <x:v>184</x:v>
      </x:c>
      <x:c r="G329" s="13" t="n">
        <x:v>208</x:v>
      </x:c>
      <x:c r="H329" s="2" t="str">
        <x:f>IF(OR($E$4="",NOT(ISNUMBER($E$4)),$E$4&lt;1,$E$4&gt;400),"参考年待填",IF(OR(E329="",F329="",G329=""),"年代待核",IF($E$4&lt;E329,"未出生",IF($E$4&lt;F329,"未登场",IF($E$4&gt;G329,"已过卒年",IF($E$4=G329,"卒年边界待核","年表可登场"))))))</x:f>
        <x:v>已过卒年</x:v>
      </x:c>
      <x:c r="I329" s="12"/>
      <x:c r="J329" s="2" t="str">
        <x:v>SAN14游戏设定</x:v>
      </x:c>
      <x:c r="K329" s="2" t="str"/>
      <x:c r="L329" s="2" t="str">
        <x:v>蔡氏</x:v>
      </x:c>
      <x:c r="M329" s="2" t="str">
        <x:v>san14-candidate-0321</x:v>
      </x:c>
      <x:c r="N329" s="2" t="str">
        <x:v>蔡氏</x:v>
      </x:c>
      <x:c r="O329" s="2" t="str">
        <x:v>サイシ</x:v>
      </x:c>
    </x:row>
    <x:row r="330" ht="23" customHeight="1">
      <x:c r="A330" s="13" t="n">
        <x:v>322</x:v>
      </x:c>
      <x:c r="B330" s="2" t="str">
        <x:v>崔氏</x:v>
      </x:c>
      <x:c r="C330" s="2" t="str">
        <x:v>崔氏</x:v>
      </x:c>
      <x:c r="D330" s="2" t="str"/>
      <x:c r="E330" s="13" t="n">
        <x:v>188</x:v>
      </x:c>
      <x:c r="F330" s="13" t="n">
        <x:v>207</x:v>
      </x:c>
      <x:c r="G330" s="13" t="n">
        <x:v>216</x:v>
      </x:c>
      <x:c r="H330" s="2" t="str">
        <x:f>IF(OR($E$4="",NOT(ISNUMBER($E$4)),$E$4&lt;1,$E$4&gt;400),"参考年待填",IF(OR(E330="",F330="",G330=""),"年代待核",IF($E$4&lt;E330,"未出生",IF($E$4&lt;F330,"未登场",IF($E$4&gt;G330,"已过卒年",IF($E$4=G330,"卒年边界待核","年表可登场"))))))</x:f>
        <x:v>已过卒年</x:v>
      </x:c>
      <x:c r="I330" s="12"/>
      <x:c r="J330" s="2" t="str">
        <x:v>SAN14游戏设定</x:v>
      </x:c>
      <x:c r="K330" s="2" t="str"/>
      <x:c r="L330" s="2" t="str">
        <x:v>崔氏</x:v>
      </x:c>
      <x:c r="M330" s="2" t="str">
        <x:v>san14-candidate-0322</x:v>
      </x:c>
      <x:c r="N330" s="2" t="str">
        <x:v>崔氏</x:v>
      </x:c>
      <x:c r="O330" s="2" t="str">
        <x:v>サイシ</x:v>
      </x:c>
    </x:row>
    <x:row r="331" ht="23" customHeight="1">
      <x:c r="A331" s="13" t="n">
        <x:v>323</x:v>
      </x:c>
      <x:c r="B331" s="2" t="str">
        <x:v>崔州平</x:v>
      </x:c>
      <x:c r="C331" s="2" t="str">
        <x:v>崔州平</x:v>
      </x:c>
      <x:c r="D331" s="2" t="str"/>
      <x:c r="E331" s="13" t="n">
        <x:v>167</x:v>
      </x:c>
      <x:c r="F331" s="13" t="n">
        <x:v>207</x:v>
      </x:c>
      <x:c r="G331" s="13" t="n">
        <x:v>226</x:v>
      </x:c>
      <x:c r="H331" s="2" t="str">
        <x:f>IF(OR($E$4="",NOT(ISNUMBER($E$4)),$E$4&lt;1,$E$4&gt;400),"参考年待填",IF(OR(E331="",F331="",G331=""),"年代待核",IF($E$4&lt;E331,"未出生",IF($E$4&lt;F331,"未登场",IF($E$4&gt;G331,"已过卒年",IF($E$4=G331,"卒年边界待核","年表可登场"))))))</x:f>
        <x:v>已过卒年</x:v>
      </x:c>
      <x:c r="I331" s="12"/>
      <x:c r="J331" s="2" t="str">
        <x:v>SAN14游戏设定</x:v>
      </x:c>
      <x:c r="K331" s="2" t="str"/>
      <x:c r="L331" s="2" t="str">
        <x:v>崔州平</x:v>
      </x:c>
      <x:c r="M331" s="2" t="str">
        <x:v>san14-candidate-0323</x:v>
      </x:c>
      <x:c r="N331" s="2" t="str">
        <x:v>崔州平</x:v>
      </x:c>
      <x:c r="O331" s="2" t="str">
        <x:v>サイシュウヘイ</x:v>
      </x:c>
    </x:row>
    <x:row r="332" ht="23" customHeight="1">
      <x:c r="A332" s="13" t="n">
        <x:v>324</x:v>
      </x:c>
      <x:c r="B332" s="2" t="str">
        <x:v>蔡中</x:v>
      </x:c>
      <x:c r="C332" s="2" t="str">
        <x:v>蔡中</x:v>
      </x:c>
      <x:c r="D332" s="2" t="str"/>
      <x:c r="E332" s="13" t="n">
        <x:v>168</x:v>
      </x:c>
      <x:c r="F332" s="13" t="n">
        <x:v>187</x:v>
      </x:c>
      <x:c r="G332" s="13" t="n">
        <x:v>208</x:v>
      </x:c>
      <x:c r="H332" s="2" t="str">
        <x:f>IF(OR($E$4="",NOT(ISNUMBER($E$4)),$E$4&lt;1,$E$4&gt;400),"参考年待填",IF(OR(E332="",F332="",G332=""),"年代待核",IF($E$4&lt;E332,"未出生",IF($E$4&lt;F332,"未登场",IF($E$4&gt;G332,"已过卒年",IF($E$4=G332,"卒年边界待核","年表可登场"))))))</x:f>
        <x:v>已过卒年</x:v>
      </x:c>
      <x:c r="I332" s="12"/>
      <x:c r="J332" s="2" t="str">
        <x:v>SAN14游戏设定</x:v>
      </x:c>
      <x:c r="K332" s="2" t="str"/>
      <x:c r="L332" s="2" t="str">
        <x:v>蔡中</x:v>
      </x:c>
      <x:c r="M332" s="2" t="str">
        <x:v>san14-candidate-0324</x:v>
      </x:c>
      <x:c r="N332" s="2" t="str">
        <x:v>蔡中</x:v>
      </x:c>
      <x:c r="O332" s="2" t="str">
        <x:v>サイチュウ</x:v>
      </x:c>
    </x:row>
    <x:row r="333" ht="23" customHeight="1">
      <x:c r="A333" s="13" t="n">
        <x:v>325</x:v>
      </x:c>
      <x:c r="B333" s="2" t="str">
        <x:v>蔡瑁</x:v>
      </x:c>
      <x:c r="C333" s="2" t="str">
        <x:v>蔡瑁</x:v>
      </x:c>
      <x:c r="D333" s="2" t="str"/>
      <x:c r="E333" s="13" t="n">
        <x:v>160</x:v>
      </x:c>
      <x:c r="F333" s="13" t="n">
        <x:v>184</x:v>
      </x:c>
      <x:c r="G333" s="13" t="n">
        <x:v>208</x:v>
      </x:c>
      <x:c r="H333" s="2" t="str">
        <x:f>IF(OR($E$4="",NOT(ISNUMBER($E$4)),$E$4&lt;1,$E$4&gt;400),"参考年待填",IF(OR(E333="",F333="",G333=""),"年代待核",IF($E$4&lt;E333,"未出生",IF($E$4&lt;F333,"未登场",IF($E$4&gt;G333,"已过卒年",IF($E$4=G333,"卒年边界待核","年表可登场"))))))</x:f>
        <x:v>已过卒年</x:v>
      </x:c>
      <x:c r="I333" s="12"/>
      <x:c r="J333" s="2" t="str">
        <x:v>SAN14游戏设定</x:v>
      </x:c>
      <x:c r="K333" s="2" t="str"/>
      <x:c r="L333" s="2" t="str">
        <x:v>蔡瑁</x:v>
      </x:c>
      <x:c r="M333" s="2" t="str">
        <x:v>san14-candidate-0325</x:v>
      </x:c>
      <x:c r="N333" s="2" t="str">
        <x:v>蔡瑁</x:v>
      </x:c>
      <x:c r="O333" s="2" t="str">
        <x:v>サイボウ</x:v>
      </x:c>
    </x:row>
    <x:row r="334" ht="23" customHeight="1">
      <x:c r="A334" s="13" t="n">
        <x:v>326</x:v>
      </x:c>
      <x:c r="B334" s="2" t="str">
        <x:v>崔勇</x:v>
      </x:c>
      <x:c r="C334" s="2" t="str">
        <x:v>崔勇</x:v>
      </x:c>
      <x:c r="D334" s="2" t="str"/>
      <x:c r="E334" s="13" t="n">
        <x:v>164</x:v>
      </x:c>
      <x:c r="F334" s="13" t="n">
        <x:v>184</x:v>
      </x:c>
      <x:c r="G334" s="13" t="n">
        <x:v>196</x:v>
      </x:c>
      <x:c r="H334" s="2" t="str">
        <x:f>IF(OR($E$4="",NOT(ISNUMBER($E$4)),$E$4&lt;1,$E$4&gt;400),"参考年待填",IF(OR(E334="",F334="",G334=""),"年代待核",IF($E$4&lt;E334,"未出生",IF($E$4&lt;F334,"未登场",IF($E$4&gt;G334,"已过卒年",IF($E$4=G334,"卒年边界待核","年表可登场"))))))</x:f>
        <x:v>已过卒年</x:v>
      </x:c>
      <x:c r="I334" s="12"/>
      <x:c r="J334" s="2" t="str">
        <x:v>SAN14游戏设定</x:v>
      </x:c>
      <x:c r="K334" s="2" t="str"/>
      <x:c r="L334" s="2" t="str">
        <x:v>崔勇</x:v>
      </x:c>
      <x:c r="M334" s="2" t="str">
        <x:v>san14-candidate-0326</x:v>
      </x:c>
      <x:c r="N334" s="2" t="str">
        <x:v>崔勇</x:v>
      </x:c>
      <x:c r="O334" s="2" t="str">
        <x:v>サイユウ</x:v>
      </x:c>
    </x:row>
    <x:row r="335" ht="23" customHeight="1">
      <x:c r="A335" s="13" t="n">
        <x:v>327</x:v>
      </x:c>
      <x:c r="B335" s="2" t="str">
        <x:v>蔡邕</x:v>
      </x:c>
      <x:c r="C335" s="2" t="str">
        <x:v>蔡邕</x:v>
      </x:c>
      <x:c r="D335" s="2" t="str"/>
      <x:c r="E335" s="13" t="n">
        <x:v>133</x:v>
      </x:c>
      <x:c r="F335" s="13" t="n">
        <x:v>184</x:v>
      </x:c>
      <x:c r="G335" s="13" t="n">
        <x:v>192</x:v>
      </x:c>
      <x:c r="H335" s="2" t="str">
        <x:f>IF(OR($E$4="",NOT(ISNUMBER($E$4)),$E$4&lt;1,$E$4&gt;400),"参考年待填",IF(OR(E335="",F335="",G335=""),"年代待核",IF($E$4&lt;E335,"未出生",IF($E$4&lt;F335,"未登场",IF($E$4&gt;G335,"已过卒年",IF($E$4=G335,"卒年边界待核","年表可登场"))))))</x:f>
        <x:v>已过卒年</x:v>
      </x:c>
      <x:c r="I335" s="12"/>
      <x:c r="J335" s="2" t="str">
        <x:v>SAN14游戏设定</x:v>
      </x:c>
      <x:c r="K335" s="2" t="str"/>
      <x:c r="L335" s="2" t="str">
        <x:v>蔡邕</x:v>
      </x:c>
      <x:c r="M335" s="2" t="str">
        <x:v>san14-candidate-0327</x:v>
      </x:c>
      <x:c r="N335" s="2" t="str">
        <x:v>蔡ヨウ</x:v>
      </x:c>
      <x:c r="O335" s="2" t="str">
        <x:v>サイヨウ</x:v>
      </x:c>
    </x:row>
    <x:row r="336" ht="23" customHeight="1">
      <x:c r="A336" s="13" t="n">
        <x:v>328</x:v>
      </x:c>
      <x:c r="B336" s="2" t="str">
        <x:v>崔林</x:v>
      </x:c>
      <x:c r="C336" s="2" t="str">
        <x:v>崔林</x:v>
      </x:c>
      <x:c r="D336" s="2" t="str"/>
      <x:c r="E336" s="13" t="n">
        <x:v>177</x:v>
      </x:c>
      <x:c r="F336" s="13" t="n">
        <x:v>196</x:v>
      </x:c>
      <x:c r="G336" s="13" t="n">
        <x:v>244</x:v>
      </x:c>
      <x:c r="H336" s="2" t="str">
        <x:f>IF(OR($E$4="",NOT(ISNUMBER($E$4)),$E$4&lt;1,$E$4&gt;400),"参考年待填",IF(OR(E336="",F336="",G336=""),"年代待核",IF($E$4&lt;E336,"未出生",IF($E$4&lt;F336,"未登场",IF($E$4&gt;G336,"已过卒年",IF($E$4=G336,"卒年边界待核","年表可登场"))))))</x:f>
        <x:v>年表可登场</x:v>
      </x:c>
      <x:c r="I336" s="12"/>
      <x:c r="J336" s="2" t="str">
        <x:v>SAN14游戏设定</x:v>
      </x:c>
      <x:c r="K336" s="2" t="str"/>
      <x:c r="L336" s="2" t="str">
        <x:v>崔林</x:v>
      </x:c>
      <x:c r="M336" s="2" t="str">
        <x:v>san14-candidate-0328</x:v>
      </x:c>
      <x:c r="N336" s="2" t="str">
        <x:v>崔林</x:v>
      </x:c>
      <x:c r="O336" s="2" t="str">
        <x:v>サイリン</x:v>
      </x:c>
    </x:row>
    <x:row r="337" ht="23" customHeight="1">
      <x:c r="A337" s="13" t="n">
        <x:v>329</x:v>
      </x:c>
      <x:c r="B337" s="2" t="str">
        <x:v>左奕</x:v>
      </x:c>
      <x:c r="C337" s="2" t="str">
        <x:v>左奕</x:v>
      </x:c>
      <x:c r="D337" s="2" t="str"/>
      <x:c r="E337" s="13" t="n">
        <x:v>232</x:v>
      </x:c>
      <x:c r="F337" s="13" t="n">
        <x:v>251</x:v>
      </x:c>
      <x:c r="G337" s="13" t="n">
        <x:v>280</x:v>
      </x:c>
      <x:c r="H337" s="2" t="str">
        <x:f>IF(OR($E$4="",NOT(ISNUMBER($E$4)),$E$4&lt;1,$E$4&gt;400),"参考年待填",IF(OR(E337="",F337="",G337=""),"年代待核",IF($E$4&lt;E337,"未出生",IF($E$4&lt;F337,"未登场",IF($E$4&gt;G337,"已过卒年",IF($E$4=G337,"卒年边界待核","年表可登场"))))))</x:f>
        <x:v>未出生</x:v>
      </x:c>
      <x:c r="I337" s="12"/>
      <x:c r="J337" s="2" t="str">
        <x:v>SAN14游戏设定</x:v>
      </x:c>
      <x:c r="K337" s="2" t="str"/>
      <x:c r="L337" s="2" t="str">
        <x:v>左奕</x:v>
      </x:c>
      <x:c r="M337" s="2" t="str">
        <x:v>san14-candidate-0329</x:v>
      </x:c>
      <x:c r="N337" s="2" t="str">
        <x:v>左奕</x:v>
      </x:c>
      <x:c r="O337" s="2" t="str">
        <x:v>サエキ</x:v>
      </x:c>
    </x:row>
    <x:row r="338" ht="23" customHeight="1">
      <x:c r="A338" s="13" t="n">
        <x:v>330</x:v>
      </x:c>
      <x:c r="B338" s="2" t="str">
        <x:v>笮融</x:v>
      </x:c>
      <x:c r="C338" s="2" t="str">
        <x:v>笮融</x:v>
      </x:c>
      <x:c r="D338" s="2" t="str"/>
      <x:c r="E338" s="13" t="n">
        <x:v>161</x:v>
      </x:c>
      <x:c r="F338" s="13" t="n">
        <x:v>184</x:v>
      </x:c>
      <x:c r="G338" s="13" t="n">
        <x:v>195</x:v>
      </x:c>
      <x:c r="H338" s="2" t="str">
        <x:f>IF(OR($E$4="",NOT(ISNUMBER($E$4)),$E$4&lt;1,$E$4&gt;400),"参考年待填",IF(OR(E338="",F338="",G338=""),"年代待核",IF($E$4&lt;E338,"未出生",IF($E$4&lt;F338,"未登场",IF($E$4&gt;G338,"已过卒年",IF($E$4=G338,"卒年边界待核","年表可登场"))))))</x:f>
        <x:v>已过卒年</x:v>
      </x:c>
      <x:c r="I338" s="12"/>
      <x:c r="J338" s="2" t="str">
        <x:v>SAN14游戏设定</x:v>
      </x:c>
      <x:c r="K338" s="2" t="str"/>
      <x:c r="L338" s="2" t="str">
        <x:v>笮融</x:v>
      </x:c>
      <x:c r="M338" s="2" t="str">
        <x:v>san14-candidate-0330</x:v>
      </x:c>
      <x:c r="N338" s="2" t="str">
        <x:v>サク融</x:v>
      </x:c>
      <x:c r="O338" s="2" t="str">
        <x:v>サクユウ</x:v>
      </x:c>
    </x:row>
    <x:row r="339" ht="23" customHeight="1">
      <x:c r="A339" s="13" t="n">
        <x:v>331</x:v>
      </x:c>
      <x:c r="B339" s="2" t="str">
        <x:v>左灵</x:v>
      </x:c>
      <x:c r="C339" s="2" t="str">
        <x:v>左靈</x:v>
      </x:c>
      <x:c r="D339" s="2" t="str"/>
      <x:c r="E339" s="13" t="n">
        <x:v>153</x:v>
      </x:c>
      <x:c r="F339" s="13" t="n">
        <x:v>184</x:v>
      </x:c>
      <x:c r="G339" s="13" t="n">
        <x:v>197</x:v>
      </x:c>
      <x:c r="H339" s="2" t="str">
        <x:f>IF(OR($E$4="",NOT(ISNUMBER($E$4)),$E$4&lt;1,$E$4&gt;400),"参考年待填",IF(OR(E339="",F339="",G339=""),"年代待核",IF($E$4&lt;E339,"未出生",IF($E$4&lt;F339,"未登场",IF($E$4&gt;G339,"已过卒年",IF($E$4=G339,"卒年边界待核","年表可登场"))))))</x:f>
        <x:v>已过卒年</x:v>
      </x:c>
      <x:c r="I339" s="12"/>
      <x:c r="J339" s="2" t="str">
        <x:v>SAN14游戏设定</x:v>
      </x:c>
      <x:c r="K339" s="2" t="str"/>
      <x:c r="L339" s="2" t="str">
        <x:v>左靈</x:v>
      </x:c>
      <x:c r="M339" s="2" t="str">
        <x:v>san14-candidate-0331</x:v>
      </x:c>
      <x:c r="N339" s="2" t="str">
        <x:v>左霊</x:v>
      </x:c>
      <x:c r="O339" s="2" t="str">
        <x:v>サレイ</x:v>
      </x:c>
    </x:row>
    <x:row r="340" ht="23" customHeight="1">
      <x:c r="A340" s="13" t="n">
        <x:v>332</x:v>
      </x:c>
      <x:c r="B340" s="2" t="str">
        <x:v>士壹</x:v>
      </x:c>
      <x:c r="C340" s="2" t="str">
        <x:v>士壹</x:v>
      </x:c>
      <x:c r="D340" s="2" t="str"/>
      <x:c r="E340" s="13" t="n">
        <x:v>153</x:v>
      </x:c>
      <x:c r="F340" s="13" t="n">
        <x:v>184</x:v>
      </x:c>
      <x:c r="G340" s="13" t="n">
        <x:v>229</x:v>
      </x:c>
      <x:c r="H340" s="2" t="str">
        <x:f>IF(OR($E$4="",NOT(ISNUMBER($E$4)),$E$4&lt;1,$E$4&gt;400),"参考年待填",IF(OR(E340="",F340="",G340=""),"年代待核",IF($E$4&lt;E340,"未出生",IF($E$4&lt;F340,"未登场",IF($E$4&gt;G340,"已过卒年",IF($E$4=G340,"卒年边界待核","年表可登场"))))))</x:f>
        <x:v>已过卒年</x:v>
      </x:c>
      <x:c r="I340" s="12"/>
      <x:c r="J340" s="2" t="str">
        <x:v>SAN14游戏设定</x:v>
      </x:c>
      <x:c r="K340" s="2" t="str"/>
      <x:c r="L340" s="2" t="str">
        <x:v>士壹</x:v>
      </x:c>
      <x:c r="M340" s="2" t="str">
        <x:v>san14-candidate-0332</x:v>
      </x:c>
      <x:c r="N340" s="2" t="str">
        <x:v>士壱</x:v>
      </x:c>
      <x:c r="O340" s="2" t="str">
        <x:v>シイツ</x:v>
      </x:c>
    </x:row>
    <x:row r="341" ht="23" customHeight="1">
      <x:c r="A341" s="13" t="n">
        <x:v>333</x:v>
      </x:c>
      <x:c r="B341" s="2" t="str">
        <x:v>史涣</x:v>
      </x:c>
      <x:c r="C341" s="2" t="str">
        <x:v>史渙</x:v>
      </x:c>
      <x:c r="D341" s="2" t="str"/>
      <x:c r="E341" s="13" t="n">
        <x:v>176</x:v>
      </x:c>
      <x:c r="F341" s="13" t="n">
        <x:v>190</x:v>
      </x:c>
      <x:c r="G341" s="13" t="n">
        <x:v>202</x:v>
      </x:c>
      <x:c r="H341" s="2" t="str">
        <x:f>IF(OR($E$4="",NOT(ISNUMBER($E$4)),$E$4&lt;1,$E$4&gt;400),"参考年待填",IF(OR(E341="",F341="",G341=""),"年代待核",IF($E$4&lt;E341,"未出生",IF($E$4&lt;F341,"未登场",IF($E$4&gt;G341,"已过卒年",IF($E$4=G341,"卒年边界待核","年表可登场"))))))</x:f>
        <x:v>已过卒年</x:v>
      </x:c>
      <x:c r="I341" s="12"/>
      <x:c r="J341" s="2" t="str">
        <x:v>SAN14游戏设定</x:v>
      </x:c>
      <x:c r="K341" s="2" t="str"/>
      <x:c r="L341" s="2" t="str">
        <x:v>史渙</x:v>
      </x:c>
      <x:c r="M341" s="2" t="str">
        <x:v>san14-candidate-0333</x:v>
      </x:c>
      <x:c r="N341" s="2" t="str">
        <x:v>史渙</x:v>
      </x:c>
      <x:c r="O341" s="2" t="str">
        <x:v>シカン</x:v>
      </x:c>
    </x:row>
    <x:row r="342" ht="23" customHeight="1">
      <x:c r="A342" s="13" t="n">
        <x:v>334</x:v>
      </x:c>
      <x:c r="B342" s="2" t="str">
        <x:v>士徽</x:v>
      </x:c>
      <x:c r="C342" s="2" t="str">
        <x:v>士徽</x:v>
      </x:c>
      <x:c r="D342" s="2" t="str"/>
      <x:c r="E342" s="13" t="n">
        <x:v>165</x:v>
      </x:c>
      <x:c r="F342" s="13" t="n">
        <x:v>184</x:v>
      </x:c>
      <x:c r="G342" s="13" t="n">
        <x:v>226</x:v>
      </x:c>
      <x:c r="H342" s="2" t="str">
        <x:f>IF(OR($E$4="",NOT(ISNUMBER($E$4)),$E$4&lt;1,$E$4&gt;400),"参考年待填",IF(OR(E342="",F342="",G342=""),"年代待核",IF($E$4&lt;E342,"未出生",IF($E$4&lt;F342,"未登场",IF($E$4&gt;G342,"已过卒年",IF($E$4=G342,"卒年边界待核","年表可登场"))))))</x:f>
        <x:v>已过卒年</x:v>
      </x:c>
      <x:c r="I342" s="12"/>
      <x:c r="J342" s="2" t="str">
        <x:v>SAN14游戏设定</x:v>
      </x:c>
      <x:c r="K342" s="2" t="str"/>
      <x:c r="L342" s="2" t="str">
        <x:v>士徽</x:v>
      </x:c>
      <x:c r="M342" s="2" t="str">
        <x:v>san14-candidate-0334</x:v>
      </x:c>
      <x:c r="N342" s="2" t="str">
        <x:v>士徽</x:v>
      </x:c>
      <x:c r="O342" s="2" t="str">
        <x:v>シキ</x:v>
      </x:c>
    </x:row>
    <x:row r="343" ht="23" customHeight="1">
      <x:c r="A343" s="13" t="n">
        <x:v>335</x:v>
      </x:c>
      <x:c r="B343" s="2" t="str">
        <x:v>是仪</x:v>
      </x:c>
      <x:c r="C343" s="2" t="str">
        <x:v>是儀</x:v>
      </x:c>
      <x:c r="D343" s="2" t="str"/>
      <x:c r="E343" s="13" t="n">
        <x:v>161</x:v>
      </x:c>
      <x:c r="F343" s="13" t="n">
        <x:v>184</x:v>
      </x:c>
      <x:c r="G343" s="13" t="n">
        <x:v>241</x:v>
      </x:c>
      <x:c r="H343" s="2" t="str">
        <x:f>IF(OR($E$4="",NOT(ISNUMBER($E$4)),$E$4&lt;1,$E$4&gt;400),"参考年待填",IF(OR(E343="",F343="",G343=""),"年代待核",IF($E$4&lt;E343,"未出生",IF($E$4&lt;F343,"未登场",IF($E$4&gt;G343,"已过卒年",IF($E$4=G343,"卒年边界待核","年表可登场"))))))</x:f>
        <x:v>年表可登场</x:v>
      </x:c>
      <x:c r="I343" s="12"/>
      <x:c r="J343" s="2" t="str">
        <x:v>SAN14游戏设定</x:v>
      </x:c>
      <x:c r="K343" s="2" t="str"/>
      <x:c r="L343" s="2" t="str">
        <x:v>是儀</x:v>
      </x:c>
      <x:c r="M343" s="2" t="str">
        <x:v>san14-candidate-0335</x:v>
      </x:c>
      <x:c r="N343" s="2" t="str">
        <x:v>是儀</x:v>
      </x:c>
      <x:c r="O343" s="2" t="str">
        <x:v>シギ</x:v>
      </x:c>
    </x:row>
    <x:row r="344" ht="23" customHeight="1">
      <x:c r="A344" s="13" t="n">
        <x:v>336</x:v>
      </x:c>
      <x:c r="B344" s="2" t="str">
        <x:v>士匡</x:v>
      </x:c>
      <x:c r="C344" s="2" t="str">
        <x:v>士匡</x:v>
      </x:c>
      <x:c r="D344" s="2" t="str"/>
      <x:c r="E344" s="13" t="n">
        <x:v>175</x:v>
      </x:c>
      <x:c r="F344" s="13" t="n">
        <x:v>194</x:v>
      </x:c>
      <x:c r="G344" s="13" t="n">
        <x:v>229</x:v>
      </x:c>
      <x:c r="H344" s="2" t="str">
        <x:f>IF(OR($E$4="",NOT(ISNUMBER($E$4)),$E$4&lt;1,$E$4&gt;400),"参考年待填",IF(OR(E344="",F344="",G344=""),"年代待核",IF($E$4&lt;E344,"未出生",IF($E$4&lt;F344,"未登场",IF($E$4&gt;G344,"已过卒年",IF($E$4=G344,"卒年边界待核","年表可登场"))))))</x:f>
        <x:v>已过卒年</x:v>
      </x:c>
      <x:c r="I344" s="12"/>
      <x:c r="J344" s="2" t="str">
        <x:v>SAN14游戏设定</x:v>
      </x:c>
      <x:c r="K344" s="2" t="str"/>
      <x:c r="L344" s="2" t="str">
        <x:v>士匡</x:v>
      </x:c>
      <x:c r="M344" s="2" t="str">
        <x:v>san14-candidate-0336</x:v>
      </x:c>
      <x:c r="N344" s="2" t="str">
        <x:v>士匡</x:v>
      </x:c>
      <x:c r="O344" s="2" t="str">
        <x:v>シキョウ</x:v>
      </x:c>
    </x:row>
    <x:row r="345" ht="23" customHeight="1">
      <x:c r="A345" s="13" t="n">
        <x:v>337</x:v>
      </x:c>
      <x:c r="B345" s="2" t="str">
        <x:v>士𫷷</x:v>
      </x:c>
      <x:c r="C345" s="2" t="str">
        <x:v>士廞</x:v>
      </x:c>
      <x:c r="D345" s="2" t="str"/>
      <x:c r="E345" s="13" t="n">
        <x:v>161</x:v>
      </x:c>
      <x:c r="F345" s="13" t="n">
        <x:v>184</x:v>
      </x:c>
      <x:c r="G345" s="13" t="n">
        <x:v>230</x:v>
      </x:c>
      <x:c r="H345" s="2" t="str">
        <x:f>IF(OR($E$4="",NOT(ISNUMBER($E$4)),$E$4&lt;1,$E$4&gt;400),"参考年待填",IF(OR(E345="",F345="",G345=""),"年代待核",IF($E$4&lt;E345,"未出生",IF($E$4&lt;F345,"未登场",IF($E$4&gt;G345,"已过卒年",IF($E$4=G345,"卒年边界待核","年表可登场"))))))</x:f>
        <x:v>卒年边界待核</x:v>
      </x:c>
      <x:c r="I345" s="12"/>
      <x:c r="J345" s="2" t="str">
        <x:v>SAN14游戏设定</x:v>
      </x:c>
      <x:c r="K345" s="2" t="str"/>
      <x:c r="L345" s="2" t="str">
        <x:v>士廞</x:v>
      </x:c>
      <x:c r="M345" s="2" t="str">
        <x:v>san14-candidate-0337</x:v>
      </x:c>
      <x:c r="N345" s="2" t="str">
        <x:v>士キン</x:v>
      </x:c>
      <x:c r="O345" s="2" t="str">
        <x:v>シキン</x:v>
      </x:c>
    </x:row>
    <x:row r="346" ht="23" customHeight="1">
      <x:c r="A346" s="13" t="n">
        <x:v>338</x:v>
      </x:c>
      <x:c r="B346" s="2" t="str">
        <x:v>施朔</x:v>
      </x:c>
      <x:c r="C346" s="2" t="str">
        <x:v>施朔</x:v>
      </x:c>
      <x:c r="D346" s="2" t="str"/>
      <x:c r="E346" s="13" t="n">
        <x:v>226</x:v>
      </x:c>
      <x:c r="F346" s="13" t="n">
        <x:v>245</x:v>
      </x:c>
      <x:c r="G346" s="13" t="n">
        <x:v>268</x:v>
      </x:c>
      <x:c r="H346" s="2" t="str">
        <x:f>IF(OR($E$4="",NOT(ISNUMBER($E$4)),$E$4&lt;1,$E$4&gt;400),"参考年待填",IF(OR(E346="",F346="",G346=""),"年代待核",IF($E$4&lt;E346,"未出生",IF($E$4&lt;F346,"未登场",IF($E$4&gt;G346,"已过卒年",IF($E$4=G346,"卒年边界待核","年表可登场"))))))</x:f>
        <x:v>未登场</x:v>
      </x:c>
      <x:c r="I346" s="12"/>
      <x:c r="J346" s="2" t="str">
        <x:v>SAN14游戏设定</x:v>
      </x:c>
      <x:c r="K346" s="2" t="str"/>
      <x:c r="L346" s="2" t="str">
        <x:v>施朔</x:v>
      </x:c>
      <x:c r="M346" s="2" t="str">
        <x:v>san14-candidate-0338</x:v>
      </x:c>
      <x:c r="N346" s="2" t="str">
        <x:v>施朔</x:v>
      </x:c>
      <x:c r="O346" s="2" t="str">
        <x:v>シサク</x:v>
      </x:c>
    </x:row>
    <x:row r="347" ht="23" customHeight="1">
      <x:c r="A347" s="13" t="n">
        <x:v>339</x:v>
      </x:c>
      <x:c r="B347" s="2" t="str">
        <x:v>师纂</x:v>
      </x:c>
      <x:c r="C347" s="2" t="str">
        <x:v>師纂</x:v>
      </x:c>
      <x:c r="D347" s="2" t="str"/>
      <x:c r="E347" s="13" t="n">
        <x:v>215</x:v>
      </x:c>
      <x:c r="F347" s="13" t="n">
        <x:v>234</x:v>
      </x:c>
      <x:c r="G347" s="13" t="n">
        <x:v>264</x:v>
      </x:c>
      <x:c r="H347" s="2" t="str">
        <x:f>IF(OR($E$4="",NOT(ISNUMBER($E$4)),$E$4&lt;1,$E$4&gt;400),"参考年待填",IF(OR(E347="",F347="",G347=""),"年代待核",IF($E$4&lt;E347,"未出生",IF($E$4&lt;F347,"未登场",IF($E$4&gt;G347,"已过卒年",IF($E$4=G347,"卒年边界待核","年表可登场"))))))</x:f>
        <x:v>未登场</x:v>
      </x:c>
      <x:c r="I347" s="12"/>
      <x:c r="J347" s="2" t="str">
        <x:v>SAN14游戏设定</x:v>
      </x:c>
      <x:c r="K347" s="2" t="str"/>
      <x:c r="L347" s="2" t="str">
        <x:v>師纂</x:v>
      </x:c>
      <x:c r="M347" s="2" t="str">
        <x:v>san14-candidate-0339</x:v>
      </x:c>
      <x:c r="N347" s="2" t="str">
        <x:v>師纂</x:v>
      </x:c>
      <x:c r="O347" s="2" t="str">
        <x:v>シサン</x:v>
      </x:c>
    </x:row>
    <x:row r="348" ht="23" customHeight="1">
      <x:c r="A348" s="13" t="n">
        <x:v>340</x:v>
      </x:c>
      <x:c r="B348" s="2" t="str">
        <x:v>士祗</x:v>
      </x:c>
      <x:c r="C348" s="2" t="str">
        <x:v>士祗</x:v>
      </x:c>
      <x:c r="D348" s="2" t="str"/>
      <x:c r="E348" s="13" t="n">
        <x:v>163</x:v>
      </x:c>
      <x:c r="F348" s="13" t="n">
        <x:v>184</x:v>
      </x:c>
      <x:c r="G348" s="13" t="n">
        <x:v>226</x:v>
      </x:c>
      <x:c r="H348" s="2" t="str">
        <x:f>IF(OR($E$4="",NOT(ISNUMBER($E$4)),$E$4&lt;1,$E$4&gt;400),"参考年待填",IF(OR(E348="",F348="",G348=""),"年代待核",IF($E$4&lt;E348,"未出生",IF($E$4&lt;F348,"未登场",IF($E$4&gt;G348,"已过卒年",IF($E$4=G348,"卒年边界待核","年表可登场"))))))</x:f>
        <x:v>已过卒年</x:v>
      </x:c>
      <x:c r="I348" s="12"/>
      <x:c r="J348" s="2" t="str">
        <x:v>SAN14游戏设定</x:v>
      </x:c>
      <x:c r="K348" s="2" t="str"/>
      <x:c r="L348" s="2" t="str">
        <x:v>士祗</x:v>
      </x:c>
      <x:c r="M348" s="2" t="str">
        <x:v>san14-candidate-0340</x:v>
      </x:c>
      <x:c r="N348" s="2" t="str">
        <x:v>士祗</x:v>
      </x:c>
      <x:c r="O348" s="2" t="str">
        <x:v>シシ</x:v>
      </x:c>
    </x:row>
    <x:row r="349" ht="23" customHeight="1">
      <x:c r="A349" s="13" t="n">
        <x:v>341</x:v>
      </x:c>
      <x:c r="B349" s="2" t="str">
        <x:v>士燮</x:v>
      </x:c>
      <x:c r="C349" s="2" t="str">
        <x:v>士燮</x:v>
      </x:c>
      <x:c r="D349" s="2" t="str"/>
      <x:c r="E349" s="13" t="n">
        <x:v>137</x:v>
      </x:c>
      <x:c r="F349" s="13" t="n">
        <x:v>184</x:v>
      </x:c>
      <x:c r="G349" s="13" t="n">
        <x:v>226</x:v>
      </x:c>
      <x:c r="H349" s="2" t="str">
        <x:f>IF(OR($E$4="",NOT(ISNUMBER($E$4)),$E$4&lt;1,$E$4&gt;400),"参考年待填",IF(OR(E349="",F349="",G349=""),"年代待核",IF($E$4&lt;E349,"未出生",IF($E$4&lt;F349,"未登场",IF($E$4&gt;G349,"已过卒年",IF($E$4=G349,"卒年边界待核","年表可登场"))))))</x:f>
        <x:v>已过卒年</x:v>
      </x:c>
      <x:c r="I349" s="12"/>
      <x:c r="J349" s="2" t="str">
        <x:v>SAN14游戏设定</x:v>
      </x:c>
      <x:c r="K349" s="2" t="str"/>
      <x:c r="L349" s="2" t="str">
        <x:v>士燮</x:v>
      </x:c>
      <x:c r="M349" s="2" t="str">
        <x:v>san14-candidate-0341</x:v>
      </x:c>
      <x:c r="N349" s="2" t="str">
        <x:v>士燮</x:v>
      </x:c>
      <x:c r="O349" s="2" t="str">
        <x:v>シショウ</x:v>
      </x:c>
    </x:row>
    <x:row r="350" ht="23" customHeight="1">
      <x:c r="A350" s="13" t="n">
        <x:v>342</x:v>
      </x:c>
      <x:c r="B350" s="2" t="str">
        <x:v>史迹</x:v>
      </x:c>
      <x:c r="C350" s="2" t="str">
        <x:v>史蹟</x:v>
      </x:c>
      <x:c r="D350" s="2" t="str"/>
      <x:c r="E350" s="13" t="n">
        <x:v>176</x:v>
      </x:c>
      <x:c r="F350" s="13" t="n">
        <x:v>196</x:v>
      </x:c>
      <x:c r="G350" s="13" t="n">
        <x:v>222</x:v>
      </x:c>
      <x:c r="H350" s="2" t="str">
        <x:f>IF(OR($E$4="",NOT(ISNUMBER($E$4)),$E$4&lt;1,$E$4&gt;400),"参考年待填",IF(OR(E350="",F350="",G350=""),"年代待核",IF($E$4&lt;E350,"未出生",IF($E$4&lt;F350,"未登场",IF($E$4&gt;G350,"已过卒年",IF($E$4=G350,"卒年边界待核","年表可登场"))))))</x:f>
        <x:v>已过卒年</x:v>
      </x:c>
      <x:c r="I350" s="12"/>
      <x:c r="J350" s="2" t="str">
        <x:v>SAN14游戏设定</x:v>
      </x:c>
      <x:c r="K350" s="2" t="str"/>
      <x:c r="L350" s="2" t="str">
        <x:v>史蹟</x:v>
      </x:c>
      <x:c r="M350" s="2" t="str">
        <x:v>san14-candidate-0342</x:v>
      </x:c>
      <x:c r="N350" s="2" t="str">
        <x:v>史蹟</x:v>
      </x:c>
      <x:c r="O350" s="2" t="str">
        <x:v>シセキ</x:v>
      </x:c>
    </x:row>
    <x:row r="351" ht="23" customHeight="1">
      <x:c r="A351" s="13" t="n">
        <x:v>343</x:v>
      </x:c>
      <x:c r="B351" s="2" t="str">
        <x:v>士孙瑞</x:v>
      </x:c>
      <x:c r="C351" s="2" t="str">
        <x:v>士孫瑞</x:v>
      </x:c>
      <x:c r="D351" s="2" t="str"/>
      <x:c r="E351" s="13" t="n">
        <x:v>129</x:v>
      </x:c>
      <x:c r="F351" s="13" t="n">
        <x:v>184</x:v>
      </x:c>
      <x:c r="G351" s="13" t="n">
        <x:v>195</x:v>
      </x:c>
      <x:c r="H351" s="2" t="str">
        <x:f>IF(OR($E$4="",NOT(ISNUMBER($E$4)),$E$4&lt;1,$E$4&gt;400),"参考年待填",IF(OR(E351="",F351="",G351=""),"年代待核",IF($E$4&lt;E351,"未出生",IF($E$4&lt;F351,"未登场",IF($E$4&gt;G351,"已过卒年",IF($E$4=G351,"卒年边界待核","年表可登场"))))))</x:f>
        <x:v>已过卒年</x:v>
      </x:c>
      <x:c r="I351" s="12"/>
      <x:c r="J351" s="2" t="str">
        <x:v>SAN14游戏设定</x:v>
      </x:c>
      <x:c r="K351" s="2" t="str"/>
      <x:c r="L351" s="2" t="str">
        <x:v>士孫瑞</x:v>
      </x:c>
      <x:c r="M351" s="2" t="str">
        <x:v>san14-candidate-0343</x:v>
      </x:c>
      <x:c r="N351" s="2" t="str">
        <x:v>士孫瑞</x:v>
      </x:c>
      <x:c r="O351" s="2" t="str">
        <x:v>シソンズイ</x:v>
      </x:c>
    </x:row>
    <x:row r="352" ht="23" customHeight="1">
      <x:c r="A352" s="13" t="n">
        <x:v>344</x:v>
      </x:c>
      <x:c r="B352" s="2" t="str">
        <x:v>司马懿</x:v>
      </x:c>
      <x:c r="C352" s="2" t="str">
        <x:v>司馬懿</x:v>
      </x:c>
      <x:c r="D352" s="2" t="str"/>
      <x:c r="E352" s="13" t="n">
        <x:v>179</x:v>
      </x:c>
      <x:c r="F352" s="13" t="n">
        <x:v>198</x:v>
      </x:c>
      <x:c r="G352" s="13" t="n">
        <x:v>251</x:v>
      </x:c>
      <x:c r="H352" s="2" t="str">
        <x:f>IF(OR($E$4="",NOT(ISNUMBER($E$4)),$E$4&lt;1,$E$4&gt;400),"参考年待填",IF(OR(E352="",F352="",G352=""),"年代待核",IF($E$4&lt;E352,"未出生",IF($E$4&lt;F352,"未登场",IF($E$4&gt;G352,"已过卒年",IF($E$4=G352,"卒年边界待核","年表可登场"))))))</x:f>
        <x:v>年表可登场</x:v>
      </x:c>
      <x:c r="I352" s="12"/>
      <x:c r="J352" s="2" t="str">
        <x:v>SAN14游戏设定</x:v>
      </x:c>
      <x:c r="K352" s="2" t="str"/>
      <x:c r="L352" s="2" t="str">
        <x:v>司馬懿</x:v>
      </x:c>
      <x:c r="M352" s="2" t="str">
        <x:v>san14-candidate-0344</x:v>
      </x:c>
      <x:c r="N352" s="2" t="str">
        <x:v>司馬懿</x:v>
      </x:c>
      <x:c r="O352" s="2" t="str">
        <x:v>シバイ</x:v>
      </x:c>
    </x:row>
    <x:row r="353" ht="23" customHeight="1">
      <x:c r="A353" s="13" t="n">
        <x:v>345</x:v>
      </x:c>
      <x:c r="B353" s="2" t="str">
        <x:v>司马炎</x:v>
      </x:c>
      <x:c r="C353" s="2" t="str">
        <x:v>司馬炎</x:v>
      </x:c>
      <x:c r="D353" s="2" t="str"/>
      <x:c r="E353" s="13" t="n">
        <x:v>236</x:v>
      </x:c>
      <x:c r="F353" s="13" t="n">
        <x:v>250</x:v>
      </x:c>
      <x:c r="G353" s="13" t="n">
        <x:v>290</x:v>
      </x:c>
      <x:c r="H353" s="2" t="str">
        <x:f>IF(OR($E$4="",NOT(ISNUMBER($E$4)),$E$4&lt;1,$E$4&gt;400),"参考年待填",IF(OR(E353="",F353="",G353=""),"年代待核",IF($E$4&lt;E353,"未出生",IF($E$4&lt;F353,"未登场",IF($E$4&gt;G353,"已过卒年",IF($E$4=G353,"卒年边界待核","年表可登场"))))))</x:f>
        <x:v>未出生</x:v>
      </x:c>
      <x:c r="I353" s="12"/>
      <x:c r="J353" s="2" t="str">
        <x:v>SAN14游戏设定</x:v>
      </x:c>
      <x:c r="K353" s="2" t="str"/>
      <x:c r="L353" s="2" t="str">
        <x:v>司馬炎</x:v>
      </x:c>
      <x:c r="M353" s="2" t="str">
        <x:v>san14-candidate-0345</x:v>
      </x:c>
      <x:c r="N353" s="2" t="str">
        <x:v>司馬炎</x:v>
      </x:c>
      <x:c r="O353" s="2" t="str">
        <x:v>シバエン</x:v>
      </x:c>
    </x:row>
    <x:row r="354" ht="23" customHeight="1">
      <x:c r="A354" s="13" t="n">
        <x:v>346</x:v>
      </x:c>
      <x:c r="B354" s="2" t="str">
        <x:v>司马师</x:v>
      </x:c>
      <x:c r="C354" s="2" t="str">
        <x:v>司馬師</x:v>
      </x:c>
      <x:c r="D354" s="2" t="str"/>
      <x:c r="E354" s="13" t="n">
        <x:v>208</x:v>
      </x:c>
      <x:c r="F354" s="13" t="n">
        <x:v>222</x:v>
      </x:c>
      <x:c r="G354" s="13" t="n">
        <x:v>255</x:v>
      </x:c>
      <x:c r="H354" s="2" t="str">
        <x:f>IF(OR($E$4="",NOT(ISNUMBER($E$4)),$E$4&lt;1,$E$4&gt;400),"参考年待填",IF(OR(E354="",F354="",G354=""),"年代待核",IF($E$4&lt;E354,"未出生",IF($E$4&lt;F354,"未登场",IF($E$4&gt;G354,"已过卒年",IF($E$4=G354,"卒年边界待核","年表可登场"))))))</x:f>
        <x:v>年表可登场</x:v>
      </x:c>
      <x:c r="I354" s="12"/>
      <x:c r="J354" s="2" t="str">
        <x:v>SAN14游戏设定</x:v>
      </x:c>
      <x:c r="K354" s="2" t="str"/>
      <x:c r="L354" s="2" t="str">
        <x:v>司馬師</x:v>
      </x:c>
      <x:c r="M354" s="2" t="str">
        <x:v>san14-candidate-0346</x:v>
      </x:c>
      <x:c r="N354" s="2" t="str">
        <x:v>司馬師</x:v>
      </x:c>
      <x:c r="O354" s="2" t="str">
        <x:v>シバシ</x:v>
      </x:c>
    </x:row>
    <x:row r="355" ht="23" customHeight="1">
      <x:c r="A355" s="13" t="n">
        <x:v>347</x:v>
      </x:c>
      <x:c r="B355" s="2" t="str">
        <x:v>司马芝</x:v>
      </x:c>
      <x:c r="C355" s="2" t="str">
        <x:v>司馬芝</x:v>
      </x:c>
      <x:c r="D355" s="2" t="str"/>
      <x:c r="E355" s="13" t="n">
        <x:v>168</x:v>
      </x:c>
      <x:c r="F355" s="13" t="n">
        <x:v>192</x:v>
      </x:c>
      <x:c r="G355" s="13" t="n">
        <x:v>232</x:v>
      </x:c>
      <x:c r="H355" s="2" t="str">
        <x:f>IF(OR($E$4="",NOT(ISNUMBER($E$4)),$E$4&lt;1,$E$4&gt;400),"参考年待填",IF(OR(E355="",F355="",G355=""),"年代待核",IF($E$4&lt;E355,"未出生",IF($E$4&lt;F355,"未登场",IF($E$4&gt;G355,"已过卒年",IF($E$4=G355,"卒年边界待核","年表可登场"))))))</x:f>
        <x:v>年表可登场</x:v>
      </x:c>
      <x:c r="I355" s="12"/>
      <x:c r="J355" s="2" t="str">
        <x:v>SAN14游戏设定</x:v>
      </x:c>
      <x:c r="K355" s="2" t="str"/>
      <x:c r="L355" s="2" t="str">
        <x:v>司馬芝</x:v>
      </x:c>
      <x:c r="M355" s="2" t="str">
        <x:v>san14-candidate-0347</x:v>
      </x:c>
      <x:c r="N355" s="2" t="str">
        <x:v>司馬芝</x:v>
      </x:c>
      <x:c r="O355" s="2" t="str">
        <x:v>シバシ</x:v>
      </x:c>
    </x:row>
    <x:row r="356" ht="23" customHeight="1">
      <x:c r="A356" s="13" t="n">
        <x:v>348</x:v>
      </x:c>
      <x:c r="B356" s="2" t="str">
        <x:v>司马昭</x:v>
      </x:c>
      <x:c r="C356" s="2" t="str">
        <x:v>司馬昭</x:v>
      </x:c>
      <x:c r="D356" s="2" t="str"/>
      <x:c r="E356" s="13" t="n">
        <x:v>211</x:v>
      </x:c>
      <x:c r="F356" s="13" t="n">
        <x:v>225</x:v>
      </x:c>
      <x:c r="G356" s="13" t="n">
        <x:v>265</x:v>
      </x:c>
      <x:c r="H356" s="2" t="str">
        <x:f>IF(OR($E$4="",NOT(ISNUMBER($E$4)),$E$4&lt;1,$E$4&gt;400),"参考年待填",IF(OR(E356="",F356="",G356=""),"年代待核",IF($E$4&lt;E356,"未出生",IF($E$4&lt;F356,"未登场",IF($E$4&gt;G356,"已过卒年",IF($E$4=G356,"卒年边界待核","年表可登场"))))))</x:f>
        <x:v>年表可登场</x:v>
      </x:c>
      <x:c r="I356" s="12"/>
      <x:c r="J356" s="2" t="str">
        <x:v>SAN14游戏设定</x:v>
      </x:c>
      <x:c r="K356" s="2" t="str"/>
      <x:c r="L356" s="2" t="str">
        <x:v>司馬昭</x:v>
      </x:c>
      <x:c r="M356" s="2" t="str">
        <x:v>san14-candidate-0348</x:v>
      </x:c>
      <x:c r="N356" s="2" t="str">
        <x:v>司馬昭</x:v>
      </x:c>
      <x:c r="O356" s="2" t="str">
        <x:v>シバショウ</x:v>
      </x:c>
    </x:row>
    <x:row r="357" ht="23" customHeight="1">
      <x:c r="A357" s="13" t="n">
        <x:v>349</x:v>
      </x:c>
      <x:c r="B357" s="2" t="str">
        <x:v>司马伷</x:v>
      </x:c>
      <x:c r="C357" s="2" t="str">
        <x:v>司馬伷</x:v>
      </x:c>
      <x:c r="D357" s="2" t="str"/>
      <x:c r="E357" s="13" t="n">
        <x:v>227</x:v>
      </x:c>
      <x:c r="F357" s="13" t="n">
        <x:v>241</x:v>
      </x:c>
      <x:c r="G357" s="13" t="n">
        <x:v>283</x:v>
      </x:c>
      <x:c r="H357" s="2" t="str">
        <x:f>IF(OR($E$4="",NOT(ISNUMBER($E$4)),$E$4&lt;1,$E$4&gt;400),"参考年待填",IF(OR(E357="",F357="",G357=""),"年代待核",IF($E$4&lt;E357,"未出生",IF($E$4&lt;F357,"未登场",IF($E$4&gt;G357,"已过卒年",IF($E$4=G357,"卒年边界待核","年表可登场"))))))</x:f>
        <x:v>未登场</x:v>
      </x:c>
      <x:c r="I357" s="12"/>
      <x:c r="J357" s="2" t="str">
        <x:v>SAN14游戏设定</x:v>
      </x:c>
      <x:c r="K357" s="2" t="str"/>
      <x:c r="L357" s="2" t="str">
        <x:v>司馬伷</x:v>
      </x:c>
      <x:c r="M357" s="2" t="str">
        <x:v>san14-candidate-0349</x:v>
      </x:c>
      <x:c r="N357" s="2" t="str">
        <x:v>司馬チュウ</x:v>
      </x:c>
      <x:c r="O357" s="2" t="str">
        <x:v>シバチュウ</x:v>
      </x:c>
    </x:row>
    <x:row r="358" ht="23" customHeight="1">
      <x:c r="A358" s="13" t="n">
        <x:v>350</x:v>
      </x:c>
      <x:c r="B358" s="2" t="str">
        <x:v>司马孚</x:v>
      </x:c>
      <x:c r="C358" s="2" t="str">
        <x:v>司馬孚</x:v>
      </x:c>
      <x:c r="D358" s="2" t="str"/>
      <x:c r="E358" s="13" t="n">
        <x:v>180</x:v>
      </x:c>
      <x:c r="F358" s="13" t="n">
        <x:v>199</x:v>
      </x:c>
      <x:c r="G358" s="13" t="n">
        <x:v>272</x:v>
      </x:c>
      <x:c r="H358" s="2" t="str">
        <x:f>IF(OR($E$4="",NOT(ISNUMBER($E$4)),$E$4&lt;1,$E$4&gt;400),"参考年待填",IF(OR(E358="",F358="",G358=""),"年代待核",IF($E$4&lt;E358,"未出生",IF($E$4&lt;F358,"未登场",IF($E$4&gt;G358,"已过卒年",IF($E$4=G358,"卒年边界待核","年表可登场"))))))</x:f>
        <x:v>年表可登场</x:v>
      </x:c>
      <x:c r="I358" s="12"/>
      <x:c r="J358" s="2" t="str">
        <x:v>SAN14游戏设定</x:v>
      </x:c>
      <x:c r="K358" s="2" t="str"/>
      <x:c r="L358" s="2" t="str">
        <x:v>司馬孚</x:v>
      </x:c>
      <x:c r="M358" s="2" t="str">
        <x:v>san14-candidate-0350</x:v>
      </x:c>
      <x:c r="N358" s="2" t="str">
        <x:v>司馬孚</x:v>
      </x:c>
      <x:c r="O358" s="2" t="str">
        <x:v>シバフ</x:v>
      </x:c>
    </x:row>
    <x:row r="359" ht="23" customHeight="1">
      <x:c r="A359" s="13" t="n">
        <x:v>351</x:v>
      </x:c>
      <x:c r="B359" s="2" t="str">
        <x:v>司马望</x:v>
      </x:c>
      <x:c r="C359" s="2" t="str">
        <x:v>司馬望</x:v>
      </x:c>
      <x:c r="D359" s="2" t="str"/>
      <x:c r="E359" s="13" t="n">
        <x:v>205</x:v>
      </x:c>
      <x:c r="F359" s="13" t="n">
        <x:v>219</x:v>
      </x:c>
      <x:c r="G359" s="13" t="n">
        <x:v>271</x:v>
      </x:c>
      <x:c r="H359" s="2" t="str">
        <x:f>IF(OR($E$4="",NOT(ISNUMBER($E$4)),$E$4&lt;1,$E$4&gt;400),"参考年待填",IF(OR(E359="",F359="",G359=""),"年代待核",IF($E$4&lt;E359,"未出生",IF($E$4&lt;F359,"未登场",IF($E$4&gt;G359,"已过卒年",IF($E$4=G359,"卒年边界待核","年表可登场"))))))</x:f>
        <x:v>年表可登场</x:v>
      </x:c>
      <x:c r="I359" s="12"/>
      <x:c r="J359" s="2" t="str">
        <x:v>SAN14游戏设定</x:v>
      </x:c>
      <x:c r="K359" s="2" t="str"/>
      <x:c r="L359" s="2" t="str">
        <x:v>司馬望</x:v>
      </x:c>
      <x:c r="M359" s="2" t="str">
        <x:v>san14-candidate-0351</x:v>
      </x:c>
      <x:c r="N359" s="2" t="str">
        <x:v>司馬望</x:v>
      </x:c>
      <x:c r="O359" s="2" t="str">
        <x:v>シバボウ</x:v>
      </x:c>
    </x:row>
    <x:row r="360" ht="23" customHeight="1">
      <x:c r="A360" s="13" t="n">
        <x:v>352</x:v>
      </x:c>
      <x:c r="B360" s="2" t="str">
        <x:v>司马攸</x:v>
      </x:c>
      <x:c r="C360" s="2" t="str">
        <x:v>司馬攸</x:v>
      </x:c>
      <x:c r="D360" s="2" t="str"/>
      <x:c r="E360" s="13" t="n">
        <x:v>248</x:v>
      </x:c>
      <x:c r="F360" s="13" t="n">
        <x:v>253</x:v>
      </x:c>
      <x:c r="G360" s="13" t="n">
        <x:v>283</x:v>
      </x:c>
      <x:c r="H360" s="2" t="str">
        <x:f>IF(OR($E$4="",NOT(ISNUMBER($E$4)),$E$4&lt;1,$E$4&gt;400),"参考年待填",IF(OR(E360="",F360="",G360=""),"年代待核",IF($E$4&lt;E360,"未出生",IF($E$4&lt;F360,"未登场",IF($E$4&gt;G360,"已过卒年",IF($E$4=G360,"卒年边界待核","年表可登场"))))))</x:f>
        <x:v>未出生</x:v>
      </x:c>
      <x:c r="I360" s="12"/>
      <x:c r="J360" s="2" t="str">
        <x:v>SAN14游戏设定</x:v>
      </x:c>
      <x:c r="K360" s="2" t="str"/>
      <x:c r="L360" s="2" t="str">
        <x:v>司馬攸</x:v>
      </x:c>
      <x:c r="M360" s="2" t="str">
        <x:v>san14-candidate-0352</x:v>
      </x:c>
      <x:c r="N360" s="2" t="str">
        <x:v>司馬攸</x:v>
      </x:c>
      <x:c r="O360" s="2" t="str">
        <x:v>シバユウ</x:v>
      </x:c>
    </x:row>
    <x:row r="361" ht="23" customHeight="1">
      <x:c r="A361" s="13" t="n">
        <x:v>353</x:v>
      </x:c>
      <x:c r="B361" s="2" t="str">
        <x:v>司马朗</x:v>
      </x:c>
      <x:c r="C361" s="2" t="str">
        <x:v>司馬朗</x:v>
      </x:c>
      <x:c r="D361" s="2" t="str"/>
      <x:c r="E361" s="13" t="n">
        <x:v>171</x:v>
      </x:c>
      <x:c r="F361" s="13" t="n">
        <x:v>190</x:v>
      </x:c>
      <x:c r="G361" s="13" t="n">
        <x:v>217</x:v>
      </x:c>
      <x:c r="H361" s="2" t="str">
        <x:f>IF(OR($E$4="",NOT(ISNUMBER($E$4)),$E$4&lt;1,$E$4&gt;400),"参考年待填",IF(OR(E361="",F361="",G361=""),"年代待核",IF($E$4&lt;E361,"未出生",IF($E$4&lt;F361,"未登场",IF($E$4&gt;G361,"已过卒年",IF($E$4=G361,"卒年边界待核","年表可登场"))))))</x:f>
        <x:v>已过卒年</x:v>
      </x:c>
      <x:c r="I361" s="12"/>
      <x:c r="J361" s="2" t="str">
        <x:v>SAN14游戏设定</x:v>
      </x:c>
      <x:c r="K361" s="2" t="str"/>
      <x:c r="L361" s="2" t="str">
        <x:v>司馬朗</x:v>
      </x:c>
      <x:c r="M361" s="2" t="str">
        <x:v>san14-candidate-0353</x:v>
      </x:c>
      <x:c r="N361" s="2" t="str">
        <x:v>司馬朗</x:v>
      </x:c>
      <x:c r="O361" s="2" t="str">
        <x:v>シバロウ</x:v>
      </x:c>
    </x:row>
    <x:row r="362" ht="23" customHeight="1">
      <x:c r="A362" s="13" t="n">
        <x:v>354</x:v>
      </x:c>
      <x:c r="B362" s="2" t="str">
        <x:v>士武</x:v>
      </x:c>
      <x:c r="C362" s="2" t="str">
        <x:v>士武</x:v>
      </x:c>
      <x:c r="D362" s="2" t="str"/>
      <x:c r="E362" s="13" t="n">
        <x:v>160</x:v>
      </x:c>
      <x:c r="F362" s="13" t="n">
        <x:v>184</x:v>
      </x:c>
      <x:c r="G362" s="13" t="n">
        <x:v>192</x:v>
      </x:c>
      <x:c r="H362" s="2" t="str">
        <x:f>IF(OR($E$4="",NOT(ISNUMBER($E$4)),$E$4&lt;1,$E$4&gt;400),"参考年待填",IF(OR(E362="",F362="",G362=""),"年代待核",IF($E$4&lt;E362,"未出生",IF($E$4&lt;F362,"未登场",IF($E$4&gt;G362,"已过卒年",IF($E$4=G362,"卒年边界待核","年表可登场"))))))</x:f>
        <x:v>已过卒年</x:v>
      </x:c>
      <x:c r="I362" s="12"/>
      <x:c r="J362" s="2" t="str">
        <x:v>SAN14游戏设定</x:v>
      </x:c>
      <x:c r="K362" s="2" t="str"/>
      <x:c r="L362" s="2" t="str">
        <x:v>士武</x:v>
      </x:c>
      <x:c r="M362" s="2" t="str">
        <x:v>san14-candidate-0354</x:v>
      </x:c>
      <x:c r="N362" s="2" t="str">
        <x:v>士武</x:v>
      </x:c>
      <x:c r="O362" s="2" t="str">
        <x:v>シブ</x:v>
      </x:c>
    </x:row>
    <x:row r="363" ht="23" customHeight="1">
      <x:c r="A363" s="13" t="n">
        <x:v>355</x:v>
      </x:c>
      <x:c r="B363" s="2" t="str">
        <x:v>射援</x:v>
      </x:c>
      <x:c r="C363" s="2" t="str">
        <x:v>射援</x:v>
      </x:c>
      <x:c r="D363" s="2" t="str"/>
      <x:c r="E363" s="13" t="n">
        <x:v>168</x:v>
      </x:c>
      <x:c r="F363" s="13" t="n">
        <x:v>187</x:v>
      </x:c>
      <x:c r="G363" s="13" t="n">
        <x:v>227</x:v>
      </x:c>
      <x:c r="H363" s="2" t="str">
        <x:f>IF(OR($E$4="",NOT(ISNUMBER($E$4)),$E$4&lt;1,$E$4&gt;400),"参考年待填",IF(OR(E363="",F363="",G363=""),"年代待核",IF($E$4&lt;E363,"未出生",IF($E$4&lt;F363,"未登场",IF($E$4&gt;G363,"已过卒年",IF($E$4=G363,"卒年边界待核","年表可登场"))))))</x:f>
        <x:v>已过卒年</x:v>
      </x:c>
      <x:c r="I363" s="12"/>
      <x:c r="J363" s="2" t="str">
        <x:v>SAN14游戏设定</x:v>
      </x:c>
      <x:c r="K363" s="2" t="str"/>
      <x:c r="L363" s="2" t="str">
        <x:v>射援</x:v>
      </x:c>
      <x:c r="M363" s="2" t="str">
        <x:v>san14-candidate-0355</x:v>
      </x:c>
      <x:c r="N363" s="2" t="str">
        <x:v>射援</x:v>
      </x:c>
      <x:c r="O363" s="2" t="str">
        <x:v>シャエン</x:v>
      </x:c>
    </x:row>
    <x:row r="364" ht="23" customHeight="1">
      <x:c r="A364" s="13" t="n">
        <x:v>356</x:v>
      </x:c>
      <x:c r="B364" s="2" t="str">
        <x:v>谢景</x:v>
      </x:c>
      <x:c r="C364" s="2" t="str">
        <x:v>謝景</x:v>
      </x:c>
      <x:c r="D364" s="2" t="str"/>
      <x:c r="E364" s="13" t="n">
        <x:v>200</x:v>
      </x:c>
      <x:c r="F364" s="13" t="n">
        <x:v>219</x:v>
      </x:c>
      <x:c r="G364" s="13" t="n">
        <x:v>246</x:v>
      </x:c>
      <x:c r="H364" s="2" t="str">
        <x:f>IF(OR($E$4="",NOT(ISNUMBER($E$4)),$E$4&lt;1,$E$4&gt;400),"参考年待填",IF(OR(E364="",F364="",G364=""),"年代待核",IF($E$4&lt;E364,"未出生",IF($E$4&lt;F364,"未登场",IF($E$4&gt;G364,"已过卒年",IF($E$4=G364,"卒年边界待核","年表可登场"))))))</x:f>
        <x:v>年表可登场</x:v>
      </x:c>
      <x:c r="I364" s="12"/>
      <x:c r="J364" s="2" t="str">
        <x:v>SAN14游戏设定</x:v>
      </x:c>
      <x:c r="K364" s="2" t="str"/>
      <x:c r="L364" s="2" t="str">
        <x:v>謝景</x:v>
      </x:c>
      <x:c r="M364" s="2" t="str">
        <x:v>san14-candidate-0356</x:v>
      </x:c>
      <x:c r="N364" s="2" t="str">
        <x:v>謝景</x:v>
      </x:c>
      <x:c r="O364" s="2" t="str">
        <x:v>シャケイ</x:v>
      </x:c>
    </x:row>
    <x:row r="365" ht="23" customHeight="1">
      <x:c r="A365" s="13" t="n">
        <x:v>357</x:v>
      </x:c>
      <x:c r="B365" s="2" t="str">
        <x:v>射坚</x:v>
      </x:c>
      <x:c r="C365" s="2" t="str">
        <x:v>射堅</x:v>
      </x:c>
      <x:c r="D365" s="2" t="str"/>
      <x:c r="E365" s="13" t="n">
        <x:v>164</x:v>
      </x:c>
      <x:c r="F365" s="13" t="n">
        <x:v>184</x:v>
      </x:c>
      <x:c r="G365" s="13" t="n">
        <x:v>222</x:v>
      </x:c>
      <x:c r="H365" s="2" t="str">
        <x:f>IF(OR($E$4="",NOT(ISNUMBER($E$4)),$E$4&lt;1,$E$4&gt;400),"参考年待填",IF(OR(E365="",F365="",G365=""),"年代待核",IF($E$4&lt;E365,"未出生",IF($E$4&lt;F365,"未登场",IF($E$4&gt;G365,"已过卒年",IF($E$4=G365,"卒年边界待核","年表可登场"))))))</x:f>
        <x:v>已过卒年</x:v>
      </x:c>
      <x:c r="I365" s="12"/>
      <x:c r="J365" s="2" t="str">
        <x:v>SAN14游戏设定</x:v>
      </x:c>
      <x:c r="K365" s="2" t="str"/>
      <x:c r="L365" s="2" t="str">
        <x:v>射堅</x:v>
      </x:c>
      <x:c r="M365" s="2" t="str">
        <x:v>san14-candidate-0357</x:v>
      </x:c>
      <x:c r="N365" s="2" t="str">
        <x:v>射堅</x:v>
      </x:c>
      <x:c r="O365" s="2" t="str">
        <x:v>シャケン</x:v>
      </x:c>
    </x:row>
    <x:row r="366" ht="23" customHeight="1">
      <x:c r="A366" s="13" t="n">
        <x:v>358</x:v>
      </x:c>
      <x:c r="B366" s="2" t="str">
        <x:v>谢旌</x:v>
      </x:c>
      <x:c r="C366" s="2" t="str">
        <x:v>謝旌</x:v>
      </x:c>
      <x:c r="D366" s="2" t="str"/>
      <x:c r="E366" s="13" t="n">
        <x:v>178</x:v>
      </x:c>
      <x:c r="F366" s="13" t="n">
        <x:v>197</x:v>
      </x:c>
      <x:c r="G366" s="13" t="n">
        <x:v>221</x:v>
      </x:c>
      <x:c r="H366" s="2" t="str">
        <x:f>IF(OR($E$4="",NOT(ISNUMBER($E$4)),$E$4&lt;1,$E$4&gt;400),"参考年待填",IF(OR(E366="",F366="",G366=""),"年代待核",IF($E$4&lt;E366,"未出生",IF($E$4&lt;F366,"未登场",IF($E$4&gt;G366,"已过卒年",IF($E$4=G366,"卒年边界待核","年表可登场"))))))</x:f>
        <x:v>已过卒年</x:v>
      </x:c>
      <x:c r="I366" s="12"/>
      <x:c r="J366" s="2" t="str">
        <x:v>SAN14游戏设定</x:v>
      </x:c>
      <x:c r="K366" s="2" t="str"/>
      <x:c r="L366" s="2" t="str">
        <x:v>謝旌</x:v>
      </x:c>
      <x:c r="M366" s="2" t="str">
        <x:v>san14-candidate-0358</x:v>
      </x:c>
      <x:c r="N366" s="2" t="str">
        <x:v>謝旌</x:v>
      </x:c>
      <x:c r="O366" s="2" t="str">
        <x:v>シャセイ</x:v>
      </x:c>
    </x:row>
    <x:row r="367" ht="23" customHeight="1">
      <x:c r="A367" s="13" t="n">
        <x:v>359</x:v>
      </x:c>
      <x:c r="B367" s="2" t="str">
        <x:v>车胄</x:v>
      </x:c>
      <x:c r="C367" s="2" t="str">
        <x:v>車冑</x:v>
      </x:c>
      <x:c r="D367" s="2" t="str"/>
      <x:c r="E367" s="13" t="n">
        <x:v>164</x:v>
      </x:c>
      <x:c r="F367" s="13" t="n">
        <x:v>184</x:v>
      </x:c>
      <x:c r="G367" s="13" t="n">
        <x:v>199</x:v>
      </x:c>
      <x:c r="H367" s="2" t="str">
        <x:f>IF(OR($E$4="",NOT(ISNUMBER($E$4)),$E$4&lt;1,$E$4&gt;400),"参考年待填",IF(OR(E367="",F367="",G367=""),"年代待核",IF($E$4&lt;E367,"未出生",IF($E$4&lt;F367,"未登场",IF($E$4&gt;G367,"已过卒年",IF($E$4=G367,"卒年边界待核","年表可登场"))))))</x:f>
        <x:v>已过卒年</x:v>
      </x:c>
      <x:c r="I367" s="12"/>
      <x:c r="J367" s="2" t="str">
        <x:v>SAN14游戏设定</x:v>
      </x:c>
      <x:c r="K367" s="2" t="str"/>
      <x:c r="L367" s="2" t="str">
        <x:v>車冑</x:v>
      </x:c>
      <x:c r="M367" s="2" t="str">
        <x:v>san14-candidate-0359</x:v>
      </x:c>
      <x:c r="N367" s="2" t="str">
        <x:v>車冑</x:v>
      </x:c>
      <x:c r="O367" s="2" t="str">
        <x:v>シャチュウ</x:v>
      </x:c>
    </x:row>
    <x:row r="368" ht="23" customHeight="1">
      <x:c r="A368" s="13" t="n">
        <x:v>360</x:v>
      </x:c>
      <x:c r="B368" s="2" t="str">
        <x:v>沙摩柯</x:v>
      </x:c>
      <x:c r="C368" s="2" t="str">
        <x:v>沙摩柯</x:v>
      </x:c>
      <x:c r="D368" s="2" t="str"/>
      <x:c r="E368" s="13" t="n">
        <x:v>167</x:v>
      </x:c>
      <x:c r="F368" s="13" t="n">
        <x:v>206</x:v>
      </x:c>
      <x:c r="G368" s="13" t="n">
        <x:v>222</x:v>
      </x:c>
      <x:c r="H368" s="2" t="str">
        <x:f>IF(OR($E$4="",NOT(ISNUMBER($E$4)),$E$4&lt;1,$E$4&gt;400),"参考年待填",IF(OR(E368="",F368="",G368=""),"年代待核",IF($E$4&lt;E368,"未出生",IF($E$4&lt;F368,"未登场",IF($E$4&gt;G368,"已过卒年",IF($E$4=G368,"卒年边界待核","年表可登场"))))))</x:f>
        <x:v>已过卒年</x:v>
      </x:c>
      <x:c r="I368" s="12"/>
      <x:c r="J368" s="2" t="str">
        <x:v>SAN14游戏设定</x:v>
      </x:c>
      <x:c r="K368" s="2" t="str"/>
      <x:c r="L368" s="2" t="str">
        <x:v>沙摩柯</x:v>
      </x:c>
      <x:c r="M368" s="2" t="str">
        <x:v>san14-candidate-0360</x:v>
      </x:c>
      <x:c r="N368" s="2" t="str">
        <x:v>沙摩柯</x:v>
      </x:c>
      <x:c r="O368" s="2" t="str">
        <x:v>シャマカ</x:v>
      </x:c>
    </x:row>
    <x:row r="369" ht="23" customHeight="1">
      <x:c r="A369" s="13" t="n">
        <x:v>361</x:v>
      </x:c>
      <x:c r="B369" s="2" t="str">
        <x:v>朱异</x:v>
      </x:c>
      <x:c r="C369" s="2" t="str">
        <x:v>朱異</x:v>
      </x:c>
      <x:c r="D369" s="2" t="str"/>
      <x:c r="E369" s="13" t="n">
        <x:v>201</x:v>
      </x:c>
      <x:c r="F369" s="13" t="n">
        <x:v>215</x:v>
      </x:c>
      <x:c r="G369" s="13" t="n">
        <x:v>257</x:v>
      </x:c>
      <x:c r="H369" s="2" t="str">
        <x:f>IF(OR($E$4="",NOT(ISNUMBER($E$4)),$E$4&lt;1,$E$4&gt;400),"参考年待填",IF(OR(E369="",F369="",G369=""),"年代待核",IF($E$4&lt;E369,"未出生",IF($E$4&lt;F369,"未登场",IF($E$4&gt;G369,"已过卒年",IF($E$4=G369,"卒年边界待核","年表可登场"))))))</x:f>
        <x:v>年表可登场</x:v>
      </x:c>
      <x:c r="I369" s="12"/>
      <x:c r="J369" s="2" t="str">
        <x:v>SAN14游戏设定</x:v>
      </x:c>
      <x:c r="K369" s="2" t="str"/>
      <x:c r="L369" s="2" t="str">
        <x:v>朱異</x:v>
      </x:c>
      <x:c r="M369" s="2" t="str">
        <x:v>san14-candidate-0361</x:v>
      </x:c>
      <x:c r="N369" s="2" t="str">
        <x:v>朱異</x:v>
      </x:c>
      <x:c r="O369" s="2" t="str">
        <x:v>シュイ</x:v>
      </x:c>
    </x:row>
    <x:row r="370" ht="23" customHeight="1">
      <x:c r="A370" s="13" t="n">
        <x:v>362</x:v>
      </x:c>
      <x:c r="B370" s="2" t="str">
        <x:v>修允</x:v>
      </x:c>
      <x:c r="C370" s="2" t="str">
        <x:v>脩允</x:v>
      </x:c>
      <x:c r="D370" s="2" t="str"/>
      <x:c r="E370" s="13" t="n">
        <x:v>249</x:v>
      </x:c>
      <x:c r="F370" s="13" t="n">
        <x:v>263</x:v>
      </x:c>
      <x:c r="G370" s="13" t="n">
        <x:v>279</x:v>
      </x:c>
      <x:c r="H370" s="2" t="str">
        <x:f>IF(OR($E$4="",NOT(ISNUMBER($E$4)),$E$4&lt;1,$E$4&gt;400),"参考年待填",IF(OR(E370="",F370="",G370=""),"年代待核",IF($E$4&lt;E370,"未出生",IF($E$4&lt;F370,"未登场",IF($E$4&gt;G370,"已过卒年",IF($E$4=G370,"卒年边界待核","年表可登场"))))))</x:f>
        <x:v>未出生</x:v>
      </x:c>
      <x:c r="I370" s="12"/>
      <x:c r="J370" s="2" t="str">
        <x:v>SAN14游戏设定</x:v>
      </x:c>
      <x:c r="K370" s="2" t="str"/>
      <x:c r="L370" s="2" t="str">
        <x:v>脩允</x:v>
      </x:c>
      <x:c r="M370" s="2" t="str">
        <x:v>san14-candidate-0362</x:v>
      </x:c>
      <x:c r="N370" s="2" t="str">
        <x:v>脩允</x:v>
      </x:c>
      <x:c r="O370" s="2" t="str">
        <x:v>シュウイン</x:v>
      </x:c>
    </x:row>
    <x:row r="371" ht="23" customHeight="1">
      <x:c r="A371" s="13" t="n">
        <x:v>363</x:v>
      </x:c>
      <x:c r="B371" s="2" t="str">
        <x:v>周胤</x:v>
      </x:c>
      <x:c r="C371" s="2" t="str">
        <x:v>周胤</x:v>
      </x:c>
      <x:c r="D371" s="2" t="str"/>
      <x:c r="E371" s="13" t="n">
        <x:v>206</x:v>
      </x:c>
      <x:c r="F371" s="13" t="n">
        <x:v>220</x:v>
      </x:c>
      <x:c r="G371" s="13" t="n">
        <x:v>239</x:v>
      </x:c>
      <x:c r="H371" s="2" t="str">
        <x:f>IF(OR($E$4="",NOT(ISNUMBER($E$4)),$E$4&lt;1,$E$4&gt;400),"参考年待填",IF(OR(E371="",F371="",G371=""),"年代待核",IF($E$4&lt;E371,"未出生",IF($E$4&lt;F371,"未登场",IF($E$4&gt;G371,"已过卒年",IF($E$4=G371,"卒年边界待核","年表可登场"))))))</x:f>
        <x:v>年表可登场</x:v>
      </x:c>
      <x:c r="I371" s="12"/>
      <x:c r="J371" s="2" t="str">
        <x:v>SAN14游戏设定</x:v>
      </x:c>
      <x:c r="K371" s="2" t="str"/>
      <x:c r="L371" s="2" t="str">
        <x:v>周胤</x:v>
      </x:c>
      <x:c r="M371" s="2" t="str">
        <x:v>san14-candidate-0363</x:v>
      </x:c>
      <x:c r="N371" s="2" t="str">
        <x:v>周胤</x:v>
      </x:c>
      <x:c r="O371" s="2" t="str">
        <x:v>シュウイン</x:v>
      </x:c>
    </x:row>
    <x:row r="372" ht="23" customHeight="1">
      <x:c r="A372" s="13" t="n">
        <x:v>364</x:v>
      </x:c>
      <x:c r="B372" s="2" t="str">
        <x:v>周昕</x:v>
      </x:c>
      <x:c r="C372" s="2" t="str">
        <x:v>周昕</x:v>
      </x:c>
      <x:c r="D372" s="2" t="str"/>
      <x:c r="E372" s="13" t="n">
        <x:v>159</x:v>
      </x:c>
      <x:c r="F372" s="13" t="n">
        <x:v>184</x:v>
      </x:c>
      <x:c r="G372" s="13" t="n">
        <x:v>196</x:v>
      </x:c>
      <x:c r="H372" s="2" t="str">
        <x:f>IF(OR($E$4="",NOT(ISNUMBER($E$4)),$E$4&lt;1,$E$4&gt;400),"参考年待填",IF(OR(E372="",F372="",G372=""),"年代待核",IF($E$4&lt;E372,"未出生",IF($E$4&lt;F372,"未登场",IF($E$4&gt;G372,"已过卒年",IF($E$4=G372,"卒年边界待核","年表可登场"))))))</x:f>
        <x:v>已过卒年</x:v>
      </x:c>
      <x:c r="I372" s="12"/>
      <x:c r="J372" s="2" t="str">
        <x:v>SAN14游戏设定</x:v>
      </x:c>
      <x:c r="K372" s="2" t="str"/>
      <x:c r="L372" s="2" t="str">
        <x:v>周昕</x:v>
      </x:c>
      <x:c r="M372" s="2" t="str">
        <x:v>san14-candidate-0364</x:v>
      </x:c>
      <x:c r="N372" s="2" t="str">
        <x:v>周昕</x:v>
      </x:c>
      <x:c r="O372" s="2" t="str">
        <x:v>シュウキン</x:v>
      </x:c>
    </x:row>
    <x:row r="373" ht="23" customHeight="1">
      <x:c r="A373" s="13" t="n">
        <x:v>365</x:v>
      </x:c>
      <x:c r="B373" s="2" t="str">
        <x:v>周喁</x:v>
      </x:c>
      <x:c r="C373" s="2" t="str">
        <x:v>周喁</x:v>
      </x:c>
      <x:c r="D373" s="2" t="str"/>
      <x:c r="E373" s="13" t="n">
        <x:v>163</x:v>
      </x:c>
      <x:c r="F373" s="13" t="n">
        <x:v>184</x:v>
      </x:c>
      <x:c r="G373" s="13" t="n">
        <x:v>196</x:v>
      </x:c>
      <x:c r="H373" s="2" t="str">
        <x:f>IF(OR($E$4="",NOT(ISNUMBER($E$4)),$E$4&lt;1,$E$4&gt;400),"参考年待填",IF(OR(E373="",F373="",G373=""),"年代待核",IF($E$4&lt;E373,"未出生",IF($E$4&lt;F373,"未登场",IF($E$4&gt;G373,"已过卒年",IF($E$4=G373,"卒年边界待核","年表可登场"))))))</x:f>
        <x:v>已过卒年</x:v>
      </x:c>
      <x:c r="I373" s="12"/>
      <x:c r="J373" s="2" t="str">
        <x:v>SAN14游戏设定</x:v>
      </x:c>
      <x:c r="K373" s="2" t="str"/>
      <x:c r="L373" s="2" t="str">
        <x:v>周喁</x:v>
      </x:c>
      <x:c r="M373" s="2" t="str">
        <x:v>san14-candidate-0365</x:v>
      </x:c>
      <x:c r="N373" s="2" t="str">
        <x:v>周グ</x:v>
      </x:c>
      <x:c r="O373" s="2" t="str">
        <x:v>シュウグ</x:v>
      </x:c>
    </x:row>
    <x:row r="374" ht="23" customHeight="1">
      <x:c r="A374" s="13" t="n">
        <x:v>366</x:v>
      </x:c>
      <x:c r="B374" s="2" t="str">
        <x:v>周群</x:v>
      </x:c>
      <x:c r="C374" s="2" t="str">
        <x:v>周群</x:v>
      </x:c>
      <x:c r="D374" s="2" t="str"/>
      <x:c r="E374" s="13" t="n">
        <x:v>147</x:v>
      </x:c>
      <x:c r="F374" s="13" t="n">
        <x:v>184</x:v>
      </x:c>
      <x:c r="G374" s="13" t="n">
        <x:v>219</x:v>
      </x:c>
      <x:c r="H374" s="2" t="str">
        <x:f>IF(OR($E$4="",NOT(ISNUMBER($E$4)),$E$4&lt;1,$E$4&gt;400),"参考年待填",IF(OR(E374="",F374="",G374=""),"年代待核",IF($E$4&lt;E374,"未出生",IF($E$4&lt;F374,"未登场",IF($E$4&gt;G374,"已过卒年",IF($E$4=G374,"卒年边界待核","年表可登场"))))))</x:f>
        <x:v>已过卒年</x:v>
      </x:c>
      <x:c r="I374" s="12"/>
      <x:c r="J374" s="2" t="str">
        <x:v>SAN14游戏设定</x:v>
      </x:c>
      <x:c r="K374" s="2" t="str"/>
      <x:c r="L374" s="2" t="str">
        <x:v>周群</x:v>
      </x:c>
      <x:c r="M374" s="2" t="str">
        <x:v>san14-candidate-0366</x:v>
      </x:c>
      <x:c r="N374" s="2" t="str">
        <x:v>周羣</x:v>
      </x:c>
      <x:c r="O374" s="2" t="str">
        <x:v>シュウグン</x:v>
      </x:c>
    </x:row>
    <x:row r="375" ht="23" customHeight="1">
      <x:c r="A375" s="13" t="n">
        <x:v>367</x:v>
      </x:c>
      <x:c r="B375" s="2" t="str">
        <x:v>周昂</x:v>
      </x:c>
      <x:c r="C375" s="2" t="str">
        <x:v>周昂</x:v>
      </x:c>
      <x:c r="D375" s="2" t="str"/>
      <x:c r="E375" s="13" t="n">
        <x:v>162</x:v>
      </x:c>
      <x:c r="F375" s="13" t="n">
        <x:v>184</x:v>
      </x:c>
      <x:c r="G375" s="13" t="n">
        <x:v>196</x:v>
      </x:c>
      <x:c r="H375" s="2" t="str">
        <x:f>IF(OR($E$4="",NOT(ISNUMBER($E$4)),$E$4&lt;1,$E$4&gt;400),"参考年待填",IF(OR(E375="",F375="",G375=""),"年代待核",IF($E$4&lt;E375,"未出生",IF($E$4&lt;F375,"未登场",IF($E$4&gt;G375,"已过卒年",IF($E$4=G375,"卒年边界待核","年表可登场"))))))</x:f>
        <x:v>已过卒年</x:v>
      </x:c>
      <x:c r="I375" s="12"/>
      <x:c r="J375" s="2" t="str">
        <x:v>SAN14游戏设定</x:v>
      </x:c>
      <x:c r="K375" s="2" t="str"/>
      <x:c r="L375" s="2" t="str">
        <x:v>周昂</x:v>
      </x:c>
      <x:c r="M375" s="2" t="str">
        <x:v>san14-candidate-0367</x:v>
      </x:c>
      <x:c r="N375" s="2" t="str">
        <x:v>周昂</x:v>
      </x:c>
      <x:c r="O375" s="2" t="str">
        <x:v>シュウコウ</x:v>
      </x:c>
    </x:row>
    <x:row r="376" ht="23" customHeight="1">
      <x:c r="A376" s="13" t="n">
        <x:v>368</x:v>
      </x:c>
      <x:c r="B376" s="2" t="str">
        <x:v>周旨</x:v>
      </x:c>
      <x:c r="C376" s="2" t="str">
        <x:v>周旨</x:v>
      </x:c>
      <x:c r="D376" s="2" t="str"/>
      <x:c r="E376" s="13" t="n">
        <x:v>233</x:v>
      </x:c>
      <x:c r="F376" s="13" t="n">
        <x:v>252</x:v>
      </x:c>
      <x:c r="G376" s="13" t="n">
        <x:v>295</x:v>
      </x:c>
      <x:c r="H376" s="2" t="str">
        <x:f>IF(OR($E$4="",NOT(ISNUMBER($E$4)),$E$4&lt;1,$E$4&gt;400),"参考年待填",IF(OR(E376="",F376="",G376=""),"年代待核",IF($E$4&lt;E376,"未出生",IF($E$4&lt;F376,"未登场",IF($E$4&gt;G376,"已过卒年",IF($E$4=G376,"卒年边界待核","年表可登场"))))))</x:f>
        <x:v>未出生</x:v>
      </x:c>
      <x:c r="I376" s="12"/>
      <x:c r="J376" s="2" t="str">
        <x:v>SAN14游戏设定</x:v>
      </x:c>
      <x:c r="K376" s="2" t="str"/>
      <x:c r="L376" s="2" t="str">
        <x:v>周旨</x:v>
      </x:c>
      <x:c r="M376" s="2" t="str">
        <x:v>san14-candidate-0368</x:v>
      </x:c>
      <x:c r="N376" s="2" t="str">
        <x:v>周旨</x:v>
      </x:c>
      <x:c r="O376" s="2" t="str">
        <x:v>シュウシ</x:v>
      </x:c>
    </x:row>
    <x:row r="377" ht="23" customHeight="1">
      <x:c r="A377" s="13" t="n">
        <x:v>369</x:v>
      </x:c>
      <x:c r="B377" s="2" t="str">
        <x:v>周邵</x:v>
      </x:c>
      <x:c r="C377" s="2" t="str">
        <x:v>周邵</x:v>
      </x:c>
      <x:c r="D377" s="2" t="str"/>
      <x:c r="E377" s="13" t="n">
        <x:v>197</x:v>
      </x:c>
      <x:c r="F377" s="13" t="n">
        <x:v>211</x:v>
      </x:c>
      <x:c r="G377" s="13" t="n">
        <x:v>230</x:v>
      </x:c>
      <x:c r="H377" s="2" t="str">
        <x:f>IF(OR($E$4="",NOT(ISNUMBER($E$4)),$E$4&lt;1,$E$4&gt;400),"参考年待填",IF(OR(E377="",F377="",G377=""),"年代待核",IF($E$4&lt;E377,"未出生",IF($E$4&lt;F377,"未登场",IF($E$4&gt;G377,"已过卒年",IF($E$4=G377,"卒年边界待核","年表可登场"))))))</x:f>
        <x:v>卒年边界待核</x:v>
      </x:c>
      <x:c r="I377" s="12"/>
      <x:c r="J377" s="2" t="str">
        <x:v>SAN14游戏设定</x:v>
      </x:c>
      <x:c r="K377" s="2" t="str"/>
      <x:c r="L377" s="2" t="str">
        <x:v>周邵</x:v>
      </x:c>
      <x:c r="M377" s="2" t="str">
        <x:v>san14-candidate-0369</x:v>
      </x:c>
      <x:c r="N377" s="2" t="str">
        <x:v>周邵</x:v>
      </x:c>
      <x:c r="O377" s="2" t="str">
        <x:v>シュウショウ</x:v>
      </x:c>
    </x:row>
    <x:row r="378" ht="23" customHeight="1">
      <x:c r="A378" s="13" t="n">
        <x:v>370</x:v>
      </x:c>
      <x:c r="B378" s="2" t="str">
        <x:v>周善</x:v>
      </x:c>
      <x:c r="C378" s="2" t="str">
        <x:v>周善</x:v>
      </x:c>
      <x:c r="D378" s="2" t="str"/>
      <x:c r="E378" s="13" t="n">
        <x:v>177</x:v>
      </x:c>
      <x:c r="F378" s="13" t="n">
        <x:v>196</x:v>
      </x:c>
      <x:c r="G378" s="13" t="n">
        <x:v>212</x:v>
      </x:c>
      <x:c r="H378" s="2" t="str">
        <x:f>IF(OR($E$4="",NOT(ISNUMBER($E$4)),$E$4&lt;1,$E$4&gt;400),"参考年待填",IF(OR(E378="",F378="",G378=""),"年代待核",IF($E$4&lt;E378,"未出生",IF($E$4&lt;F378,"未登场",IF($E$4&gt;G378,"已过卒年",IF($E$4=G378,"卒年边界待核","年表可登场"))))))</x:f>
        <x:v>已过卒年</x:v>
      </x:c>
      <x:c r="I378" s="12"/>
      <x:c r="J378" s="2" t="str">
        <x:v>SAN14游戏设定</x:v>
      </x:c>
      <x:c r="K378" s="2" t="str"/>
      <x:c r="L378" s="2" t="str">
        <x:v>周善</x:v>
      </x:c>
      <x:c r="M378" s="2" t="str">
        <x:v>san14-candidate-0370</x:v>
      </x:c>
      <x:c r="N378" s="2" t="str">
        <x:v>周善</x:v>
      </x:c>
      <x:c r="O378" s="2" t="str">
        <x:v>シュウゼン</x:v>
      </x:c>
    </x:row>
    <x:row r="379" ht="23" customHeight="1">
      <x:c r="A379" s="13" t="n">
        <x:v>371</x:v>
      </x:c>
      <x:c r="B379" s="2" t="str">
        <x:v>周仓</x:v>
      </x:c>
      <x:c r="C379" s="2" t="str">
        <x:v>周倉</x:v>
      </x:c>
      <x:c r="D379" s="2" t="str"/>
      <x:c r="E379" s="13" t="n">
        <x:v>164</x:v>
      </x:c>
      <x:c r="F379" s="13" t="n">
        <x:v>184</x:v>
      </x:c>
      <x:c r="G379" s="13" t="n">
        <x:v>219</x:v>
      </x:c>
      <x:c r="H379" s="2" t="str">
        <x:f>IF(OR($E$4="",NOT(ISNUMBER($E$4)),$E$4&lt;1,$E$4&gt;400),"参考年待填",IF(OR(E379="",F379="",G379=""),"年代待核",IF($E$4&lt;E379,"未出生",IF($E$4&lt;F379,"未登场",IF($E$4&gt;G379,"已过卒年",IF($E$4=G379,"卒年边界待核","年表可登场"))))))</x:f>
        <x:v>已过卒年</x:v>
      </x:c>
      <x:c r="I379" s="12"/>
      <x:c r="J379" s="2" t="str">
        <x:v>SAN14游戏设定</x:v>
      </x:c>
      <x:c r="K379" s="2" t="str"/>
      <x:c r="L379" s="2" t="str">
        <x:v>周倉</x:v>
      </x:c>
      <x:c r="M379" s="2" t="str">
        <x:v>san14-candidate-0371</x:v>
      </x:c>
      <x:c r="N379" s="2" t="str">
        <x:v>周倉</x:v>
      </x:c>
      <x:c r="O379" s="2" t="str">
        <x:v>シュウソウ</x:v>
      </x:c>
    </x:row>
    <x:row r="380" ht="23" customHeight="1">
      <x:c r="A380" s="13" t="n">
        <x:v>372</x:v>
      </x:c>
      <x:c r="B380" s="2" t="str">
        <x:v>修则</x:v>
      </x:c>
      <x:c r="C380" s="2" t="str">
        <x:v>脩則</x:v>
      </x:c>
      <x:c r="D380" s="2" t="str"/>
      <x:c r="E380" s="13" t="n">
        <x:v>222</x:v>
      </x:c>
      <x:c r="F380" s="13" t="n">
        <x:v>241</x:v>
      </x:c>
      <x:c r="G380" s="13" t="n">
        <x:v>268</x:v>
      </x:c>
      <x:c r="H380" s="2" t="str">
        <x:f>IF(OR($E$4="",NOT(ISNUMBER($E$4)),$E$4&lt;1,$E$4&gt;400),"参考年待填",IF(OR(E380="",F380="",G380=""),"年代待核",IF($E$4&lt;E380,"未出生",IF($E$4&lt;F380,"未登场",IF($E$4&gt;G380,"已过卒年",IF($E$4=G380,"卒年边界待核","年表可登场"))))))</x:f>
        <x:v>未登场</x:v>
      </x:c>
      <x:c r="I380" s="12"/>
      <x:c r="J380" s="2" t="str">
        <x:v>SAN14游戏设定</x:v>
      </x:c>
      <x:c r="K380" s="2" t="str"/>
      <x:c r="L380" s="2" t="str">
        <x:v>脩則</x:v>
      </x:c>
      <x:c r="M380" s="2" t="str">
        <x:v>san14-candidate-0372</x:v>
      </x:c>
      <x:c r="N380" s="2" t="str">
        <x:v>脩則</x:v>
      </x:c>
      <x:c r="O380" s="2" t="str">
        <x:v>シュウソク</x:v>
      </x:c>
    </x:row>
    <x:row r="381" ht="23" customHeight="1">
      <x:c r="A381" s="13" t="n">
        <x:v>373</x:v>
      </x:c>
      <x:c r="B381" s="2" t="str">
        <x:v>周泰</x:v>
      </x:c>
      <x:c r="C381" s="2" t="str">
        <x:v>周泰</x:v>
      </x:c>
      <x:c r="D381" s="2" t="str"/>
      <x:c r="E381" s="13" t="n">
        <x:v>171</x:v>
      </x:c>
      <x:c r="F381" s="13" t="n">
        <x:v>189</x:v>
      </x:c>
      <x:c r="G381" s="13" t="n">
        <x:v>225</x:v>
      </x:c>
      <x:c r="H381" s="2" t="str">
        <x:f>IF(OR($E$4="",NOT(ISNUMBER($E$4)),$E$4&lt;1,$E$4&gt;400),"参考年待填",IF(OR(E381="",F381="",G381=""),"年代待核",IF($E$4&lt;E381,"未出生",IF($E$4&lt;F381,"未登场",IF($E$4&gt;G381,"已过卒年",IF($E$4=G381,"卒年边界待核","年表可登场"))))))</x:f>
        <x:v>已过卒年</x:v>
      </x:c>
      <x:c r="I381" s="12"/>
      <x:c r="J381" s="2" t="str">
        <x:v>SAN14游戏设定</x:v>
      </x:c>
      <x:c r="K381" s="2" t="str"/>
      <x:c r="L381" s="2" t="str">
        <x:v>周泰</x:v>
      </x:c>
      <x:c r="M381" s="2" t="str">
        <x:v>san14-candidate-0373</x:v>
      </x:c>
      <x:c r="N381" s="2" t="str">
        <x:v>周泰</x:v>
      </x:c>
      <x:c r="O381" s="2" t="str">
        <x:v>シュウタイ</x:v>
      </x:c>
    </x:row>
    <x:row r="382" ht="23" customHeight="1">
      <x:c r="A382" s="13" t="n">
        <x:v>374</x:v>
      </x:c>
      <x:c r="B382" s="2" t="str">
        <x:v>州泰</x:v>
      </x:c>
      <x:c r="C382" s="2" t="str">
        <x:v>州泰</x:v>
      </x:c>
      <x:c r="D382" s="2" t="str"/>
      <x:c r="E382" s="13" t="n">
        <x:v>207</x:v>
      </x:c>
      <x:c r="F382" s="13" t="n">
        <x:v>226</x:v>
      </x:c>
      <x:c r="G382" s="13" t="n">
        <x:v>261</x:v>
      </x:c>
      <x:c r="H382" s="2" t="str">
        <x:f>IF(OR($E$4="",NOT(ISNUMBER($E$4)),$E$4&lt;1,$E$4&gt;400),"参考年待填",IF(OR(E382="",F382="",G382=""),"年代待核",IF($E$4&lt;E382,"未出生",IF($E$4&lt;F382,"未登场",IF($E$4&gt;G382,"已过卒年",IF($E$4=G382,"卒年边界待核","年表可登场"))))))</x:f>
        <x:v>年表可登场</x:v>
      </x:c>
      <x:c r="I382" s="12"/>
      <x:c r="J382" s="2" t="str">
        <x:v>SAN14游戏设定</x:v>
      </x:c>
      <x:c r="K382" s="2" t="str"/>
      <x:c r="L382" s="2" t="str">
        <x:v>州泰</x:v>
      </x:c>
      <x:c r="M382" s="2" t="str">
        <x:v>san14-candidate-0374</x:v>
      </x:c>
      <x:c r="N382" s="2" t="str">
        <x:v>州泰</x:v>
      </x:c>
      <x:c r="O382" s="2" t="str">
        <x:v>シュウタイ</x:v>
      </x:c>
    </x:row>
    <x:row r="383" ht="23" customHeight="1">
      <x:c r="A383" s="13" t="n">
        <x:v>375</x:v>
      </x:c>
      <x:c r="B383" s="2" t="str">
        <x:v>周朝</x:v>
      </x:c>
      <x:c r="C383" s="2" t="str">
        <x:v>周朝</x:v>
      </x:c>
      <x:c r="D383" s="2" t="str"/>
      <x:c r="E383" s="13" t="n">
        <x:v>152</x:v>
      </x:c>
      <x:c r="F383" s="13" t="n">
        <x:v>184</x:v>
      </x:c>
      <x:c r="G383" s="13" t="n">
        <x:v>187</x:v>
      </x:c>
      <x:c r="H383" s="2" t="str">
        <x:f>IF(OR($E$4="",NOT(ISNUMBER($E$4)),$E$4&lt;1,$E$4&gt;400),"参考年待填",IF(OR(E383="",F383="",G383=""),"年代待核",IF($E$4&lt;E383,"未出生",IF($E$4&lt;F383,"未登场",IF($E$4&gt;G383,"已过卒年",IF($E$4=G383,"卒年边界待核","年表可登场"))))))</x:f>
        <x:v>已过卒年</x:v>
      </x:c>
      <x:c r="I383" s="12"/>
      <x:c r="J383" s="2" t="str">
        <x:v>SAN14游戏设定</x:v>
      </x:c>
      <x:c r="K383" s="2" t="str"/>
      <x:c r="L383" s="2" t="str">
        <x:v>周朝</x:v>
      </x:c>
      <x:c r="M383" s="2" t="str">
        <x:v>san14-candidate-0375</x:v>
      </x:c>
      <x:c r="N383" s="2" t="str">
        <x:v>周朝</x:v>
      </x:c>
      <x:c r="O383" s="2" t="str">
        <x:v>シュウチョウ</x:v>
      </x:c>
    </x:row>
    <x:row r="384" ht="23" customHeight="1">
      <x:c r="A384" s="13" t="n">
        <x:v>376</x:v>
      </x:c>
      <x:c r="B384" s="2" t="str">
        <x:v>习珍</x:v>
      </x:c>
      <x:c r="C384" s="2" t="str">
        <x:v>習珍</x:v>
      </x:c>
      <x:c r="D384" s="2" t="str"/>
      <x:c r="E384" s="13" t="n">
        <x:v>180</x:v>
      </x:c>
      <x:c r="F384" s="13" t="n">
        <x:v>209</x:v>
      </x:c>
      <x:c r="G384" s="13" t="n">
        <x:v>221</x:v>
      </x:c>
      <x:c r="H384" s="2" t="str">
        <x:f>IF(OR($E$4="",NOT(ISNUMBER($E$4)),$E$4&lt;1,$E$4&gt;400),"参考年待填",IF(OR(E384="",F384="",G384=""),"年代待核",IF($E$4&lt;E384,"未出生",IF($E$4&lt;F384,"未登场",IF($E$4&gt;G384,"已过卒年",IF($E$4=G384,"卒年边界待核","年表可登场"))))))</x:f>
        <x:v>已过卒年</x:v>
      </x:c>
      <x:c r="I384" s="12"/>
      <x:c r="J384" s="2" t="str">
        <x:v>SAN14游戏设定</x:v>
      </x:c>
      <x:c r="K384" s="2" t="str"/>
      <x:c r="L384" s="2" t="str">
        <x:v>習珍</x:v>
      </x:c>
      <x:c r="M384" s="2" t="str">
        <x:v>san14-candidate-0376</x:v>
      </x:c>
      <x:c r="N384" s="2" t="str">
        <x:v>習珍</x:v>
      </x:c>
      <x:c r="O384" s="2" t="str">
        <x:v>シュウチン</x:v>
      </x:c>
    </x:row>
    <x:row r="385" ht="23" customHeight="1">
      <x:c r="A385" s="13" t="n">
        <x:v>377</x:v>
      </x:c>
      <x:c r="B385" s="2" t="str">
        <x:v>习祯</x:v>
      </x:c>
      <x:c r="C385" s="2" t="str">
        <x:v>習禎</x:v>
      </x:c>
      <x:c r="D385" s="2" t="str"/>
      <x:c r="E385" s="13" t="n">
        <x:v>181</x:v>
      </x:c>
      <x:c r="F385" s="13" t="n">
        <x:v>209</x:v>
      </x:c>
      <x:c r="G385" s="13" t="n">
        <x:v>218</x:v>
      </x:c>
      <x:c r="H385" s="2" t="str">
        <x:f>IF(OR($E$4="",NOT(ISNUMBER($E$4)),$E$4&lt;1,$E$4&gt;400),"参考年待填",IF(OR(E385="",F385="",G385=""),"年代待核",IF($E$4&lt;E385,"未出生",IF($E$4&lt;F385,"未登场",IF($E$4&gt;G385,"已过卒年",IF($E$4=G385,"卒年边界待核","年表可登场"))))))</x:f>
        <x:v>已过卒年</x:v>
      </x:c>
      <x:c r="I385" s="12"/>
      <x:c r="J385" s="2" t="str">
        <x:v>SAN14游戏设定</x:v>
      </x:c>
      <x:c r="K385" s="2" t="str"/>
      <x:c r="L385" s="2" t="str">
        <x:v>習禎</x:v>
      </x:c>
      <x:c r="M385" s="2" t="str">
        <x:v>san14-candidate-0377</x:v>
      </x:c>
      <x:c r="N385" s="2" t="str">
        <x:v>習禎</x:v>
      </x:c>
      <x:c r="O385" s="2" t="str">
        <x:v>シュウテイ</x:v>
      </x:c>
    </x:row>
    <x:row r="386" ht="23" customHeight="1">
      <x:c r="A386" s="13" t="n">
        <x:v>378</x:v>
      </x:c>
      <x:c r="B386" s="2" t="str">
        <x:v>周鲂</x:v>
      </x:c>
      <x:c r="C386" s="2" t="str">
        <x:v>周魴</x:v>
      </x:c>
      <x:c r="D386" s="2" t="str"/>
      <x:c r="E386" s="13" t="n">
        <x:v>191</x:v>
      </x:c>
      <x:c r="F386" s="13" t="n">
        <x:v>210</x:v>
      </x:c>
      <x:c r="G386" s="13" t="n">
        <x:v>238</x:v>
      </x:c>
      <x:c r="H386" s="2" t="str">
        <x:f>IF(OR($E$4="",NOT(ISNUMBER($E$4)),$E$4&lt;1,$E$4&gt;400),"参考年待填",IF(OR(E386="",F386="",G386=""),"年代待核",IF($E$4&lt;E386,"未出生",IF($E$4&lt;F386,"未登场",IF($E$4&gt;G386,"已过卒年",IF($E$4=G386,"卒年边界待核","年表可登场"))))))</x:f>
        <x:v>年表可登场</x:v>
      </x:c>
      <x:c r="I386" s="12"/>
      <x:c r="J386" s="2" t="str">
        <x:v>SAN14游戏设定</x:v>
      </x:c>
      <x:c r="K386" s="2" t="str"/>
      <x:c r="L386" s="2" t="str">
        <x:v>周魴</x:v>
      </x:c>
      <x:c r="M386" s="2" t="str">
        <x:v>san14-candidate-0378</x:v>
      </x:c>
      <x:c r="N386" s="2" t="str">
        <x:v>周魴</x:v>
      </x:c>
      <x:c r="O386" s="2" t="str">
        <x:v>シュウホウ</x:v>
      </x:c>
    </x:row>
    <x:row r="387" ht="23" customHeight="1">
      <x:c r="A387" s="13" t="n">
        <x:v>379</x:v>
      </x:c>
      <x:c r="B387" s="2" t="str">
        <x:v>周瑜</x:v>
      </x:c>
      <x:c r="C387" s="2" t="str">
        <x:v>周瑜</x:v>
      </x:c>
      <x:c r="D387" s="2" t="str"/>
      <x:c r="E387" s="13" t="n">
        <x:v>175</x:v>
      </x:c>
      <x:c r="F387" s="13" t="n">
        <x:v>189</x:v>
      </x:c>
      <x:c r="G387" s="13" t="n">
        <x:v>210</x:v>
      </x:c>
      <x:c r="H387" s="2" t="str">
        <x:f>IF(OR($E$4="",NOT(ISNUMBER($E$4)),$E$4&lt;1,$E$4&gt;400),"参考年待填",IF(OR(E387="",F387="",G387=""),"年代待核",IF($E$4&lt;E387,"未出生",IF($E$4&lt;F387,"未登场",IF($E$4&gt;G387,"已过卒年",IF($E$4=G387,"卒年边界待核","年表可登场"))))))</x:f>
        <x:v>已过卒年</x:v>
      </x:c>
      <x:c r="I387" s="12"/>
      <x:c r="J387" s="2" t="str">
        <x:v>SAN14游戏设定</x:v>
      </x:c>
      <x:c r="K387" s="2" t="str"/>
      <x:c r="L387" s="2" t="str">
        <x:v>周瑜</x:v>
      </x:c>
      <x:c r="M387" s="2" t="str">
        <x:v>san14-candidate-0379</x:v>
      </x:c>
      <x:c r="N387" s="2" t="str">
        <x:v>周瑜</x:v>
      </x:c>
      <x:c r="O387" s="2" t="str">
        <x:v>シュウユ</x:v>
      </x:c>
    </x:row>
    <x:row r="388" ht="23" customHeight="1">
      <x:c r="A388" s="13" t="n">
        <x:v>380</x:v>
      </x:c>
      <x:c r="B388" s="2" t="str">
        <x:v>朱盖</x:v>
      </x:c>
      <x:c r="C388" s="2" t="str">
        <x:v>朱蓋</x:v>
      </x:c>
      <x:c r="D388" s="2" t="str"/>
      <x:c r="E388" s="13" t="n">
        <x:v>178</x:v>
      </x:c>
      <x:c r="F388" s="13" t="n">
        <x:v>197</x:v>
      </x:c>
      <x:c r="G388" s="13" t="n">
        <x:v>224</x:v>
      </x:c>
      <x:c r="H388" s="2" t="str">
        <x:f>IF(OR($E$4="",NOT(ISNUMBER($E$4)),$E$4&lt;1,$E$4&gt;400),"参考年待填",IF(OR(E388="",F388="",G388=""),"年代待核",IF($E$4&lt;E388,"未出生",IF($E$4&lt;F388,"未登场",IF($E$4&gt;G388,"已过卒年",IF($E$4=G388,"卒年边界待核","年表可登场"))))))</x:f>
        <x:v>已过卒年</x:v>
      </x:c>
      <x:c r="I388" s="12"/>
      <x:c r="J388" s="2" t="str">
        <x:v>SAN14游戏设定</x:v>
      </x:c>
      <x:c r="K388" s="2" t="str"/>
      <x:c r="L388" s="2" t="str">
        <x:v>朱蓋</x:v>
      </x:c>
      <x:c r="M388" s="2" t="str">
        <x:v>san14-candidate-0380</x:v>
      </x:c>
      <x:c r="N388" s="2" t="str">
        <x:v>朱蓋</x:v>
      </x:c>
      <x:c r="O388" s="2" t="str">
        <x:v>シュガイ</x:v>
      </x:c>
    </x:row>
    <x:row r="389" ht="23" customHeight="1">
      <x:c r="A389" s="13" t="n">
        <x:v>381</x:v>
      </x:c>
      <x:c r="B389" s="2" t="str">
        <x:v>朱桓</x:v>
      </x:c>
      <x:c r="C389" s="2" t="str">
        <x:v>朱桓</x:v>
      </x:c>
      <x:c r="D389" s="2" t="str"/>
      <x:c r="E389" s="13" t="n">
        <x:v>177</x:v>
      </x:c>
      <x:c r="F389" s="13" t="n">
        <x:v>196</x:v>
      </x:c>
      <x:c r="G389" s="13" t="n">
        <x:v>238</x:v>
      </x:c>
      <x:c r="H389" s="2" t="str">
        <x:f>IF(OR($E$4="",NOT(ISNUMBER($E$4)),$E$4&lt;1,$E$4&gt;400),"参考年待填",IF(OR(E389="",F389="",G389=""),"年代待核",IF($E$4&lt;E389,"未出生",IF($E$4&lt;F389,"未登场",IF($E$4&gt;G389,"已过卒年",IF($E$4=G389,"卒年边界待核","年表可登场"))))))</x:f>
        <x:v>年表可登场</x:v>
      </x:c>
      <x:c r="I389" s="12"/>
      <x:c r="J389" s="2" t="str">
        <x:v>SAN14游戏设定</x:v>
      </x:c>
      <x:c r="K389" s="2" t="str"/>
      <x:c r="L389" s="2" t="str">
        <x:v>朱桓</x:v>
      </x:c>
      <x:c r="M389" s="2" t="str">
        <x:v>san14-candidate-0381</x:v>
      </x:c>
      <x:c r="N389" s="2" t="str">
        <x:v>朱桓</x:v>
      </x:c>
      <x:c r="O389" s="2" t="str">
        <x:v>シュカン</x:v>
      </x:c>
    </x:row>
    <x:row r="390" ht="23" customHeight="1">
      <x:c r="A390" s="13" t="n">
        <x:v>382</x:v>
      </x:c>
      <x:c r="B390" s="2" t="str">
        <x:v>朱据</x:v>
      </x:c>
      <x:c r="C390" s="2" t="str">
        <x:v>朱據</x:v>
      </x:c>
      <x:c r="D390" s="2" t="str"/>
      <x:c r="E390" s="13" t="n">
        <x:v>194</x:v>
      </x:c>
      <x:c r="F390" s="13" t="n">
        <x:v>209</x:v>
      </x:c>
      <x:c r="G390" s="13" t="n">
        <x:v>250</x:v>
      </x:c>
      <x:c r="H390" s="2" t="str">
        <x:f>IF(OR($E$4="",NOT(ISNUMBER($E$4)),$E$4&lt;1,$E$4&gt;400),"参考年待填",IF(OR(E390="",F390="",G390=""),"年代待核",IF($E$4&lt;E390,"未出生",IF($E$4&lt;F390,"未登场",IF($E$4&gt;G390,"已过卒年",IF($E$4=G390,"卒年边界待核","年表可登场"))))))</x:f>
        <x:v>年表可登场</x:v>
      </x:c>
      <x:c r="I390" s="12"/>
      <x:c r="J390" s="2" t="str">
        <x:v>SAN14游戏设定</x:v>
      </x:c>
      <x:c r="K390" s="2" t="str"/>
      <x:c r="L390" s="2" t="str">
        <x:v>朱據</x:v>
      </x:c>
      <x:c r="M390" s="2" t="str">
        <x:v>san14-candidate-0382</x:v>
      </x:c>
      <x:c r="N390" s="2" t="str">
        <x:v>朱拠</x:v>
      </x:c>
      <x:c r="O390" s="2" t="str">
        <x:v>シュキョ</x:v>
      </x:c>
    </x:row>
    <x:row r="391" ht="23" customHeight="1">
      <x:c r="A391" s="13" t="n">
        <x:v>383</x:v>
      </x:c>
      <x:c r="B391" s="2" t="str">
        <x:v>祝融</x:v>
      </x:c>
      <x:c r="C391" s="2" t="str">
        <x:v>祝融</x:v>
      </x:c>
      <x:c r="D391" s="2" t="str"/>
      <x:c r="E391" s="13" t="n">
        <x:v>193</x:v>
      </x:c>
      <x:c r="F391" s="13" t="n">
        <x:v>214</x:v>
      </x:c>
      <x:c r="G391" s="13" t="n">
        <x:v>246</x:v>
      </x:c>
      <x:c r="H391" s="2" t="str">
        <x:f>IF(OR($E$4="",NOT(ISNUMBER($E$4)),$E$4&lt;1,$E$4&gt;400),"参考年待填",IF(OR(E391="",F391="",G391=""),"年代待核",IF($E$4&lt;E391,"未出生",IF($E$4&lt;F391,"未登场",IF($E$4&gt;G391,"已过卒年",IF($E$4=G391,"卒年边界待核","年表可登场"))))))</x:f>
        <x:v>年表可登场</x:v>
      </x:c>
      <x:c r="I391" s="12"/>
      <x:c r="J391" s="2" t="str">
        <x:v>SAN14游戏设定</x:v>
      </x:c>
      <x:c r="K391" s="2" t="str"/>
      <x:c r="L391" s="2" t="str">
        <x:v>祝融</x:v>
      </x:c>
      <x:c r="M391" s="2" t="str">
        <x:v>san14-candidate-0383</x:v>
      </x:c>
      <x:c r="N391" s="2" t="str">
        <x:v>祝融</x:v>
      </x:c>
      <x:c r="O391" s="2" t="str">
        <x:v>シュクユウ</x:v>
      </x:c>
    </x:row>
    <x:row r="392" ht="23" customHeight="1">
      <x:c r="A392" s="13" t="n">
        <x:v>384</x:v>
      </x:c>
      <x:c r="B392" s="2" t="str">
        <x:v>朱光</x:v>
      </x:c>
      <x:c r="C392" s="2" t="str">
        <x:v>朱光</x:v>
      </x:c>
      <x:c r="D392" s="2" t="str"/>
      <x:c r="E392" s="13" t="n">
        <x:v>176</x:v>
      </x:c>
      <x:c r="F392" s="13" t="n">
        <x:v>195</x:v>
      </x:c>
      <x:c r="G392" s="13" t="n">
        <x:v>214</x:v>
      </x:c>
      <x:c r="H392" s="2" t="str">
        <x:f>IF(OR($E$4="",NOT(ISNUMBER($E$4)),$E$4&lt;1,$E$4&gt;400),"参考年待填",IF(OR(E392="",F392="",G392=""),"年代待核",IF($E$4&lt;E392,"未出生",IF($E$4&lt;F392,"未登场",IF($E$4&gt;G392,"已过卒年",IF($E$4=G392,"卒年边界待核","年表可登场"))))))</x:f>
        <x:v>已过卒年</x:v>
      </x:c>
      <x:c r="I392" s="12"/>
      <x:c r="J392" s="2" t="str">
        <x:v>SAN14游戏设定</x:v>
      </x:c>
      <x:c r="K392" s="2" t="str"/>
      <x:c r="L392" s="2" t="str">
        <x:v>朱光</x:v>
      </x:c>
      <x:c r="M392" s="2" t="str">
        <x:v>san14-candidate-0384</x:v>
      </x:c>
      <x:c r="N392" s="2" t="str">
        <x:v>朱光</x:v>
      </x:c>
      <x:c r="O392" s="2" t="str">
        <x:v>シュコウ</x:v>
      </x:c>
    </x:row>
    <x:row r="393" ht="23" customHeight="1">
      <x:c r="A393" s="13" t="n">
        <x:v>385</x:v>
      </x:c>
      <x:c r="B393" s="2" t="str">
        <x:v>朱赞</x:v>
      </x:c>
      <x:c r="C393" s="2" t="str">
        <x:v>朱讚</x:v>
      </x:c>
      <x:c r="D393" s="2" t="str"/>
      <x:c r="E393" s="13" t="n">
        <x:v>192</x:v>
      </x:c>
      <x:c r="F393" s="13" t="n">
        <x:v>209</x:v>
      </x:c>
      <x:c r="G393" s="13" t="n">
        <x:v>228</x:v>
      </x:c>
      <x:c r="H393" s="2" t="str">
        <x:f>IF(OR($E$4="",NOT(ISNUMBER($E$4)),$E$4&lt;1,$E$4&gt;400),"参考年待填",IF(OR(E393="",F393="",G393=""),"年代待核",IF($E$4&lt;E393,"未出生",IF($E$4&lt;F393,"未登场",IF($E$4&gt;G393,"已过卒年",IF($E$4=G393,"卒年边界待核","年表可登场"))))))</x:f>
        <x:v>已过卒年</x:v>
      </x:c>
      <x:c r="I393" s="12"/>
      <x:c r="J393" s="2" t="str">
        <x:v>SAN14游戏设定</x:v>
      </x:c>
      <x:c r="K393" s="2" t="str"/>
      <x:c r="L393" s="2" t="str">
        <x:v>朱讚</x:v>
      </x:c>
      <x:c r="M393" s="2" t="str">
        <x:v>san14-candidate-0385</x:v>
      </x:c>
      <x:c r="N393" s="2" t="str">
        <x:v>朱讃</x:v>
      </x:c>
      <x:c r="O393" s="2" t="str">
        <x:v>シュサン</x:v>
      </x:c>
    </x:row>
    <x:row r="394" ht="23" customHeight="1">
      <x:c r="A394" s="13" t="n">
        <x:v>386</x:v>
      </x:c>
      <x:c r="B394" s="2" t="str">
        <x:v>朱铄</x:v>
      </x:c>
      <x:c r="C394" s="2" t="str">
        <x:v>朱鑠</x:v>
      </x:c>
      <x:c r="D394" s="2" t="str"/>
      <x:c r="E394" s="13" t="n">
        <x:v>174</x:v>
      </x:c>
      <x:c r="F394" s="13" t="n">
        <x:v>196</x:v>
      </x:c>
      <x:c r="G394" s="13" t="n">
        <x:v>253</x:v>
      </x:c>
      <x:c r="H394" s="2" t="str">
        <x:f>IF(OR($E$4="",NOT(ISNUMBER($E$4)),$E$4&lt;1,$E$4&gt;400),"参考年待填",IF(OR(E394="",F394="",G394=""),"年代待核",IF($E$4&lt;E394,"未出生",IF($E$4&lt;F394,"未登场",IF($E$4&gt;G394,"已过卒年",IF($E$4=G394,"卒年边界待核","年表可登场"))))))</x:f>
        <x:v>年表可登场</x:v>
      </x:c>
      <x:c r="I394" s="12"/>
      <x:c r="J394" s="2" t="str">
        <x:v>SAN14游戏设定</x:v>
      </x:c>
      <x:c r="K394" s="2" t="str"/>
      <x:c r="L394" s="2" t="str">
        <x:v>朱鑠</x:v>
      </x:c>
      <x:c r="M394" s="2" t="str">
        <x:v>san14-candidate-0386</x:v>
      </x:c>
      <x:c r="N394" s="2" t="str">
        <x:v>朱鑠</x:v>
      </x:c>
      <x:c r="O394" s="2" t="str">
        <x:v>シュシャク</x:v>
      </x:c>
    </x:row>
    <x:row r="395" ht="23" customHeight="1">
      <x:c r="A395" s="13" t="n">
        <x:v>387</x:v>
      </x:c>
      <x:c r="B395" s="2" t="str">
        <x:v>朱俊</x:v>
      </x:c>
      <x:c r="C395" s="2" t="str">
        <x:v>朱儁</x:v>
      </x:c>
      <x:c r="D395" s="2" t="str"/>
      <x:c r="E395" s="13" t="n">
        <x:v>149</x:v>
      </x:c>
      <x:c r="F395" s="13" t="n">
        <x:v>184</x:v>
      </x:c>
      <x:c r="G395" s="13" t="n">
        <x:v>195</x:v>
      </x:c>
      <x:c r="H395" s="2" t="str">
        <x:f>IF(OR($E$4="",NOT(ISNUMBER($E$4)),$E$4&lt;1,$E$4&gt;400),"参考年待填",IF(OR(E395="",F395="",G395=""),"年代待核",IF($E$4&lt;E395,"未出生",IF($E$4&lt;F395,"未登场",IF($E$4&gt;G395,"已过卒年",IF($E$4=G395,"卒年边界待核","年表可登场"))))))</x:f>
        <x:v>已过卒年</x:v>
      </x:c>
      <x:c r="I395" s="12"/>
      <x:c r="J395" s="2" t="str">
        <x:v>SAN14游戏设定</x:v>
      </x:c>
      <x:c r="K395" s="2" t="str"/>
      <x:c r="L395" s="2" t="str">
        <x:v>朱儁</x:v>
      </x:c>
      <x:c r="M395" s="2" t="str">
        <x:v>san14-candidate-0387</x:v>
      </x:c>
      <x:c r="N395" s="2" t="str">
        <x:v>朱儁</x:v>
      </x:c>
      <x:c r="O395" s="2" t="str">
        <x:v>シュシュン</x:v>
      </x:c>
    </x:row>
    <x:row r="396" ht="23" customHeight="1">
      <x:c r="A396" s="13" t="n">
        <x:v>388</x:v>
      </x:c>
      <x:c r="B396" s="2" t="str">
        <x:v>朱绩</x:v>
      </x:c>
      <x:c r="C396" s="2" t="str">
        <x:v>朱績</x:v>
      </x:c>
      <x:c r="D396" s="2" t="str"/>
      <x:c r="E396" s="13" t="n">
        <x:v>204</x:v>
      </x:c>
      <x:c r="F396" s="13" t="n">
        <x:v>220</x:v>
      </x:c>
      <x:c r="G396" s="13" t="n">
        <x:v>270</x:v>
      </x:c>
      <x:c r="H396" s="2" t="str">
        <x:f>IF(OR($E$4="",NOT(ISNUMBER($E$4)),$E$4&lt;1,$E$4&gt;400),"参考年待填",IF(OR(E396="",F396="",G396=""),"年代待核",IF($E$4&lt;E396,"未出生",IF($E$4&lt;F396,"未登场",IF($E$4&gt;G396,"已过卒年",IF($E$4=G396,"卒年边界待核","年表可登场"))))))</x:f>
        <x:v>年表可登场</x:v>
      </x:c>
      <x:c r="I396" s="12"/>
      <x:c r="J396" s="2" t="str">
        <x:v>SAN14游戏设定</x:v>
      </x:c>
      <x:c r="K396" s="2" t="str"/>
      <x:c r="L396" s="2" t="str">
        <x:v>朱績</x:v>
      </x:c>
      <x:c r="M396" s="2" t="str">
        <x:v>san14-candidate-0388</x:v>
      </x:c>
      <x:c r="N396" s="2" t="str">
        <x:v>朱績</x:v>
      </x:c>
      <x:c r="O396" s="2" t="str">
        <x:v>シュセキ</x:v>
      </x:c>
    </x:row>
    <x:row r="397" ht="23" customHeight="1">
      <x:c r="A397" s="13" t="n">
        <x:v>389</x:v>
      </x:c>
      <x:c r="B397" s="2" t="str">
        <x:v>朱然</x:v>
      </x:c>
      <x:c r="C397" s="2" t="str">
        <x:v>朱然</x:v>
      </x:c>
      <x:c r="D397" s="2" t="str"/>
      <x:c r="E397" s="13" t="n">
        <x:v>182</x:v>
      </x:c>
      <x:c r="F397" s="13" t="n">
        <x:v>196</x:v>
      </x:c>
      <x:c r="G397" s="13" t="n">
        <x:v>249</x:v>
      </x:c>
      <x:c r="H397" s="2" t="str">
        <x:f>IF(OR($E$4="",NOT(ISNUMBER($E$4)),$E$4&lt;1,$E$4&gt;400),"参考年待填",IF(OR(E397="",F397="",G397=""),"年代待核",IF($E$4&lt;E397,"未出生",IF($E$4&lt;F397,"未登场",IF($E$4&gt;G397,"已过卒年",IF($E$4=G397,"卒年边界待核","年表可登场"))))))</x:f>
        <x:v>年表可登场</x:v>
      </x:c>
      <x:c r="I397" s="12"/>
      <x:c r="J397" s="2" t="str">
        <x:v>SAN14游戏设定</x:v>
      </x:c>
      <x:c r="K397" s="2" t="str"/>
      <x:c r="L397" s="2" t="str">
        <x:v>朱然</x:v>
      </x:c>
      <x:c r="M397" s="2" t="str">
        <x:v>san14-candidate-0389</x:v>
      </x:c>
      <x:c r="N397" s="2" t="str">
        <x:v>朱然</x:v>
      </x:c>
      <x:c r="O397" s="2" t="str">
        <x:v>シュゼン</x:v>
      </x:c>
    </x:row>
    <x:row r="398" ht="23" customHeight="1">
      <x:c r="A398" s="13" t="n">
        <x:v>390</x:v>
      </x:c>
      <x:c r="B398" s="2" t="str">
        <x:v>朱治</x:v>
      </x:c>
      <x:c r="C398" s="2" t="str">
        <x:v>朱治</x:v>
      </x:c>
      <x:c r="D398" s="2" t="str"/>
      <x:c r="E398" s="13" t="n">
        <x:v>156</x:v>
      </x:c>
      <x:c r="F398" s="13" t="n">
        <x:v>184</x:v>
      </x:c>
      <x:c r="G398" s="13" t="n">
        <x:v>224</x:v>
      </x:c>
      <x:c r="H398" s="2" t="str">
        <x:f>IF(OR($E$4="",NOT(ISNUMBER($E$4)),$E$4&lt;1,$E$4&gt;400),"参考年待填",IF(OR(E398="",F398="",G398=""),"年代待核",IF($E$4&lt;E398,"未出生",IF($E$4&lt;F398,"未登场",IF($E$4&gt;G398,"已过卒年",IF($E$4=G398,"卒年边界待核","年表可登场"))))))</x:f>
        <x:v>已过卒年</x:v>
      </x:c>
      <x:c r="I398" s="12"/>
      <x:c r="J398" s="2" t="str">
        <x:v>SAN14游戏设定</x:v>
      </x:c>
      <x:c r="K398" s="2" t="str"/>
      <x:c r="L398" s="2" t="str">
        <x:v>朱治</x:v>
      </x:c>
      <x:c r="M398" s="2" t="str">
        <x:v>san14-candidate-0390</x:v>
      </x:c>
      <x:c r="N398" s="2" t="str">
        <x:v>朱治</x:v>
      </x:c>
      <x:c r="O398" s="2" t="str">
        <x:v>シュチ</x:v>
      </x:c>
    </x:row>
    <x:row r="399" ht="23" customHeight="1">
      <x:c r="A399" s="13" t="n">
        <x:v>391</x:v>
      </x:c>
      <x:c r="B399" s="2" t="str">
        <x:v>朱褒</x:v>
      </x:c>
      <x:c r="C399" s="2" t="str">
        <x:v>朱褒</x:v>
      </x:c>
      <x:c r="D399" s="2" t="str"/>
      <x:c r="E399" s="13" t="n">
        <x:v>187</x:v>
      </x:c>
      <x:c r="F399" s="13" t="n">
        <x:v>206</x:v>
      </x:c>
      <x:c r="G399" s="13" t="n">
        <x:v>225</x:v>
      </x:c>
      <x:c r="H399" s="2" t="str">
        <x:f>IF(OR($E$4="",NOT(ISNUMBER($E$4)),$E$4&lt;1,$E$4&gt;400),"参考年待填",IF(OR(E399="",F399="",G399=""),"年代待核",IF($E$4&lt;E399,"未出生",IF($E$4&lt;F399,"未登场",IF($E$4&gt;G399,"已过卒年",IF($E$4=G399,"卒年边界待核","年表可登场"))))))</x:f>
        <x:v>已过卒年</x:v>
      </x:c>
      <x:c r="I399" s="12"/>
      <x:c r="J399" s="2" t="str">
        <x:v>SAN14游戏设定</x:v>
      </x:c>
      <x:c r="K399" s="2" t="str"/>
      <x:c r="L399" s="2" t="str">
        <x:v>朱褒</x:v>
      </x:c>
      <x:c r="M399" s="2" t="str">
        <x:v>san14-candidate-0391</x:v>
      </x:c>
      <x:c r="N399" s="2" t="str">
        <x:v>朱褒</x:v>
      </x:c>
      <x:c r="O399" s="2" t="str">
        <x:v>シュホウ</x:v>
      </x:c>
    </x:row>
    <x:row r="400" ht="23" customHeight="1">
      <x:c r="A400" s="13" t="n">
        <x:v>392</x:v>
      </x:c>
      <x:c r="B400" s="2" t="str">
        <x:v>朱灵</x:v>
      </x:c>
      <x:c r="C400" s="2" t="str">
        <x:v>朱靈</x:v>
      </x:c>
      <x:c r="D400" s="2" t="str"/>
      <x:c r="E400" s="13" t="n">
        <x:v>170</x:v>
      </x:c>
      <x:c r="F400" s="13" t="n">
        <x:v>189</x:v>
      </x:c>
      <x:c r="G400" s="13" t="n">
        <x:v>236</x:v>
      </x:c>
      <x:c r="H400" s="2" t="str">
        <x:f>IF(OR($E$4="",NOT(ISNUMBER($E$4)),$E$4&lt;1,$E$4&gt;400),"参考年待填",IF(OR(E400="",F400="",G400=""),"年代待核",IF($E$4&lt;E400,"未出生",IF($E$4&lt;F400,"未登场",IF($E$4&gt;G400,"已过卒年",IF($E$4=G400,"卒年边界待核","年表可登场"))))))</x:f>
        <x:v>年表可登场</x:v>
      </x:c>
      <x:c r="I400" s="12"/>
      <x:c r="J400" s="2" t="str">
        <x:v>SAN14游戏设定</x:v>
      </x:c>
      <x:c r="K400" s="2" t="str"/>
      <x:c r="L400" s="2" t="str">
        <x:v>朱靈</x:v>
      </x:c>
      <x:c r="M400" s="2" t="str">
        <x:v>san14-candidate-0392</x:v>
      </x:c>
      <x:c r="N400" s="2" t="str">
        <x:v>朱霊</x:v>
      </x:c>
      <x:c r="O400" s="2" t="str">
        <x:v>シュレイ</x:v>
      </x:c>
    </x:row>
    <x:row r="401" ht="23" customHeight="1">
      <x:c r="A401" s="13" t="n">
        <x:v>393</x:v>
      </x:c>
      <x:c r="B401" s="2" t="str">
        <x:v>荀彧</x:v>
      </x:c>
      <x:c r="C401" s="2" t="str">
        <x:v>荀彧</x:v>
      </x:c>
      <x:c r="D401" s="2" t="str"/>
      <x:c r="E401" s="13" t="n">
        <x:v>163</x:v>
      </x:c>
      <x:c r="F401" s="13" t="n">
        <x:v>184</x:v>
      </x:c>
      <x:c r="G401" s="13" t="n">
        <x:v>212</x:v>
      </x:c>
      <x:c r="H401" s="2" t="str">
        <x:f>IF(OR($E$4="",NOT(ISNUMBER($E$4)),$E$4&lt;1,$E$4&gt;400),"参考年待填",IF(OR(E401="",F401="",G401=""),"年代待核",IF($E$4&lt;E401,"未出生",IF($E$4&lt;F401,"未登场",IF($E$4&gt;G401,"已过卒年",IF($E$4=G401,"卒年边界待核","年表可登场"))))))</x:f>
        <x:v>已过卒年</x:v>
      </x:c>
      <x:c r="I401" s="12"/>
      <x:c r="J401" s="2" t="str">
        <x:v>SAN14游戏设定</x:v>
      </x:c>
      <x:c r="K401" s="2" t="str"/>
      <x:c r="L401" s="2" t="str">
        <x:v>荀彧</x:v>
      </x:c>
      <x:c r="M401" s="2" t="str">
        <x:v>san14-candidate-0393</x:v>
      </x:c>
      <x:c r="N401" s="2" t="str">
        <x:v>荀彧</x:v>
      </x:c>
      <x:c r="O401" s="2" t="str">
        <x:v>ジュンイク</x:v>
      </x:c>
    </x:row>
    <x:row r="402" ht="23" customHeight="1">
      <x:c r="A402" s="13" t="n">
        <x:v>394</x:v>
      </x:c>
      <x:c r="B402" s="2" t="str">
        <x:v>荀恽</x:v>
      </x:c>
      <x:c r="C402" s="2" t="str">
        <x:v>荀惲</x:v>
      </x:c>
      <x:c r="D402" s="2" t="str"/>
      <x:c r="E402" s="13" t="n">
        <x:v>190</x:v>
      </x:c>
      <x:c r="F402" s="13" t="n">
        <x:v>206</x:v>
      </x:c>
      <x:c r="G402" s="13" t="n">
        <x:v>235</x:v>
      </x:c>
      <x:c r="H402" s="2" t="str">
        <x:f>IF(OR($E$4="",NOT(ISNUMBER($E$4)),$E$4&lt;1,$E$4&gt;400),"参考年待填",IF(OR(E402="",F402="",G402=""),"年代待核",IF($E$4&lt;E402,"未出生",IF($E$4&lt;F402,"未登场",IF($E$4&gt;G402,"已过卒年",IF($E$4=G402,"卒年边界待核","年表可登场"))))))</x:f>
        <x:v>年表可登场</x:v>
      </x:c>
      <x:c r="I402" s="12"/>
      <x:c r="J402" s="2" t="str">
        <x:v>SAN14游戏设定</x:v>
      </x:c>
      <x:c r="K402" s="2" t="str"/>
      <x:c r="L402" s="2" t="str">
        <x:v>荀惲</x:v>
      </x:c>
      <x:c r="M402" s="2" t="str">
        <x:v>san14-candidate-0394</x:v>
      </x:c>
      <x:c r="N402" s="2" t="str">
        <x:v>荀ウン</x:v>
      </x:c>
      <x:c r="O402" s="2" t="str">
        <x:v>ジュンウン</x:v>
      </x:c>
    </x:row>
    <x:row r="403" ht="23" customHeight="1">
      <x:c r="A403" s="13" t="n">
        <x:v>395</x:v>
      </x:c>
      <x:c r="B403" s="2" t="str">
        <x:v>淳于琼</x:v>
      </x:c>
      <x:c r="C403" s="2" t="str">
        <x:v>淳于瓊</x:v>
      </x:c>
      <x:c r="D403" s="2" t="str"/>
      <x:c r="E403" s="13" t="n">
        <x:v>146</x:v>
      </x:c>
      <x:c r="F403" s="13" t="n">
        <x:v>184</x:v>
      </x:c>
      <x:c r="G403" s="13" t="n">
        <x:v>200</x:v>
      </x:c>
      <x:c r="H403" s="2" t="str">
        <x:f>IF(OR($E$4="",NOT(ISNUMBER($E$4)),$E$4&lt;1,$E$4&gt;400),"参考年待填",IF(OR(E403="",F403="",G403=""),"年代待核",IF($E$4&lt;E403,"未出生",IF($E$4&lt;F403,"未登场",IF($E$4&gt;G403,"已过卒年",IF($E$4=G403,"卒年边界待核","年表可登场"))))))</x:f>
        <x:v>已过卒年</x:v>
      </x:c>
      <x:c r="I403" s="12"/>
      <x:c r="J403" s="2" t="str">
        <x:v>SAN14游戏设定</x:v>
      </x:c>
      <x:c r="K403" s="2" t="str"/>
      <x:c r="L403" s="2" t="str">
        <x:v>淳于瓊</x:v>
      </x:c>
      <x:c r="M403" s="2" t="str">
        <x:v>san14-candidate-0395</x:v>
      </x:c>
      <x:c r="N403" s="2" t="str">
        <x:v>淳于瓊</x:v>
      </x:c>
      <x:c r="O403" s="2" t="str">
        <x:v>ジュンウケイ</x:v>
      </x:c>
    </x:row>
    <x:row r="404" ht="23" customHeight="1">
      <x:c r="A404" s="13" t="n">
        <x:v>396</x:v>
      </x:c>
      <x:c r="B404" s="2" t="str">
        <x:v>荀𫖮</x:v>
      </x:c>
      <x:c r="C404" s="2" t="str">
        <x:v>荀顗</x:v>
      </x:c>
      <x:c r="D404" s="2" t="str"/>
      <x:c r="E404" s="13" t="n">
        <x:v>207</x:v>
      </x:c>
      <x:c r="F404" s="13" t="n">
        <x:v>226</x:v>
      </x:c>
      <x:c r="G404" s="13" t="n">
        <x:v>281</x:v>
      </x:c>
      <x:c r="H404" s="2" t="str">
        <x:f>IF(OR($E$4="",NOT(ISNUMBER($E$4)),$E$4&lt;1,$E$4&gt;400),"参考年待填",IF(OR(E404="",F404="",G404=""),"年代待核",IF($E$4&lt;E404,"未出生",IF($E$4&lt;F404,"未登场",IF($E$4&gt;G404,"已过卒年",IF($E$4=G404,"卒年边界待核","年表可登场"))))))</x:f>
        <x:v>年表可登场</x:v>
      </x:c>
      <x:c r="I404" s="12"/>
      <x:c r="J404" s="2" t="str">
        <x:v>SAN14游戏设定</x:v>
      </x:c>
      <x:c r="K404" s="2" t="str"/>
      <x:c r="L404" s="2" t="str">
        <x:v>荀顗</x:v>
      </x:c>
      <x:c r="M404" s="2" t="str">
        <x:v>san14-candidate-0396</x:v>
      </x:c>
      <x:c r="N404" s="2" t="str">
        <x:v>荀顗</x:v>
      </x:c>
      <x:c r="O404" s="2" t="str">
        <x:v>ジュンギ</x:v>
      </x:c>
    </x:row>
    <x:row r="405" ht="23" customHeight="1">
      <x:c r="A405" s="13" t="n">
        <x:v>397</x:v>
      </x:c>
      <x:c r="B405" s="2" t="str">
        <x:v>荀勗</x:v>
      </x:c>
      <x:c r="C405" s="2" t="str">
        <x:v>荀勗</x:v>
      </x:c>
      <x:c r="D405" s="2" t="str"/>
      <x:c r="E405" s="13" t="n">
        <x:v>225</x:v>
      </x:c>
      <x:c r="F405" s="13" t="n">
        <x:v>244</x:v>
      </x:c>
      <x:c r="G405" s="13" t="n">
        <x:v>289</x:v>
      </x:c>
      <x:c r="H405" s="2" t="str">
        <x:f>IF(OR($E$4="",NOT(ISNUMBER($E$4)),$E$4&lt;1,$E$4&gt;400),"参考年待填",IF(OR(E405="",F405="",G405=""),"年代待核",IF($E$4&lt;E405,"未出生",IF($E$4&lt;F405,"未登场",IF($E$4&gt;G405,"已过卒年",IF($E$4=G405,"卒年边界待核","年表可登场"))))))</x:f>
        <x:v>未登场</x:v>
      </x:c>
      <x:c r="I405" s="12"/>
      <x:c r="J405" s="2" t="str">
        <x:v>SAN14游戏设定</x:v>
      </x:c>
      <x:c r="K405" s="2" t="str"/>
      <x:c r="L405" s="2" t="str">
        <x:v>荀勗</x:v>
      </x:c>
      <x:c r="M405" s="2" t="str">
        <x:v>san14-candidate-0397</x:v>
      </x:c>
      <x:c r="N405" s="2" t="str">
        <x:v>荀勗</x:v>
      </x:c>
      <x:c r="O405" s="2" t="str">
        <x:v>ジュンキョク</x:v>
      </x:c>
    </x:row>
    <x:row r="406" ht="23" customHeight="1">
      <x:c r="A406" s="13" t="n">
        <x:v>398</x:v>
      </x:c>
      <x:c r="B406" s="2" t="str">
        <x:v>荀粲</x:v>
      </x:c>
      <x:c r="C406" s="2" t="str">
        <x:v>荀粲</x:v>
      </x:c>
      <x:c r="D406" s="2" t="str"/>
      <x:c r="E406" s="13" t="n">
        <x:v>209</x:v>
      </x:c>
      <x:c r="F406" s="13" t="n">
        <x:v>228</x:v>
      </x:c>
      <x:c r="G406" s="13" t="n">
        <x:v>237</x:v>
      </x:c>
      <x:c r="H406" s="2" t="str">
        <x:f>IF(OR($E$4="",NOT(ISNUMBER($E$4)),$E$4&lt;1,$E$4&gt;400),"参考年待填",IF(OR(E406="",F406="",G406=""),"年代待核",IF($E$4&lt;E406,"未出生",IF($E$4&lt;F406,"未登场",IF($E$4&gt;G406,"已过卒年",IF($E$4=G406,"卒年边界待核","年表可登场"))))))</x:f>
        <x:v>年表可登场</x:v>
      </x:c>
      <x:c r="I406" s="12"/>
      <x:c r="J406" s="2" t="str">
        <x:v>SAN14游戏设定</x:v>
      </x:c>
      <x:c r="K406" s="2" t="str"/>
      <x:c r="L406" s="2" t="str">
        <x:v>荀粲</x:v>
      </x:c>
      <x:c r="M406" s="2" t="str">
        <x:v>san14-candidate-0398</x:v>
      </x:c>
      <x:c r="N406" s="2" t="str">
        <x:v>荀粲</x:v>
      </x:c>
      <x:c r="O406" s="2" t="str">
        <x:v>ジュンサン</x:v>
      </x:c>
    </x:row>
    <x:row r="407" ht="23" customHeight="1">
      <x:c r="A407" s="13" t="n">
        <x:v>399</x:v>
      </x:c>
      <x:c r="B407" s="2" t="str">
        <x:v>荀谌</x:v>
      </x:c>
      <x:c r="C407" s="2" t="str">
        <x:v>荀諶</x:v>
      </x:c>
      <x:c r="D407" s="2" t="str"/>
      <x:c r="E407" s="13" t="n">
        <x:v>164</x:v>
      </x:c>
      <x:c r="F407" s="13" t="n">
        <x:v>184</x:v>
      </x:c>
      <x:c r="G407" s="13" t="n">
        <x:v>208</x:v>
      </x:c>
      <x:c r="H407" s="2" t="str">
        <x:f>IF(OR($E$4="",NOT(ISNUMBER($E$4)),$E$4&lt;1,$E$4&gt;400),"参考年待填",IF(OR(E407="",F407="",G407=""),"年代待核",IF($E$4&lt;E407,"未出生",IF($E$4&lt;F407,"未登场",IF($E$4&gt;G407,"已过卒年",IF($E$4=G407,"卒年边界待核","年表可登场"))))))</x:f>
        <x:v>已过卒年</x:v>
      </x:c>
      <x:c r="I407" s="12"/>
      <x:c r="J407" s="2" t="str">
        <x:v>SAN14游戏设定</x:v>
      </x:c>
      <x:c r="K407" s="2" t="str"/>
      <x:c r="L407" s="2" t="str">
        <x:v>荀諶</x:v>
      </x:c>
      <x:c r="M407" s="2" t="str">
        <x:v>san14-candidate-0399</x:v>
      </x:c>
      <x:c r="N407" s="2" t="str">
        <x:v>荀諶</x:v>
      </x:c>
      <x:c r="O407" s="2" t="str">
        <x:v>ジュンシン</x:v>
      </x:c>
    </x:row>
    <x:row r="408" ht="23" customHeight="1">
      <x:c r="A408" s="13" t="n">
        <x:v>400</x:v>
      </x:c>
      <x:c r="B408" s="2" t="str">
        <x:v>荀正</x:v>
      </x:c>
      <x:c r="C408" s="2" t="str">
        <x:v>荀正</x:v>
      </x:c>
      <x:c r="D408" s="2" t="str"/>
      <x:c r="E408" s="13" t="n">
        <x:v>166</x:v>
      </x:c>
      <x:c r="F408" s="13" t="n">
        <x:v>185</x:v>
      </x:c>
      <x:c r="G408" s="13" t="n">
        <x:v>196</x:v>
      </x:c>
      <x:c r="H408" s="2" t="str">
        <x:f>IF(OR($E$4="",NOT(ISNUMBER($E$4)),$E$4&lt;1,$E$4&gt;400),"参考年待填",IF(OR(E408="",F408="",G408=""),"年代待核",IF($E$4&lt;E408,"未出生",IF($E$4&lt;F408,"未登场",IF($E$4&gt;G408,"已过卒年",IF($E$4=G408,"卒年边界待核","年表可登场"))))))</x:f>
        <x:v>已过卒年</x:v>
      </x:c>
      <x:c r="I408" s="12"/>
      <x:c r="J408" s="2" t="str">
        <x:v>SAN14游戏设定</x:v>
      </x:c>
      <x:c r="K408" s="2" t="str"/>
      <x:c r="L408" s="2" t="str">
        <x:v>荀正</x:v>
      </x:c>
      <x:c r="M408" s="2" t="str">
        <x:v>san14-candidate-0400</x:v>
      </x:c>
      <x:c r="N408" s="2" t="str">
        <x:v>荀正</x:v>
      </x:c>
      <x:c r="O408" s="2" t="str">
        <x:v>ジュンセイ</x:v>
      </x:c>
    </x:row>
    <x:row r="409" ht="23" customHeight="1">
      <x:c r="A409" s="13" t="n">
        <x:v>401</x:v>
      </x:c>
      <x:c r="B409" s="2" t="str">
        <x:v>荀爽</x:v>
      </x:c>
      <x:c r="C409" s="2" t="str">
        <x:v>荀爽</x:v>
      </x:c>
      <x:c r="D409" s="2" t="str"/>
      <x:c r="E409" s="13" t="n">
        <x:v>128</x:v>
      </x:c>
      <x:c r="F409" s="13" t="n">
        <x:v>184</x:v>
      </x:c>
      <x:c r="G409" s="13" t="n">
        <x:v>190</x:v>
      </x:c>
      <x:c r="H409" s="2" t="str">
        <x:f>IF(OR($E$4="",NOT(ISNUMBER($E$4)),$E$4&lt;1,$E$4&gt;400),"参考年待填",IF(OR(E409="",F409="",G409=""),"年代待核",IF($E$4&lt;E409,"未出生",IF($E$4&lt;F409,"未登场",IF($E$4&gt;G409,"已过卒年",IF($E$4=G409,"卒年边界待核","年表可登场"))))))</x:f>
        <x:v>已过卒年</x:v>
      </x:c>
      <x:c r="I409" s="12"/>
      <x:c r="J409" s="2" t="str">
        <x:v>SAN14游戏设定</x:v>
      </x:c>
      <x:c r="K409" s="2" t="str"/>
      <x:c r="L409" s="2" t="str">
        <x:v>荀爽</x:v>
      </x:c>
      <x:c r="M409" s="2" t="str">
        <x:v>san14-candidate-0401</x:v>
      </x:c>
      <x:c r="N409" s="2" t="str">
        <x:v>荀爽</x:v>
      </x:c>
      <x:c r="O409" s="2" t="str">
        <x:v>ジュンソウ</x:v>
      </x:c>
    </x:row>
    <x:row r="410" ht="23" customHeight="1">
      <x:c r="A410" s="13" t="n">
        <x:v>402</x:v>
      </x:c>
      <x:c r="B410" s="2" t="str">
        <x:v>荀攸</x:v>
      </x:c>
      <x:c r="C410" s="2" t="str">
        <x:v>荀攸</x:v>
      </x:c>
      <x:c r="D410" s="2" t="str"/>
      <x:c r="E410" s="13" t="n">
        <x:v>157</x:v>
      </x:c>
      <x:c r="F410" s="13" t="n">
        <x:v>184</x:v>
      </x:c>
      <x:c r="G410" s="13" t="n">
        <x:v>214</x:v>
      </x:c>
      <x:c r="H410" s="2" t="str">
        <x:f>IF(OR($E$4="",NOT(ISNUMBER($E$4)),$E$4&lt;1,$E$4&gt;400),"参考年待填",IF(OR(E410="",F410="",G410=""),"年代待核",IF($E$4&lt;E410,"未出生",IF($E$4&lt;F410,"未登场",IF($E$4&gt;G410,"已过卒年",IF($E$4=G410,"卒年边界待核","年表可登场"))))))</x:f>
        <x:v>已过卒年</x:v>
      </x:c>
      <x:c r="I410" s="12"/>
      <x:c r="J410" s="2" t="str">
        <x:v>SAN14游戏设定</x:v>
      </x:c>
      <x:c r="K410" s="2" t="str"/>
      <x:c r="L410" s="2" t="str">
        <x:v>荀攸</x:v>
      </x:c>
      <x:c r="M410" s="2" t="str">
        <x:v>san14-candidate-0402</x:v>
      </x:c>
      <x:c r="N410" s="2" t="str">
        <x:v>荀攸</x:v>
      </x:c>
      <x:c r="O410" s="2" t="str">
        <x:v>ジュンユウ</x:v>
      </x:c>
    </x:row>
    <x:row r="411" ht="23" customHeight="1">
      <x:c r="A411" s="13" t="n">
        <x:v>403</x:v>
      </x:c>
      <x:c r="B411" s="2" t="str">
        <x:v>焦彝</x:v>
      </x:c>
      <x:c r="C411" s="2" t="str">
        <x:v>焦彝</x:v>
      </x:c>
      <x:c r="D411" s="2" t="str"/>
      <x:c r="E411" s="13" t="n">
        <x:v>219</x:v>
      </x:c>
      <x:c r="F411" s="13" t="n">
        <x:v>238</x:v>
      </x:c>
      <x:c r="G411" s="13" t="n">
        <x:v>266</x:v>
      </x:c>
      <x:c r="H411" s="2" t="str">
        <x:f>IF(OR($E$4="",NOT(ISNUMBER($E$4)),$E$4&lt;1,$E$4&gt;400),"参考年待填",IF(OR(E411="",F411="",G411=""),"年代待核",IF($E$4&lt;E411,"未出生",IF($E$4&lt;F411,"未登场",IF($E$4&gt;G411,"已过卒年",IF($E$4=G411,"卒年边界待核","年表可登场"))))))</x:f>
        <x:v>未登场</x:v>
      </x:c>
      <x:c r="I411" s="12"/>
      <x:c r="J411" s="2" t="str">
        <x:v>SAN14游戏设定</x:v>
      </x:c>
      <x:c r="K411" s="2" t="str"/>
      <x:c r="L411" s="2" t="str">
        <x:v>焦彝</x:v>
      </x:c>
      <x:c r="M411" s="2" t="str">
        <x:v>san14-candidate-0403</x:v>
      </x:c>
      <x:c r="N411" s="2" t="str">
        <x:v>焦彝</x:v>
      </x:c>
      <x:c r="O411" s="2" t="str">
        <x:v>ショウイ</x:v>
      </x:c>
    </x:row>
    <x:row r="412" ht="23" customHeight="1">
      <x:c r="A412" s="13" t="n">
        <x:v>404</x:v>
      </x:c>
      <x:c r="B412" s="2" t="str">
        <x:v>钟毓</x:v>
      </x:c>
      <x:c r="C412" s="2" t="str">
        <x:v>鍾毓</x:v>
      </x:c>
      <x:c r="D412" s="2" t="str"/>
      <x:c r="E412" s="13" t="n">
        <x:v>223</x:v>
      </x:c>
      <x:c r="F412" s="13" t="n">
        <x:v>238</x:v>
      </x:c>
      <x:c r="G412" s="13" t="n">
        <x:v>263</x:v>
      </x:c>
      <x:c r="H412" s="2" t="str">
        <x:f>IF(OR($E$4="",NOT(ISNUMBER($E$4)),$E$4&lt;1,$E$4&gt;400),"参考年待填",IF(OR(E412="",F412="",G412=""),"年代待核",IF($E$4&lt;E412,"未出生",IF($E$4&lt;F412,"未登场",IF($E$4&gt;G412,"已过卒年",IF($E$4=G412,"卒年边界待核","年表可登场"))))))</x:f>
        <x:v>未登场</x:v>
      </x:c>
      <x:c r="I412" s="12"/>
      <x:c r="J412" s="2" t="str">
        <x:v>SAN14游戏设定</x:v>
      </x:c>
      <x:c r="K412" s="2" t="str"/>
      <x:c r="L412" s="2" t="str">
        <x:v>鍾毓</x:v>
      </x:c>
      <x:c r="M412" s="2" t="str">
        <x:v>san14-candidate-0404</x:v>
      </x:c>
      <x:c r="N412" s="2" t="str">
        <x:v>鍾毓</x:v>
      </x:c>
      <x:c r="O412" s="2" t="str">
        <x:v>ショウイク</x:v>
      </x:c>
    </x:row>
    <x:row r="413" ht="23" customHeight="1">
      <x:c r="A413" s="13" t="n">
        <x:v>405</x:v>
      </x:c>
      <x:c r="B413" s="2" t="str">
        <x:v>蒋琬</x:v>
      </x:c>
      <x:c r="C413" s="2" t="str">
        <x:v>蔣琬</x:v>
      </x:c>
      <x:c r="D413" s="2" t="str"/>
      <x:c r="E413" s="13" t="n">
        <x:v>188</x:v>
      </x:c>
      <x:c r="F413" s="13" t="n">
        <x:v>207</x:v>
      </x:c>
      <x:c r="G413" s="13" t="n">
        <x:v>246</x:v>
      </x:c>
      <x:c r="H413" s="2" t="str">
        <x:f>IF(OR($E$4="",NOT(ISNUMBER($E$4)),$E$4&lt;1,$E$4&gt;400),"参考年待填",IF(OR(E413="",F413="",G413=""),"年代待核",IF($E$4&lt;E413,"未出生",IF($E$4&lt;F413,"未登场",IF($E$4&gt;G413,"已过卒年",IF($E$4=G413,"卒年边界待核","年表可登场"))))))</x:f>
        <x:v>年表可登场</x:v>
      </x:c>
      <x:c r="I413" s="12"/>
      <x:c r="J413" s="2" t="str">
        <x:v>SAN14游戏设定</x:v>
      </x:c>
      <x:c r="K413" s="2" t="str"/>
      <x:c r="L413" s="2" t="str">
        <x:v>蔣琬</x:v>
      </x:c>
      <x:c r="M413" s="2" t="str">
        <x:v>san14-candidate-0405</x:v>
      </x:c>
      <x:c r="N413" s="2" t="str">
        <x:v>蒋エン</x:v>
      </x:c>
      <x:c r="O413" s="2" t="str">
        <x:v>ショウエン</x:v>
      </x:c>
    </x:row>
    <x:row r="414" ht="23" customHeight="1">
      <x:c r="A414" s="13" t="n">
        <x:v>406</x:v>
      </x:c>
      <x:c r="B414" s="2" t="str">
        <x:v>钟会</x:v>
      </x:c>
      <x:c r="C414" s="2" t="str">
        <x:v>鍾會</x:v>
      </x:c>
      <x:c r="D414" s="2" t="str"/>
      <x:c r="E414" s="13" t="n">
        <x:v>225</x:v>
      </x:c>
      <x:c r="F414" s="13" t="n">
        <x:v>239</x:v>
      </x:c>
      <x:c r="G414" s="13" t="n">
        <x:v>264</x:v>
      </x:c>
      <x:c r="H414" s="2" t="str">
        <x:f>IF(OR($E$4="",NOT(ISNUMBER($E$4)),$E$4&lt;1,$E$4&gt;400),"参考年待填",IF(OR(E414="",F414="",G414=""),"年代待核",IF($E$4&lt;E414,"未出生",IF($E$4&lt;F414,"未登场",IF($E$4&gt;G414,"已过卒年",IF($E$4=G414,"卒年边界待核","年表可登场"))))))</x:f>
        <x:v>未登场</x:v>
      </x:c>
      <x:c r="I414" s="12"/>
      <x:c r="J414" s="2" t="str">
        <x:v>SAN14游戏设定</x:v>
      </x:c>
      <x:c r="K414" s="2" t="str"/>
      <x:c r="L414" s="2" t="str">
        <x:v>鍾會</x:v>
      </x:c>
      <x:c r="M414" s="2" t="str">
        <x:v>san14-candidate-0406</x:v>
      </x:c>
      <x:c r="N414" s="2" t="str">
        <x:v>鍾会</x:v>
      </x:c>
      <x:c r="O414" s="2" t="str">
        <x:v>ショウカイ</x:v>
      </x:c>
    </x:row>
    <x:row r="415" ht="23" customHeight="1">
      <x:c r="A415" s="13" t="n">
        <x:v>407</x:v>
      </x:c>
      <x:c r="B415" s="2" t="str">
        <x:v>蒋干</x:v>
      </x:c>
      <x:c r="C415" s="2" t="str">
        <x:v>蔣幹</x:v>
      </x:c>
      <x:c r="D415" s="2" t="str"/>
      <x:c r="E415" s="13" t="n">
        <x:v>175</x:v>
      </x:c>
      <x:c r="F415" s="13" t="n">
        <x:v>194</x:v>
      </x:c>
      <x:c r="G415" s="13" t="n">
        <x:v>239</x:v>
      </x:c>
      <x:c r="H415" s="2" t="str">
        <x:f>IF(OR($E$4="",NOT(ISNUMBER($E$4)),$E$4&lt;1,$E$4&gt;400),"参考年待填",IF(OR(E415="",F415="",G415=""),"年代待核",IF($E$4&lt;E415,"未出生",IF($E$4&lt;F415,"未登场",IF($E$4&gt;G415,"已过卒年",IF($E$4=G415,"卒年边界待核","年表可登场"))))))</x:f>
        <x:v>年表可登场</x:v>
      </x:c>
      <x:c r="I415" s="12"/>
      <x:c r="J415" s="2" t="str">
        <x:v>SAN14游戏设定</x:v>
      </x:c>
      <x:c r="K415" s="2" t="str"/>
      <x:c r="L415" s="2" t="str">
        <x:v>蔣幹</x:v>
      </x:c>
      <x:c r="M415" s="2" t="str">
        <x:v>san14-candidate-0407</x:v>
      </x:c>
      <x:c r="N415" s="2" t="str">
        <x:v>蒋幹</x:v>
      </x:c>
      <x:c r="O415" s="2" t="str">
        <x:v>ショウカン</x:v>
      </x:c>
    </x:row>
    <x:row r="416" ht="23" customHeight="1">
      <x:c r="A416" s="13" t="n">
        <x:v>408</x:v>
      </x:c>
      <x:c r="B416" s="2" t="str">
        <x:v>上官子修</x:v>
      </x:c>
      <x:c r="C416" s="2" t="str">
        <x:v>上官子脩</x:v>
      </x:c>
      <x:c r="D416" s="2" t="str"/>
      <x:c r="E416" s="13" t="n">
        <x:v>196</x:v>
      </x:c>
      <x:c r="F416" s="13" t="n">
        <x:v>215</x:v>
      </x:c>
      <x:c r="G416" s="13" t="n">
        <x:v>260</x:v>
      </x:c>
      <x:c r="H416" s="2" t="str">
        <x:f>IF(OR($E$4="",NOT(ISNUMBER($E$4)),$E$4&lt;1,$E$4&gt;400),"参考年待填",IF(OR(E416="",F416="",G416=""),"年代待核",IF($E$4&lt;E416,"未出生",IF($E$4&lt;F416,"未登场",IF($E$4&gt;G416,"已过卒年",IF($E$4=G416,"卒年边界待核","年表可登场"))))))</x:f>
        <x:v>年表可登场</x:v>
      </x:c>
      <x:c r="I416" s="12"/>
      <x:c r="J416" s="2" t="str">
        <x:v>SAN14游戏设定</x:v>
      </x:c>
      <x:c r="K416" s="2" t="str"/>
      <x:c r="L416" s="2" t="str">
        <x:v>上官子脩</x:v>
      </x:c>
      <x:c r="M416" s="2" t="str">
        <x:v>san14-candidate-0408</x:v>
      </x:c>
      <x:c r="N416" s="2" t="str">
        <x:v>上官子脩</x:v>
      </x:c>
      <x:c r="O416" s="2" t="str">
        <x:v>ジョウカンシシュウ</x:v>
      </x:c>
    </x:row>
    <x:row r="417" ht="23" customHeight="1">
      <x:c r="A417" s="13" t="n">
        <x:v>409</x:v>
      </x:c>
      <x:c r="B417" s="2" t="str">
        <x:v>昌豨</x:v>
      </x:c>
      <x:c r="C417" s="2" t="str">
        <x:v>昌豨</x:v>
      </x:c>
      <x:c r="D417" s="2" t="str"/>
      <x:c r="E417" s="13" t="n">
        <x:v>162</x:v>
      </x:c>
      <x:c r="F417" s="13" t="n">
        <x:v>184</x:v>
      </x:c>
      <x:c r="G417" s="13" t="n">
        <x:v>206</x:v>
      </x:c>
      <x:c r="H417" s="2" t="str">
        <x:f>IF(OR($E$4="",NOT(ISNUMBER($E$4)),$E$4&lt;1,$E$4&gt;400),"参考年待填",IF(OR(E417="",F417="",G417=""),"年代待核",IF($E$4&lt;E417,"未出生",IF($E$4&lt;F417,"未登场",IF($E$4&gt;G417,"已过卒年",IF($E$4=G417,"卒年边界待核","年表可登场"))))))</x:f>
        <x:v>已过卒年</x:v>
      </x:c>
      <x:c r="I417" s="12"/>
      <x:c r="J417" s="2" t="str">
        <x:v>SAN14游戏设定</x:v>
      </x:c>
      <x:c r="K417" s="2" t="str"/>
      <x:c r="L417" s="2" t="str">
        <x:v>昌豨</x:v>
      </x:c>
      <x:c r="M417" s="2" t="str">
        <x:v>san14-candidate-0409</x:v>
      </x:c>
      <x:c r="N417" s="2" t="str">
        <x:v>昌キ</x:v>
      </x:c>
      <x:c r="O417" s="2" t="str">
        <x:v>ショウキ</x:v>
      </x:c>
    </x:row>
    <x:row r="418" ht="23" customHeight="1">
      <x:c r="A418" s="13" t="n">
        <x:v>410</x:v>
      </x:c>
      <x:c r="B418" s="2" t="str">
        <x:v>蒋义渠</x:v>
      </x:c>
      <x:c r="C418" s="2" t="str">
        <x:v>蔣義渠</x:v>
      </x:c>
      <x:c r="D418" s="2" t="str"/>
      <x:c r="E418" s="13" t="n">
        <x:v>159</x:v>
      </x:c>
      <x:c r="F418" s="13" t="n">
        <x:v>184</x:v>
      </x:c>
      <x:c r="G418" s="13" t="n">
        <x:v>205</x:v>
      </x:c>
      <x:c r="H418" s="2" t="str">
        <x:f>IF(OR($E$4="",NOT(ISNUMBER($E$4)),$E$4&lt;1,$E$4&gt;400),"参考年待填",IF(OR(E418="",F418="",G418=""),"年代待核",IF($E$4&lt;E418,"未出生",IF($E$4&lt;F418,"未登场",IF($E$4&gt;G418,"已过卒年",IF($E$4=G418,"卒年边界待核","年表可登场"))))))</x:f>
        <x:v>已过卒年</x:v>
      </x:c>
      <x:c r="I418" s="12"/>
      <x:c r="J418" s="2" t="str">
        <x:v>SAN14游戏设定</x:v>
      </x:c>
      <x:c r="K418" s="2" t="str"/>
      <x:c r="L418" s="2" t="str">
        <x:v>蔣義渠</x:v>
      </x:c>
      <x:c r="M418" s="2" t="str">
        <x:v>san14-candidate-0410</x:v>
      </x:c>
      <x:c r="N418" s="2" t="str">
        <x:v>蒋義渠</x:v>
      </x:c>
      <x:c r="O418" s="2" t="str">
        <x:v>ショウギキョ</x:v>
      </x:c>
    </x:row>
    <x:row r="419" ht="23" customHeight="1">
      <x:c r="A419" s="13" t="n">
        <x:v>411</x:v>
      </x:c>
      <x:c r="B419" s="2" t="str">
        <x:v>小乔</x:v>
      </x:c>
      <x:c r="C419" s="2" t="str">
        <x:v>小喬</x:v>
      </x:c>
      <x:c r="D419" s="2" t="str"/>
      <x:c r="E419" s="13" t="n">
        <x:v>178</x:v>
      </x:c>
      <x:c r="F419" s="13" t="n">
        <x:v>194</x:v>
      </x:c>
      <x:c r="G419" s="13" t="n">
        <x:v>210</x:v>
      </x:c>
      <x:c r="H419" s="2" t="str">
        <x:f>IF(OR($E$4="",NOT(ISNUMBER($E$4)),$E$4&lt;1,$E$4&gt;400),"参考年待填",IF(OR(E419="",F419="",G419=""),"年代待核",IF($E$4&lt;E419,"未出生",IF($E$4&lt;F419,"未登场",IF($E$4&gt;G419,"已过卒年",IF($E$4=G419,"卒年边界待核","年表可登场"))))))</x:f>
        <x:v>已过卒年</x:v>
      </x:c>
      <x:c r="I419" s="12"/>
      <x:c r="J419" s="2" t="str">
        <x:v>SAN14游戏设定</x:v>
      </x:c>
      <x:c r="K419" s="2" t="str"/>
      <x:c r="L419" s="2" t="str">
        <x:v>小喬</x:v>
      </x:c>
      <x:c r="M419" s="2" t="str">
        <x:v>san14-candidate-0411</x:v>
      </x:c>
      <x:c r="N419" s="2" t="str">
        <x:v>小喬</x:v>
      </x:c>
      <x:c r="O419" s="2" t="str">
        <x:v>ショウキョウ</x:v>
      </x:c>
    </x:row>
    <x:row r="420" ht="23" customHeight="1">
      <x:c r="A420" s="13" t="n">
        <x:v>412</x:v>
      </x:c>
      <x:c r="B420" s="2" t="str">
        <x:v>蒋钦</x:v>
      </x:c>
      <x:c r="C420" s="2" t="str">
        <x:v>蔣欽</x:v>
      </x:c>
      <x:c r="D420" s="2" t="str"/>
      <x:c r="E420" s="13" t="n">
        <x:v>168</x:v>
      </x:c>
      <x:c r="F420" s="13" t="n">
        <x:v>187</x:v>
      </x:c>
      <x:c r="G420" s="13" t="n">
        <x:v>219</x:v>
      </x:c>
      <x:c r="H420" s="2" t="str">
        <x:f>IF(OR($E$4="",NOT(ISNUMBER($E$4)),$E$4&lt;1,$E$4&gt;400),"参考年待填",IF(OR(E420="",F420="",G420=""),"年代待核",IF($E$4&lt;E420,"未出生",IF($E$4&lt;F420,"未登场",IF($E$4&gt;G420,"已过卒年",IF($E$4=G420,"卒年边界待核","年表可登场"))))))</x:f>
        <x:v>已过卒年</x:v>
      </x:c>
      <x:c r="I420" s="12"/>
      <x:c r="J420" s="2" t="str">
        <x:v>SAN14游戏设定</x:v>
      </x:c>
      <x:c r="K420" s="2" t="str"/>
      <x:c r="L420" s="2" t="str">
        <x:v>蔣欽</x:v>
      </x:c>
      <x:c r="M420" s="2" t="str">
        <x:v>san14-candidate-0412</x:v>
      </x:c>
      <x:c r="N420" s="2" t="str">
        <x:v>蒋欽</x:v>
      </x:c>
      <x:c r="O420" s="2" t="str">
        <x:v>ショウキン</x:v>
      </x:c>
    </x:row>
    <x:row r="421" ht="23" customHeight="1">
      <x:c r="A421" s="13" t="n">
        <x:v>413</x:v>
      </x:c>
      <x:c r="B421" s="2" t="str">
        <x:v>蒋显</x:v>
      </x:c>
      <x:c r="C421" s="2" t="str">
        <x:v>蔣顯</x:v>
      </x:c>
      <x:c r="D421" s="2" t="str"/>
      <x:c r="E421" s="13" t="n">
        <x:v>222</x:v>
      </x:c>
      <x:c r="F421" s="13" t="n">
        <x:v>236</x:v>
      </x:c>
      <x:c r="G421" s="13" t="n">
        <x:v>265</x:v>
      </x:c>
      <x:c r="H421" s="2" t="str">
        <x:f>IF(OR($E$4="",NOT(ISNUMBER($E$4)),$E$4&lt;1,$E$4&gt;400),"参考年待填",IF(OR(E421="",F421="",G421=""),"年代待核",IF($E$4&lt;E421,"未出生",IF($E$4&lt;F421,"未登场",IF($E$4&gt;G421,"已过卒年",IF($E$4=G421,"卒年边界待核","年表可登场"))))))</x:f>
        <x:v>未登场</x:v>
      </x:c>
      <x:c r="I421" s="12"/>
      <x:c r="J421" s="2" t="str">
        <x:v>SAN14游戏设定</x:v>
      </x:c>
      <x:c r="K421" s="2" t="str"/>
      <x:c r="L421" s="2" t="str">
        <x:v>蔣顯</x:v>
      </x:c>
      <x:c r="M421" s="2" t="str">
        <x:v>san14-candidate-0413</x:v>
      </x:c>
      <x:c r="N421" s="2" t="str">
        <x:v>蒋顕</x:v>
      </x:c>
      <x:c r="O421" s="2" t="str">
        <x:v>ショウケン</x:v>
      </x:c>
    </x:row>
    <x:row r="422" ht="23" customHeight="1">
      <x:c r="A422" s="13" t="n">
        <x:v>414</x:v>
      </x:c>
      <x:c r="B422" s="2" t="str">
        <x:v>谯周</x:v>
      </x:c>
      <x:c r="C422" s="2" t="str">
        <x:v>譙周</x:v>
      </x:c>
      <x:c r="D422" s="2" t="str"/>
      <x:c r="E422" s="13" t="n">
        <x:v>201</x:v>
      </x:c>
      <x:c r="F422" s="13" t="n">
        <x:v>220</x:v>
      </x:c>
      <x:c r="G422" s="13" t="n">
        <x:v>270</x:v>
      </x:c>
      <x:c r="H422" s="2" t="str">
        <x:f>IF(OR($E$4="",NOT(ISNUMBER($E$4)),$E$4&lt;1,$E$4&gt;400),"参考年待填",IF(OR(E422="",F422="",G422=""),"年代待核",IF($E$4&lt;E422,"未出生",IF($E$4&lt;F422,"未登场",IF($E$4&gt;G422,"已过卒年",IF($E$4=G422,"卒年边界待核","年表可登场"))))))</x:f>
        <x:v>年表可登场</x:v>
      </x:c>
      <x:c r="I422" s="12"/>
      <x:c r="J422" s="2" t="str">
        <x:v>SAN14游戏设定</x:v>
      </x:c>
      <x:c r="K422" s="2" t="str"/>
      <x:c r="L422" s="2" t="str">
        <x:v>譙周</x:v>
      </x:c>
      <x:c r="M422" s="2" t="str">
        <x:v>san14-candidate-0414</x:v>
      </x:c>
      <x:c r="N422" s="2" t="str">
        <x:v>ショウ周</x:v>
      </x:c>
      <x:c r="O422" s="2" t="str">
        <x:v>ショウシュウ</x:v>
      </x:c>
    </x:row>
    <x:row r="423" ht="23" customHeight="1">
      <x:c r="A423" s="13" t="n">
        <x:v>415</x:v>
      </x:c>
      <x:c r="B423" s="2" t="str">
        <x:v>蒋舒</x:v>
      </x:c>
      <x:c r="C423" s="2" t="str">
        <x:v>蔣舒</x:v>
      </x:c>
      <x:c r="D423" s="2" t="str"/>
      <x:c r="E423" s="13" t="n">
        <x:v>225</x:v>
      </x:c>
      <x:c r="F423" s="13" t="n">
        <x:v>244</x:v>
      </x:c>
      <x:c r="G423" s="13" t="n">
        <x:v>290</x:v>
      </x:c>
      <x:c r="H423" s="2" t="str">
        <x:f>IF(OR($E$4="",NOT(ISNUMBER($E$4)),$E$4&lt;1,$E$4&gt;400),"参考年待填",IF(OR(E423="",F423="",G423=""),"年代待核",IF($E$4&lt;E423,"未出生",IF($E$4&lt;F423,"未登场",IF($E$4&gt;G423,"已过卒年",IF($E$4=G423,"卒年边界待核","年表可登场"))))))</x:f>
        <x:v>未登场</x:v>
      </x:c>
      <x:c r="I423" s="12"/>
      <x:c r="J423" s="2" t="str">
        <x:v>SAN14游戏设定</x:v>
      </x:c>
      <x:c r="K423" s="2" t="str"/>
      <x:c r="L423" s="2" t="str">
        <x:v>蔣舒</x:v>
      </x:c>
      <x:c r="M423" s="2" t="str">
        <x:v>san14-candidate-0415</x:v>
      </x:c>
      <x:c r="N423" s="2" t="str">
        <x:v>蒋舒</x:v>
      </x:c>
      <x:c r="O423" s="2" t="str">
        <x:v>ショウジョ</x:v>
      </x:c>
    </x:row>
    <x:row r="424" ht="23" customHeight="1">
      <x:c r="A424" s="13" t="n">
        <x:v>416</x:v>
      </x:c>
      <x:c r="B424" s="2" t="str">
        <x:v>焦触</x:v>
      </x:c>
      <x:c r="C424" s="2" t="str">
        <x:v>焦觸</x:v>
      </x:c>
      <x:c r="D424" s="2" t="str"/>
      <x:c r="E424" s="13" t="n">
        <x:v>159</x:v>
      </x:c>
      <x:c r="F424" s="13" t="n">
        <x:v>184</x:v>
      </x:c>
      <x:c r="G424" s="13" t="n">
        <x:v>208</x:v>
      </x:c>
      <x:c r="H424" s="2" t="str">
        <x:f>IF(OR($E$4="",NOT(ISNUMBER($E$4)),$E$4&lt;1,$E$4&gt;400),"参考年待填",IF(OR(E424="",F424="",G424=""),"年代待核",IF($E$4&lt;E424,"未出生",IF($E$4&lt;F424,"未登场",IF($E$4&gt;G424,"已过卒年",IF($E$4=G424,"卒年边界待核","年表可登场"))))))</x:f>
        <x:v>已过卒年</x:v>
      </x:c>
      <x:c r="I424" s="12"/>
      <x:c r="J424" s="2" t="str">
        <x:v>SAN14游戏设定</x:v>
      </x:c>
      <x:c r="K424" s="2" t="str"/>
      <x:c r="L424" s="2" t="str">
        <x:v>焦觸</x:v>
      </x:c>
      <x:c r="M424" s="2" t="str">
        <x:v>san14-candidate-0416</x:v>
      </x:c>
      <x:c r="N424" s="2" t="str">
        <x:v>焦触</x:v>
      </x:c>
      <x:c r="O424" s="2" t="str">
        <x:v>ショウショク</x:v>
      </x:c>
    </x:row>
    <x:row r="425" ht="23" customHeight="1">
      <x:c r="A425" s="13" t="n">
        <x:v>417</x:v>
      </x:c>
      <x:c r="B425" s="2" t="str">
        <x:v>钟进</x:v>
      </x:c>
      <x:c r="C425" s="2" t="str">
        <x:v>鍾進</x:v>
      </x:c>
      <x:c r="D425" s="2" t="str"/>
      <x:c r="E425" s="13" t="n">
        <x:v>166</x:v>
      </x:c>
      <x:c r="F425" s="13" t="n">
        <x:v>200</x:v>
      </x:c>
      <x:c r="G425" s="13" t="n">
        <x:v>211</x:v>
      </x:c>
      <x:c r="H425" s="2" t="str">
        <x:f>IF(OR($E$4="",NOT(ISNUMBER($E$4)),$E$4&lt;1,$E$4&gt;400),"参考年待填",IF(OR(E425="",F425="",G425=""),"年代待核",IF($E$4&lt;E425,"未出生",IF($E$4&lt;F425,"未登场",IF($E$4&gt;G425,"已过卒年",IF($E$4=G425,"卒年边界待核","年表可登场"))))))</x:f>
        <x:v>已过卒年</x:v>
      </x:c>
      <x:c r="I425" s="12"/>
      <x:c r="J425" s="2" t="str">
        <x:v>SAN14游戏设定</x:v>
      </x:c>
      <x:c r="K425" s="2" t="str"/>
      <x:c r="L425" s="2" t="str">
        <x:v>鍾進</x:v>
      </x:c>
      <x:c r="M425" s="2" t="str">
        <x:v>san14-candidate-0417</x:v>
      </x:c>
      <x:c r="N425" s="2" t="str">
        <x:v>鍾進</x:v>
      </x:c>
      <x:c r="O425" s="2" t="str">
        <x:v>ショウシン</x:v>
      </x:c>
    </x:row>
    <x:row r="426" ht="23" customHeight="1">
      <x:c r="A426" s="13" t="n">
        <x:v>418</x:v>
      </x:c>
      <x:c r="B426" s="2" t="str">
        <x:v>蒋济</x:v>
      </x:c>
      <x:c r="C426" s="2" t="str">
        <x:v>蔣濟</x:v>
      </x:c>
      <x:c r="D426" s="2" t="str"/>
      <x:c r="E426" s="13" t="n">
        <x:v>188</x:v>
      </x:c>
      <x:c r="F426" s="13" t="n">
        <x:v>207</x:v>
      </x:c>
      <x:c r="G426" s="13" t="n">
        <x:v>249</x:v>
      </x:c>
      <x:c r="H426" s="2" t="str">
        <x:f>IF(OR($E$4="",NOT(ISNUMBER($E$4)),$E$4&lt;1,$E$4&gt;400),"参考年待填",IF(OR(E426="",F426="",G426=""),"年代待核",IF($E$4&lt;E426,"未出生",IF($E$4&lt;F426,"未登场",IF($E$4&gt;G426,"已过卒年",IF($E$4=G426,"卒年边界待核","年表可登场"))))))</x:f>
        <x:v>年表可登场</x:v>
      </x:c>
      <x:c r="I426" s="12"/>
      <x:c r="J426" s="2" t="str">
        <x:v>SAN14游戏设定</x:v>
      </x:c>
      <x:c r="K426" s="2" t="str"/>
      <x:c r="L426" s="2" t="str">
        <x:v>蔣濟</x:v>
      </x:c>
      <x:c r="M426" s="2" t="str">
        <x:v>san14-candidate-0418</x:v>
      </x:c>
      <x:c r="N426" s="2" t="str">
        <x:v>蒋済</x:v>
      </x:c>
      <x:c r="O426" s="2" t="str">
        <x:v>ショウセイ</x:v>
      </x:c>
    </x:row>
    <x:row r="427" ht="23" customHeight="1">
      <x:c r="A427" s="13" t="n">
        <x:v>419</x:v>
      </x:c>
      <x:c r="B427" s="2" t="str">
        <x:v>向宠</x:v>
      </x:c>
      <x:c r="C427" s="2" t="str">
        <x:v>向寵</x:v>
      </x:c>
      <x:c r="D427" s="2" t="str"/>
      <x:c r="E427" s="13" t="n">
        <x:v>195</x:v>
      </x:c>
      <x:c r="F427" s="13" t="n">
        <x:v>214</x:v>
      </x:c>
      <x:c r="G427" s="13" t="n">
        <x:v>240</x:v>
      </x:c>
      <x:c r="H427" s="2" t="str">
        <x:f>IF(OR($E$4="",NOT(ISNUMBER($E$4)),$E$4&lt;1,$E$4&gt;400),"参考年待填",IF(OR(E427="",F427="",G427=""),"年代待核",IF($E$4&lt;E427,"未出生",IF($E$4&lt;F427,"未登场",IF($E$4&gt;G427,"已过卒年",IF($E$4=G427,"卒年边界待核","年表可登场"))))))</x:f>
        <x:v>年表可登场</x:v>
      </x:c>
      <x:c r="I427" s="12"/>
      <x:c r="J427" s="2" t="str">
        <x:v>SAN14游戏设定</x:v>
      </x:c>
      <x:c r="K427" s="2" t="str"/>
      <x:c r="L427" s="2" t="str">
        <x:v>向寵</x:v>
      </x:c>
      <x:c r="M427" s="2" t="str">
        <x:v>san14-candidate-0419</x:v>
      </x:c>
      <x:c r="N427" s="2" t="str">
        <x:v>向寵</x:v>
      </x:c>
      <x:c r="O427" s="2" t="str">
        <x:v>ショウチョウ</x:v>
      </x:c>
    </x:row>
    <x:row r="428" ht="23" customHeight="1">
      <x:c r="A428" s="13" t="n">
        <x:v>420</x:v>
      </x:c>
      <x:c r="B428" s="2" t="str">
        <x:v>邵悌</x:v>
      </x:c>
      <x:c r="C428" s="2" t="str">
        <x:v>邵悌</x:v>
      </x:c>
      <x:c r="D428" s="2" t="str"/>
      <x:c r="E428" s="13" t="n">
        <x:v>224</x:v>
      </x:c>
      <x:c r="F428" s="13" t="n">
        <x:v>243</x:v>
      </x:c>
      <x:c r="G428" s="13" t="n">
        <x:v>268</x:v>
      </x:c>
      <x:c r="H428" s="2" t="str">
        <x:f>IF(OR($E$4="",NOT(ISNUMBER($E$4)),$E$4&lt;1,$E$4&gt;400),"参考年待填",IF(OR(E428="",F428="",G428=""),"年代待核",IF($E$4&lt;E428,"未出生",IF($E$4&lt;F428,"未登场",IF($E$4&gt;G428,"已过卒年",IF($E$4=G428,"卒年边界待核","年表可登场"))))))</x:f>
        <x:v>未登场</x:v>
      </x:c>
      <x:c r="I428" s="12"/>
      <x:c r="J428" s="2" t="str">
        <x:v>SAN14游戏设定</x:v>
      </x:c>
      <x:c r="K428" s="2" t="str"/>
      <x:c r="L428" s="2" t="str">
        <x:v>邵悌</x:v>
      </x:c>
      <x:c r="M428" s="2" t="str">
        <x:v>san14-candidate-0420</x:v>
      </x:c>
      <x:c r="N428" s="2" t="str">
        <x:v>邵悌</x:v>
      </x:c>
      <x:c r="O428" s="2" t="str">
        <x:v>ショウテイ</x:v>
      </x:c>
    </x:row>
    <x:row r="429" ht="23" customHeight="1">
      <x:c r="A429" s="13" t="n">
        <x:v>421</x:v>
      </x:c>
      <x:c r="B429" s="2" t="str">
        <x:v>蒋班</x:v>
      </x:c>
      <x:c r="C429" s="2" t="str">
        <x:v>蔣班</x:v>
      </x:c>
      <x:c r="D429" s="2" t="str"/>
      <x:c r="E429" s="13" t="n">
        <x:v>227</x:v>
      </x:c>
      <x:c r="F429" s="13" t="n">
        <x:v>246</x:v>
      </x:c>
      <x:c r="G429" s="13" t="n">
        <x:v>282</x:v>
      </x:c>
      <x:c r="H429" s="2" t="str">
        <x:f>IF(OR($E$4="",NOT(ISNUMBER($E$4)),$E$4&lt;1,$E$4&gt;400),"参考年待填",IF(OR(E429="",F429="",G429=""),"年代待核",IF($E$4&lt;E429,"未出生",IF($E$4&lt;F429,"未登场",IF($E$4&gt;G429,"已过卒年",IF($E$4=G429,"卒年边界待核","年表可登场"))))))</x:f>
        <x:v>未登场</x:v>
      </x:c>
      <x:c r="I429" s="12"/>
      <x:c r="J429" s="2" t="str">
        <x:v>SAN14游戏设定</x:v>
      </x:c>
      <x:c r="K429" s="2" t="str"/>
      <x:c r="L429" s="2" t="str">
        <x:v>蔣班</x:v>
      </x:c>
      <x:c r="M429" s="2" t="str">
        <x:v>san14-candidate-0421</x:v>
      </x:c>
      <x:c r="N429" s="2" t="str">
        <x:v>蒋班</x:v>
      </x:c>
      <x:c r="O429" s="2" t="str">
        <x:v>ショウハン</x:v>
      </x:c>
    </x:row>
    <x:row r="430" ht="23" customHeight="1">
      <x:c r="A430" s="13" t="n">
        <x:v>422</x:v>
      </x:c>
      <x:c r="B430" s="2" t="str">
        <x:v>蒋斌</x:v>
      </x:c>
      <x:c r="C430" s="2" t="str">
        <x:v>蔣斌</x:v>
      </x:c>
      <x:c r="D430" s="2" t="str"/>
      <x:c r="E430" s="13" t="n">
        <x:v>216</x:v>
      </x:c>
      <x:c r="F430" s="13" t="n">
        <x:v>230</x:v>
      </x:c>
      <x:c r="G430" s="13" t="n">
        <x:v>263</x:v>
      </x:c>
      <x:c r="H430" s="2" t="str">
        <x:f>IF(OR($E$4="",NOT(ISNUMBER($E$4)),$E$4&lt;1,$E$4&gt;400),"参考年待填",IF(OR(E430="",F430="",G430=""),"年代待核",IF($E$4&lt;E430,"未出生",IF($E$4&lt;F430,"未登场",IF($E$4&gt;G430,"已过卒年",IF($E$4=G430,"卒年边界待核","年表可登场"))))))</x:f>
        <x:v>年表可登场</x:v>
      </x:c>
      <x:c r="I430" s="12"/>
      <x:c r="J430" s="2" t="str">
        <x:v>SAN14游戏设定</x:v>
      </x:c>
      <x:c r="K430" s="2" t="str"/>
      <x:c r="L430" s="2" t="str">
        <x:v>蔣斌</x:v>
      </x:c>
      <x:c r="M430" s="2" t="str">
        <x:v>san14-candidate-0422</x:v>
      </x:c>
      <x:c r="N430" s="2" t="str">
        <x:v>蒋斌</x:v>
      </x:c>
      <x:c r="O430" s="2" t="str">
        <x:v>ショウヒン</x:v>
      </x:c>
    </x:row>
    <x:row r="431" ht="23" customHeight="1">
      <x:c r="A431" s="13" t="n">
        <x:v>423</x:v>
      </x:c>
      <x:c r="B431" s="2" t="str">
        <x:v>聂友</x:v>
      </x:c>
      <x:c r="C431" s="2" t="str">
        <x:v>聶友</x:v>
      </x:c>
      <x:c r="D431" s="2" t="str"/>
      <x:c r="E431" s="13" t="n">
        <x:v>201</x:v>
      </x:c>
      <x:c r="F431" s="13" t="n">
        <x:v>220</x:v>
      </x:c>
      <x:c r="G431" s="13" t="n">
        <x:v>253</x:v>
      </x:c>
      <x:c r="H431" s="2" t="str">
        <x:f>IF(OR($E$4="",NOT(ISNUMBER($E$4)),$E$4&lt;1,$E$4&gt;400),"参考年待填",IF(OR(E431="",F431="",G431=""),"年代待核",IF($E$4&lt;E431,"未出生",IF($E$4&lt;F431,"未登场",IF($E$4&gt;G431,"已过卒年",IF($E$4=G431,"卒年边界待核","年表可登场"))))))</x:f>
        <x:v>年表可登场</x:v>
      </x:c>
      <x:c r="I431" s="12"/>
      <x:c r="J431" s="2" t="str">
        <x:v>SAN14游戏设定</x:v>
      </x:c>
      <x:c r="K431" s="2" t="str"/>
      <x:c r="L431" s="2" t="str">
        <x:v>聶友</x:v>
      </x:c>
      <x:c r="M431" s="2" t="str">
        <x:v>san14-candidate-0423</x:v>
      </x:c>
      <x:c r="N431" s="2" t="str">
        <x:v>聶友</x:v>
      </x:c>
      <x:c r="O431" s="2" t="str">
        <x:v>ジョウユウ</x:v>
      </x:c>
    </x:row>
    <x:row r="432" ht="23" customHeight="1">
      <x:c r="A432" s="13" t="n">
        <x:v>424</x:v>
      </x:c>
      <x:c r="B432" s="2" t="str">
        <x:v>锺繇</x:v>
      </x:c>
      <x:c r="C432" s="2" t="str">
        <x:v>鍾繇</x:v>
      </x:c>
      <x:c r="D432" s="2" t="str"/>
      <x:c r="E432" s="13" t="n">
        <x:v>151</x:v>
      </x:c>
      <x:c r="F432" s="13" t="n">
        <x:v>184</x:v>
      </x:c>
      <x:c r="G432" s="13" t="n">
        <x:v>230</x:v>
      </x:c>
      <x:c r="H432" s="2" t="str">
        <x:f>IF(OR($E$4="",NOT(ISNUMBER($E$4)),$E$4&lt;1,$E$4&gt;400),"参考年待填",IF(OR(E432="",F432="",G432=""),"年代待核",IF($E$4&lt;E432,"未出生",IF($E$4&lt;F432,"未登场",IF($E$4&gt;G432,"已过卒年",IF($E$4=G432,"卒年边界待核","年表可登场"))))))</x:f>
        <x:v>卒年边界待核</x:v>
      </x:c>
      <x:c r="I432" s="12"/>
      <x:c r="J432" s="2" t="str">
        <x:v>SAN14游戏设定</x:v>
      </x:c>
      <x:c r="K432" s="2" t="str"/>
      <x:c r="L432" s="2" t="str">
        <x:v>鍾繇</x:v>
      </x:c>
      <x:c r="M432" s="2" t="str">
        <x:v>san14-candidate-0424</x:v>
      </x:c>
      <x:c r="N432" s="2" t="str">
        <x:v>鍾ヨウ</x:v>
      </x:c>
      <x:c r="O432" s="2" t="str">
        <x:v>ショウヨウ</x:v>
      </x:c>
    </x:row>
    <x:row r="433" ht="23" customHeight="1">
      <x:c r="A433" s="13" t="n">
        <x:v>425</x:v>
      </x:c>
      <x:c r="B433" s="2" t="str">
        <x:v>钟离牧</x:v>
      </x:c>
      <x:c r="C433" s="2" t="str">
        <x:v>鍾離牧</x:v>
      </x:c>
      <x:c r="D433" s="2" t="str"/>
      <x:c r="E433" s="13" t="n">
        <x:v>214</x:v>
      </x:c>
      <x:c r="F433" s="13" t="n">
        <x:v>233</x:v>
      </x:c>
      <x:c r="G433" s="13" t="n">
        <x:v>269</x:v>
      </x:c>
      <x:c r="H433" s="2" t="str">
        <x:f>IF(OR($E$4="",NOT(ISNUMBER($E$4)),$E$4&lt;1,$E$4&gt;400),"参考年待填",IF(OR(E433="",F433="",G433=""),"年代待核",IF($E$4&lt;E433,"未出生",IF($E$4&lt;F433,"未登场",IF($E$4&gt;G433,"已过卒年",IF($E$4=G433,"卒年边界待核","年表可登场"))))))</x:f>
        <x:v>未登场</x:v>
      </x:c>
      <x:c r="I433" s="12"/>
      <x:c r="J433" s="2" t="str">
        <x:v>SAN14游戏设定</x:v>
      </x:c>
      <x:c r="K433" s="2" t="str"/>
      <x:c r="L433" s="2" t="str">
        <x:v>鍾離牧</x:v>
      </x:c>
      <x:c r="M433" s="2" t="str">
        <x:v>san14-candidate-0425</x:v>
      </x:c>
      <x:c r="N433" s="2" t="str">
        <x:v>鍾離牧</x:v>
      </x:c>
      <x:c r="O433" s="2" t="str">
        <x:v>ショウリボク</x:v>
      </x:c>
    </x:row>
    <x:row r="434" ht="23" customHeight="1">
      <x:c r="A434" s="13" t="n">
        <x:v>426</x:v>
      </x:c>
      <x:c r="B434" s="2" t="str">
        <x:v>常林</x:v>
      </x:c>
      <x:c r="C434" s="2" t="str">
        <x:v>常林</x:v>
      </x:c>
      <x:c r="D434" s="2" t="str"/>
      <x:c r="E434" s="13" t="n">
        <x:v>147</x:v>
      </x:c>
      <x:c r="F434" s="13" t="n">
        <x:v>184</x:v>
      </x:c>
      <x:c r="G434" s="13" t="n">
        <x:v>229</x:v>
      </x:c>
      <x:c r="H434" s="2" t="str">
        <x:f>IF(OR($E$4="",NOT(ISNUMBER($E$4)),$E$4&lt;1,$E$4&gt;400),"参考年待填",IF(OR(E434="",F434="",G434=""),"年代待核",IF($E$4&lt;E434,"未出生",IF($E$4&lt;F434,"未登场",IF($E$4&gt;G434,"已过卒年",IF($E$4=G434,"卒年边界待核","年表可登场"))))))</x:f>
        <x:v>已过卒年</x:v>
      </x:c>
      <x:c r="I434" s="12"/>
      <x:c r="J434" s="2" t="str">
        <x:v>SAN14游戏设定</x:v>
      </x:c>
      <x:c r="K434" s="2" t="str"/>
      <x:c r="L434" s="2" t="str">
        <x:v>常林</x:v>
      </x:c>
      <x:c r="M434" s="2" t="str">
        <x:v>san14-candidate-0426</x:v>
      </x:c>
      <x:c r="N434" s="2" t="str">
        <x:v>常林</x:v>
      </x:c>
      <x:c r="O434" s="2" t="str">
        <x:v>ジョウリン</x:v>
      </x:c>
    </x:row>
    <x:row r="435" ht="23" customHeight="1">
      <x:c r="A435" s="13" t="n">
        <x:v>427</x:v>
      </x:c>
      <x:c r="B435" s="2" t="str">
        <x:v>向朗</x:v>
      </x:c>
      <x:c r="C435" s="2" t="str">
        <x:v>向朗</x:v>
      </x:c>
      <x:c r="D435" s="2" t="str"/>
      <x:c r="E435" s="13" t="n">
        <x:v>167</x:v>
      </x:c>
      <x:c r="F435" s="13" t="n">
        <x:v>196</x:v>
      </x:c>
      <x:c r="G435" s="13" t="n">
        <x:v>247</x:v>
      </x:c>
      <x:c r="H435" s="2" t="str">
        <x:f>IF(OR($E$4="",NOT(ISNUMBER($E$4)),$E$4&lt;1,$E$4&gt;400),"参考年待填",IF(OR(E435="",F435="",G435=""),"年代待核",IF($E$4&lt;E435,"未出生",IF($E$4&lt;F435,"未登场",IF($E$4&gt;G435,"已过卒年",IF($E$4=G435,"卒年边界待核","年表可登场"))))))</x:f>
        <x:v>年表可登场</x:v>
      </x:c>
      <x:c r="I435" s="12"/>
      <x:c r="J435" s="2" t="str">
        <x:v>SAN14游戏设定</x:v>
      </x:c>
      <x:c r="K435" s="2" t="str"/>
      <x:c r="L435" s="2" t="str">
        <x:v>向朗</x:v>
      </x:c>
      <x:c r="M435" s="2" t="str">
        <x:v>san14-candidate-0427</x:v>
      </x:c>
      <x:c r="N435" s="2" t="str">
        <x:v>向朗</x:v>
      </x:c>
      <x:c r="O435" s="2" t="str">
        <x:v>ショウロウ</x:v>
      </x:c>
    </x:row>
    <x:row r="436" ht="23" customHeight="1">
      <x:c r="A436" s="13" t="n">
        <x:v>428</x:v>
      </x:c>
      <x:c r="B436" s="2" t="str">
        <x:v>徐荣</x:v>
      </x:c>
      <x:c r="C436" s="2" t="str">
        <x:v>徐榮</x:v>
      </x:c>
      <x:c r="D436" s="2" t="str"/>
      <x:c r="E436" s="13" t="n">
        <x:v>147</x:v>
      </x:c>
      <x:c r="F436" s="13" t="n">
        <x:v>186</x:v>
      </x:c>
      <x:c r="G436" s="13" t="n">
        <x:v>190</x:v>
      </x:c>
      <x:c r="H436" s="2" t="str">
        <x:f>IF(OR($E$4="",NOT(ISNUMBER($E$4)),$E$4&lt;1,$E$4&gt;400),"参考年待填",IF(OR(E436="",F436="",G436=""),"年代待核",IF($E$4&lt;E436,"未出生",IF($E$4&lt;F436,"未登场",IF($E$4&gt;G436,"已过卒年",IF($E$4=G436,"卒年边界待核","年表可登场"))))))</x:f>
        <x:v>已过卒年</x:v>
      </x:c>
      <x:c r="I436" s="12"/>
      <x:c r="J436" s="2" t="str">
        <x:v>SAN14游戏设定</x:v>
      </x:c>
      <x:c r="K436" s="2" t="str"/>
      <x:c r="L436" s="2" t="str">
        <x:v>徐榮</x:v>
      </x:c>
      <x:c r="M436" s="2" t="str">
        <x:v>san14-candidate-0428</x:v>
      </x:c>
      <x:c r="N436" s="2" t="str">
        <x:v>徐栄</x:v>
      </x:c>
      <x:c r="O436" s="2" t="str">
        <x:v>ジョエイ</x:v>
      </x:c>
    </x:row>
    <x:row r="437" ht="23" customHeight="1">
      <x:c r="A437" s="13" t="n">
        <x:v>429</x:v>
      </x:c>
      <x:c r="B437" s="2" t="str">
        <x:v>徐奕</x:v>
      </x:c>
      <x:c r="C437" s="2" t="str">
        <x:v>徐奕</x:v>
      </x:c>
      <x:c r="D437" s="2" t="str"/>
      <x:c r="E437" s="13" t="n">
        <x:v>167</x:v>
      </x:c>
      <x:c r="F437" s="13" t="n">
        <x:v>191</x:v>
      </x:c>
      <x:c r="G437" s="13" t="n">
        <x:v>219</x:v>
      </x:c>
      <x:c r="H437" s="2" t="str">
        <x:f>IF(OR($E$4="",NOT(ISNUMBER($E$4)),$E$4&lt;1,$E$4&gt;400),"参考年待填",IF(OR(E437="",F437="",G437=""),"年代待核",IF($E$4&lt;E437,"未出生",IF($E$4&lt;F437,"未登场",IF($E$4&gt;G437,"已过卒年",IF($E$4=G437,"卒年边界待核","年表可登场"))))))</x:f>
        <x:v>已过卒年</x:v>
      </x:c>
      <x:c r="I437" s="12"/>
      <x:c r="J437" s="2" t="str">
        <x:v>SAN14游戏设定</x:v>
      </x:c>
      <x:c r="K437" s="2" t="str"/>
      <x:c r="L437" s="2" t="str">
        <x:v>徐奕</x:v>
      </x:c>
      <x:c r="M437" s="2" t="str">
        <x:v>san14-candidate-0429</x:v>
      </x:c>
      <x:c r="N437" s="2" t="str">
        <x:v>徐奕</x:v>
      </x:c>
      <x:c r="O437" s="2" t="str">
        <x:v>ジョエキ</x:v>
      </x:c>
    </x:row>
    <x:row r="438" ht="23" customHeight="1">
      <x:c r="A438" s="13" t="n">
        <x:v>430</x:v>
      </x:c>
      <x:c r="B438" s="2" t="str">
        <x:v>诸葛恪</x:v>
      </x:c>
      <x:c r="C438" s="2" t="str">
        <x:v>諸葛恪</x:v>
      </x:c>
      <x:c r="D438" s="2" t="str"/>
      <x:c r="E438" s="13" t="n">
        <x:v>203</x:v>
      </x:c>
      <x:c r="F438" s="13" t="n">
        <x:v>217</x:v>
      </x:c>
      <x:c r="G438" s="13" t="n">
        <x:v>253</x:v>
      </x:c>
      <x:c r="H438" s="2" t="str">
        <x:f>IF(OR($E$4="",NOT(ISNUMBER($E$4)),$E$4&lt;1,$E$4&gt;400),"参考年待填",IF(OR(E438="",F438="",G438=""),"年代待核",IF($E$4&lt;E438,"未出生",IF($E$4&lt;F438,"未登场",IF($E$4&gt;G438,"已过卒年",IF($E$4=G438,"卒年边界待核","年表可登场"))))))</x:f>
        <x:v>年表可登场</x:v>
      </x:c>
      <x:c r="I438" s="12"/>
      <x:c r="J438" s="2" t="str">
        <x:v>SAN14游戏设定</x:v>
      </x:c>
      <x:c r="K438" s="2" t="str"/>
      <x:c r="L438" s="2" t="str">
        <x:v>諸葛恪</x:v>
      </x:c>
      <x:c r="M438" s="2" t="str">
        <x:v>san14-candidate-0430</x:v>
      </x:c>
      <x:c r="N438" s="2" t="str">
        <x:v>諸葛恪</x:v>
      </x:c>
      <x:c r="O438" s="2" t="str">
        <x:v>ショカツカク</x:v>
      </x:c>
    </x:row>
    <x:row r="439" ht="23" customHeight="1">
      <x:c r="A439" s="13" t="n">
        <x:v>431</x:v>
      </x:c>
      <x:c r="B439" s="2" t="str">
        <x:v>诸葛乔</x:v>
      </x:c>
      <x:c r="C439" s="2" t="str">
        <x:v>諸葛喬</x:v>
      </x:c>
      <x:c r="D439" s="2" t="str"/>
      <x:c r="E439" s="13" t="n">
        <x:v>204</x:v>
      </x:c>
      <x:c r="F439" s="13" t="n">
        <x:v>218</x:v>
      </x:c>
      <x:c r="G439" s="13" t="n">
        <x:v>228</x:v>
      </x:c>
      <x:c r="H439" s="2" t="str">
        <x:f>IF(OR($E$4="",NOT(ISNUMBER($E$4)),$E$4&lt;1,$E$4&gt;400),"参考年待填",IF(OR(E439="",F439="",G439=""),"年代待核",IF($E$4&lt;E439,"未出生",IF($E$4&lt;F439,"未登场",IF($E$4&gt;G439,"已过卒年",IF($E$4=G439,"卒年边界待核","年表可登场"))))))</x:f>
        <x:v>已过卒年</x:v>
      </x:c>
      <x:c r="I439" s="12"/>
      <x:c r="J439" s="2" t="str">
        <x:v>SAN14游戏设定</x:v>
      </x:c>
      <x:c r="K439" s="2" t="str"/>
      <x:c r="L439" s="2" t="str">
        <x:v>諸葛喬</x:v>
      </x:c>
      <x:c r="M439" s="2" t="str">
        <x:v>san14-candidate-0431</x:v>
      </x:c>
      <x:c r="N439" s="2" t="str">
        <x:v>諸葛喬</x:v>
      </x:c>
      <x:c r="O439" s="2" t="str">
        <x:v>ショカツキョウ</x:v>
      </x:c>
    </x:row>
    <x:row r="440" ht="23" customHeight="1">
      <x:c r="A440" s="13" t="n">
        <x:v>432</x:v>
      </x:c>
      <x:c r="B440" s="2" t="str">
        <x:v>诸葛瑾</x:v>
      </x:c>
      <x:c r="C440" s="2" t="str">
        <x:v>諸葛瑾</x:v>
      </x:c>
      <x:c r="D440" s="2" t="str"/>
      <x:c r="E440" s="13" t="n">
        <x:v>174</x:v>
      </x:c>
      <x:c r="F440" s="13" t="n">
        <x:v>195</x:v>
      </x:c>
      <x:c r="G440" s="13" t="n">
        <x:v>241</x:v>
      </x:c>
      <x:c r="H440" s="2" t="str">
        <x:f>IF(OR($E$4="",NOT(ISNUMBER($E$4)),$E$4&lt;1,$E$4&gt;400),"参考年待填",IF(OR(E440="",F440="",G440=""),"年代待核",IF($E$4&lt;E440,"未出生",IF($E$4&lt;F440,"未登场",IF($E$4&gt;G440,"已过卒年",IF($E$4=G440,"卒年边界待核","年表可登场"))))))</x:f>
        <x:v>年表可登场</x:v>
      </x:c>
      <x:c r="I440" s="12"/>
      <x:c r="J440" s="2" t="str">
        <x:v>SAN14游戏设定</x:v>
      </x:c>
      <x:c r="K440" s="2" t="str"/>
      <x:c r="L440" s="2" t="str">
        <x:v>諸葛瑾</x:v>
      </x:c>
      <x:c r="M440" s="2" t="str">
        <x:v>san14-candidate-0432</x:v>
      </x:c>
      <x:c r="N440" s="2" t="str">
        <x:v>諸葛瑾</x:v>
      </x:c>
      <x:c r="O440" s="2" t="str">
        <x:v>ショカツキン</x:v>
      </x:c>
    </x:row>
    <x:row r="441" ht="23" customHeight="1">
      <x:c r="A441" s="13" t="n">
        <x:v>433</x:v>
      </x:c>
      <x:c r="B441" s="2" t="str">
        <x:v>诸葛均</x:v>
      </x:c>
      <x:c r="C441" s="2" t="str">
        <x:v>諸葛均</x:v>
      </x:c>
      <x:c r="D441" s="2" t="str"/>
      <x:c r="E441" s="13" t="n">
        <x:v>185</x:v>
      </x:c>
      <x:c r="F441" s="13" t="n">
        <x:v>208</x:v>
      </x:c>
      <x:c r="G441" s="13" t="n">
        <x:v>252</x:v>
      </x:c>
      <x:c r="H441" s="2" t="str">
        <x:f>IF(OR($E$4="",NOT(ISNUMBER($E$4)),$E$4&lt;1,$E$4&gt;400),"参考年待填",IF(OR(E441="",F441="",G441=""),"年代待核",IF($E$4&lt;E441,"未出生",IF($E$4&lt;F441,"未登场",IF($E$4&gt;G441,"已过卒年",IF($E$4=G441,"卒年边界待核","年表可登场"))))))</x:f>
        <x:v>年表可登场</x:v>
      </x:c>
      <x:c r="I441" s="12"/>
      <x:c r="J441" s="2" t="str">
        <x:v>SAN14游戏设定</x:v>
      </x:c>
      <x:c r="K441" s="2" t="str"/>
      <x:c r="L441" s="2" t="str">
        <x:v>諸葛均</x:v>
      </x:c>
      <x:c r="M441" s="2" t="str">
        <x:v>san14-candidate-0433</x:v>
      </x:c>
      <x:c r="N441" s="2" t="str">
        <x:v>諸葛均</x:v>
      </x:c>
      <x:c r="O441" s="2" t="str">
        <x:v>ショカツキン</x:v>
      </x:c>
    </x:row>
    <x:row r="442" ht="23" customHeight="1">
      <x:c r="A442" s="13" t="n">
        <x:v>434</x:v>
      </x:c>
      <x:c r="B442" s="2" t="str">
        <x:v>诸葛绪</x:v>
      </x:c>
      <x:c r="C442" s="2" t="str">
        <x:v>諸葛緒</x:v>
      </x:c>
      <x:c r="D442" s="2" t="str"/>
      <x:c r="E442" s="13" t="n">
        <x:v>218</x:v>
      </x:c>
      <x:c r="F442" s="13" t="n">
        <x:v>237</x:v>
      </x:c>
      <x:c r="G442" s="13" t="n">
        <x:v>286</x:v>
      </x:c>
      <x:c r="H442" s="2" t="str">
        <x:f>IF(OR($E$4="",NOT(ISNUMBER($E$4)),$E$4&lt;1,$E$4&gt;400),"参考年待填",IF(OR(E442="",F442="",G442=""),"年代待核",IF($E$4&lt;E442,"未出生",IF($E$4&lt;F442,"未登场",IF($E$4&gt;G442,"已过卒年",IF($E$4=G442,"卒年边界待核","年表可登场"))))))</x:f>
        <x:v>未登场</x:v>
      </x:c>
      <x:c r="I442" s="12"/>
      <x:c r="J442" s="2" t="str">
        <x:v>SAN14游戏设定</x:v>
      </x:c>
      <x:c r="K442" s="2" t="str"/>
      <x:c r="L442" s="2" t="str">
        <x:v>諸葛緒</x:v>
      </x:c>
      <x:c r="M442" s="2" t="str">
        <x:v>san14-candidate-0434</x:v>
      </x:c>
      <x:c r="N442" s="2" t="str">
        <x:v>諸葛緒</x:v>
      </x:c>
      <x:c r="O442" s="2" t="str">
        <x:v>ショカツショ</x:v>
      </x:c>
    </x:row>
    <x:row r="443" ht="23" customHeight="1">
      <x:c r="A443" s="13" t="n">
        <x:v>435</x:v>
      </x:c>
      <x:c r="B443" s="2" t="str">
        <x:v>诸葛尚</x:v>
      </x:c>
      <x:c r="C443" s="2" t="str">
        <x:v>諸葛尚</x:v>
      </x:c>
      <x:c r="D443" s="2" t="str"/>
      <x:c r="E443" s="13" t="n">
        <x:v>246</x:v>
      </x:c>
      <x:c r="F443" s="13" t="n">
        <x:v>253</x:v>
      </x:c>
      <x:c r="G443" s="13" t="n">
        <x:v>263</x:v>
      </x:c>
      <x:c r="H443" s="2" t="str">
        <x:f>IF(OR($E$4="",NOT(ISNUMBER($E$4)),$E$4&lt;1,$E$4&gt;400),"参考年待填",IF(OR(E443="",F443="",G443=""),"年代待核",IF($E$4&lt;E443,"未出生",IF($E$4&lt;F443,"未登场",IF($E$4&gt;G443,"已过卒年",IF($E$4=G443,"卒年边界待核","年表可登场"))))))</x:f>
        <x:v>未出生</x:v>
      </x:c>
      <x:c r="I443" s="12"/>
      <x:c r="J443" s="2" t="str">
        <x:v>SAN14游戏设定</x:v>
      </x:c>
      <x:c r="K443" s="2" t="str"/>
      <x:c r="L443" s="2" t="str">
        <x:v>諸葛尚</x:v>
      </x:c>
      <x:c r="M443" s="2" t="str">
        <x:v>san14-candidate-0435</x:v>
      </x:c>
      <x:c r="N443" s="2" t="str">
        <x:v>諸葛尚</x:v>
      </x:c>
      <x:c r="O443" s="2" t="str">
        <x:v>ショカツショウ</x:v>
      </x:c>
    </x:row>
    <x:row r="444" ht="23" customHeight="1">
      <x:c r="A444" s="13" t="n">
        <x:v>436</x:v>
      </x:c>
      <x:c r="B444" s="2" t="str">
        <x:v>诸葛靓</x:v>
      </x:c>
      <x:c r="C444" s="2" t="str">
        <x:v>諸葛靚</x:v>
      </x:c>
      <x:c r="D444" s="2" t="str"/>
      <x:c r="E444" s="13" t="n">
        <x:v>241</x:v>
      </x:c>
      <x:c r="F444" s="13" t="n">
        <x:v>253</x:v>
      </x:c>
      <x:c r="G444" s="13" t="n">
        <x:v>300</x:v>
      </x:c>
      <x:c r="H444" s="2" t="str">
        <x:f>IF(OR($E$4="",NOT(ISNUMBER($E$4)),$E$4&lt;1,$E$4&gt;400),"参考年待填",IF(OR(E444="",F444="",G444=""),"年代待核",IF($E$4&lt;E444,"未出生",IF($E$4&lt;F444,"未登场",IF($E$4&gt;G444,"已过卒年",IF($E$4=G444,"卒年边界待核","年表可登场"))))))</x:f>
        <x:v>未出生</x:v>
      </x:c>
      <x:c r="I444" s="12"/>
      <x:c r="J444" s="2" t="str">
        <x:v>SAN14游戏设定</x:v>
      </x:c>
      <x:c r="K444" s="2" t="str"/>
      <x:c r="L444" s="2" t="str">
        <x:v>諸葛靚</x:v>
      </x:c>
      <x:c r="M444" s="2" t="str">
        <x:v>san14-candidate-0436</x:v>
      </x:c>
      <x:c r="N444" s="2" t="str">
        <x:v>諸葛セイ</x:v>
      </x:c>
      <x:c r="O444" s="2" t="str">
        <x:v>ショカツセイ</x:v>
      </x:c>
    </x:row>
    <x:row r="445" ht="23" customHeight="1">
      <x:c r="A445" s="13" t="n">
        <x:v>437</x:v>
      </x:c>
      <x:c r="B445" s="2" t="str">
        <x:v>诸葛瞻</x:v>
      </x:c>
      <x:c r="C445" s="2" t="str">
        <x:v>諸葛瞻</x:v>
      </x:c>
      <x:c r="D445" s="2" t="str"/>
      <x:c r="E445" s="13" t="n">
        <x:v>227</x:v>
      </x:c>
      <x:c r="F445" s="13" t="n">
        <x:v>241</x:v>
      </x:c>
      <x:c r="G445" s="13" t="n">
        <x:v>263</x:v>
      </x:c>
      <x:c r="H445" s="2" t="str">
        <x:f>IF(OR($E$4="",NOT(ISNUMBER($E$4)),$E$4&lt;1,$E$4&gt;400),"参考年待填",IF(OR(E445="",F445="",G445=""),"年代待核",IF($E$4&lt;E445,"未出生",IF($E$4&lt;F445,"未登场",IF($E$4&gt;G445,"已过卒年",IF($E$4=G445,"卒年边界待核","年表可登场"))))))</x:f>
        <x:v>未登场</x:v>
      </x:c>
      <x:c r="I445" s="12"/>
      <x:c r="J445" s="2" t="str">
        <x:v>SAN14游戏设定</x:v>
      </x:c>
      <x:c r="K445" s="2" t="str"/>
      <x:c r="L445" s="2" t="str">
        <x:v>諸葛瞻</x:v>
      </x:c>
      <x:c r="M445" s="2" t="str">
        <x:v>san14-candidate-0437</x:v>
      </x:c>
      <x:c r="N445" s="2" t="str">
        <x:v>諸葛瞻</x:v>
      </x:c>
      <x:c r="O445" s="2" t="str">
        <x:v>ショカツセン</x:v>
      </x:c>
    </x:row>
    <x:row r="446" ht="23" customHeight="1">
      <x:c r="A446" s="13" t="n">
        <x:v>438</x:v>
      </x:c>
      <x:c r="B446" s="2" t="str">
        <x:v>诸葛诞</x:v>
      </x:c>
      <x:c r="C446" s="2" t="str">
        <x:v>諸葛誕</x:v>
      </x:c>
      <x:c r="D446" s="2" t="str"/>
      <x:c r="E446" s="13" t="n">
        <x:v>206</x:v>
      </x:c>
      <x:c r="F446" s="13" t="n">
        <x:v>225</x:v>
      </x:c>
      <x:c r="G446" s="13" t="n">
        <x:v>258</x:v>
      </x:c>
      <x:c r="H446" s="2" t="str">
        <x:f>IF(OR($E$4="",NOT(ISNUMBER($E$4)),$E$4&lt;1,$E$4&gt;400),"参考年待填",IF(OR(E446="",F446="",G446=""),"年代待核",IF($E$4&lt;E446,"未出生",IF($E$4&lt;F446,"未登场",IF($E$4&gt;G446,"已过卒年",IF($E$4=G446,"卒年边界待核","年表可登场"))))))</x:f>
        <x:v>年表可登场</x:v>
      </x:c>
      <x:c r="I446" s="12"/>
      <x:c r="J446" s="2" t="str">
        <x:v>SAN14游戏设定</x:v>
      </x:c>
      <x:c r="K446" s="2" t="str"/>
      <x:c r="L446" s="2" t="str">
        <x:v>諸葛誕</x:v>
      </x:c>
      <x:c r="M446" s="2" t="str">
        <x:v>san14-candidate-0438</x:v>
      </x:c>
      <x:c r="N446" s="2" t="str">
        <x:v>諸葛誕</x:v>
      </x:c>
      <x:c r="O446" s="2" t="str">
        <x:v>ショカツタン</x:v>
      </x:c>
    </x:row>
    <x:row r="447" ht="23" customHeight="1">
      <x:c r="A447" s="13" t="n">
        <x:v>439</x:v>
      </x:c>
      <x:c r="B447" s="2" t="str">
        <x:v>诸葛融</x:v>
      </x:c>
      <x:c r="C447" s="2" t="str">
        <x:v>諸葛融</x:v>
      </x:c>
      <x:c r="D447" s="2" t="str"/>
      <x:c r="E447" s="13" t="n">
        <x:v>207</x:v>
      </x:c>
      <x:c r="F447" s="13" t="n">
        <x:v>221</x:v>
      </x:c>
      <x:c r="G447" s="13" t="n">
        <x:v>253</x:v>
      </x:c>
      <x:c r="H447" s="2" t="str">
        <x:f>IF(OR($E$4="",NOT(ISNUMBER($E$4)),$E$4&lt;1,$E$4&gt;400),"参考年待填",IF(OR(E447="",F447="",G447=""),"年代待核",IF($E$4&lt;E447,"未出生",IF($E$4&lt;F447,"未登场",IF($E$4&gt;G447,"已过卒年",IF($E$4=G447,"卒年边界待核","年表可登场"))))))</x:f>
        <x:v>年表可登场</x:v>
      </x:c>
      <x:c r="I447" s="12"/>
      <x:c r="J447" s="2" t="str">
        <x:v>SAN14游戏设定</x:v>
      </x:c>
      <x:c r="K447" s="2" t="str"/>
      <x:c r="L447" s="2" t="str">
        <x:v>諸葛融</x:v>
      </x:c>
      <x:c r="M447" s="2" t="str">
        <x:v>san14-candidate-0439</x:v>
      </x:c>
      <x:c r="N447" s="2" t="str">
        <x:v>諸葛融</x:v>
      </x:c>
      <x:c r="O447" s="2" t="str">
        <x:v>ショカツユウ</x:v>
      </x:c>
    </x:row>
    <x:row r="448" ht="23" customHeight="1">
      <x:c r="A448" s="13" t="n">
        <x:v>440</x:v>
      </x:c>
      <x:c r="B448" s="2" t="str">
        <x:v>诸葛亮</x:v>
      </x:c>
      <x:c r="C448" s="2" t="str">
        <x:v>諸葛亮</x:v>
      </x:c>
      <x:c r="D448" s="2" t="str"/>
      <x:c r="E448" s="13" t="n">
        <x:v>181</x:v>
      </x:c>
      <x:c r="F448" s="13" t="n">
        <x:v>208</x:v>
      </x:c>
      <x:c r="G448" s="13" t="n">
        <x:v>234</x:v>
      </x:c>
      <x:c r="H448" s="2" t="str">
        <x:f>IF(OR($E$4="",NOT(ISNUMBER($E$4)),$E$4&lt;1,$E$4&gt;400),"参考年待填",IF(OR(E448="",F448="",G448=""),"年代待核",IF($E$4&lt;E448,"未出生",IF($E$4&lt;F448,"未登场",IF($E$4&gt;G448,"已过卒年",IF($E$4=G448,"卒年边界待核","年表可登场"))))))</x:f>
        <x:v>年表可登场</x:v>
      </x:c>
      <x:c r="I448" s="12" t="n">
        <x:v>109</x:v>
      </x:c>
      <x:c r="J448" s="2" t="str">
        <x:v>SAN14游戏设定</x:v>
      </x:c>
      <x:c r="K448" s="2" t="str"/>
      <x:c r="L448" s="2" t="str">
        <x:v>諸葛亮</x:v>
      </x:c>
      <x:c r="M448" s="2" t="str">
        <x:v>san14-candidate-0440</x:v>
      </x:c>
      <x:c r="N448" s="2" t="str">
        <x:v>諸葛亮</x:v>
      </x:c>
      <x:c r="O448" s="2" t="str">
        <x:v>ショカツリョウ</x:v>
      </x:c>
    </x:row>
    <x:row r="449" ht="23" customHeight="1">
      <x:c r="A449" s="13" t="n">
        <x:v>441</x:v>
      </x:c>
      <x:c r="B449" s="2" t="str">
        <x:v>徐璆</x:v>
      </x:c>
      <x:c r="C449" s="2" t="str">
        <x:v>徐璆</x:v>
      </x:c>
      <x:c r="D449" s="2" t="str"/>
      <x:c r="E449" s="13" t="n">
        <x:v>149</x:v>
      </x:c>
      <x:c r="F449" s="13" t="n">
        <x:v>184</x:v>
      </x:c>
      <x:c r="G449" s="13" t="n">
        <x:v>208</x:v>
      </x:c>
      <x:c r="H449" s="2" t="str">
        <x:f>IF(OR($E$4="",NOT(ISNUMBER($E$4)),$E$4&lt;1,$E$4&gt;400),"参考年待填",IF(OR(E449="",F449="",G449=""),"年代待核",IF($E$4&lt;E449,"未出生",IF($E$4&lt;F449,"未登场",IF($E$4&gt;G449,"已过卒年",IF($E$4=G449,"卒年边界待核","年表可登场"))))))</x:f>
        <x:v>已过卒年</x:v>
      </x:c>
      <x:c r="I449" s="12"/>
      <x:c r="J449" s="2" t="str">
        <x:v>SAN14游戏设定</x:v>
      </x:c>
      <x:c r="K449" s="2" t="str"/>
      <x:c r="L449" s="2" t="str">
        <x:v>徐璆</x:v>
      </x:c>
      <x:c r="M449" s="2" t="str">
        <x:v>san14-candidate-0441</x:v>
      </x:c>
      <x:c r="N449" s="2" t="str">
        <x:v>徐キョウ</x:v>
      </x:c>
      <x:c r="O449" s="2" t="str">
        <x:v>ジョキュウ</x:v>
      </x:c>
    </x:row>
    <x:row r="450" ht="23" customHeight="1">
      <x:c r="A450" s="13" t="n">
        <x:v>442</x:v>
      </x:c>
      <x:c r="B450" s="2" t="str">
        <x:v>徐晃</x:v>
      </x:c>
      <x:c r="C450" s="2" t="str">
        <x:v>徐晃</x:v>
      </x:c>
      <x:c r="D450" s="2" t="str"/>
      <x:c r="E450" s="13" t="n">
        <x:v>165</x:v>
      </x:c>
      <x:c r="F450" s="13" t="n">
        <x:v>188</x:v>
      </x:c>
      <x:c r="G450" s="13" t="n">
        <x:v>228</x:v>
      </x:c>
      <x:c r="H450" s="2" t="str">
        <x:f>IF(OR($E$4="",NOT(ISNUMBER($E$4)),$E$4&lt;1,$E$4&gt;400),"参考年待填",IF(OR(E450="",F450="",G450=""),"年代待核",IF($E$4&lt;E450,"未出生",IF($E$4&lt;F450,"未登场",IF($E$4&gt;G450,"已过卒年",IF($E$4=G450,"卒年边界待核","年表可登场"))))))</x:f>
        <x:v>已过卒年</x:v>
      </x:c>
      <x:c r="I450" s="12"/>
      <x:c r="J450" s="2" t="str">
        <x:v>SAN14游戏设定</x:v>
      </x:c>
      <x:c r="K450" s="2" t="str"/>
      <x:c r="L450" s="2" t="str">
        <x:v>徐晃</x:v>
      </x:c>
      <x:c r="M450" s="2" t="str">
        <x:v>san14-candidate-0442</x:v>
      </x:c>
      <x:c r="N450" s="2" t="str">
        <x:v>徐晃</x:v>
      </x:c>
      <x:c r="O450" s="2" t="str">
        <x:v>ジョコウ</x:v>
      </x:c>
    </x:row>
    <x:row r="451" ht="23" customHeight="1">
      <x:c r="A451" s="13" t="n">
        <x:v>443</x:v>
      </x:c>
      <x:c r="B451" s="2" t="str">
        <x:v>徐琨</x:v>
      </x:c>
      <x:c r="C451" s="2" t="str">
        <x:v>徐琨</x:v>
      </x:c>
      <x:c r="D451" s="2" t="str"/>
      <x:c r="E451" s="13" t="n">
        <x:v>169</x:v>
      </x:c>
      <x:c r="F451" s="13" t="n">
        <x:v>190</x:v>
      </x:c>
      <x:c r="G451" s="13" t="n">
        <x:v>203</x:v>
      </x:c>
      <x:c r="H451" s="2" t="str">
        <x:f>IF(OR($E$4="",NOT(ISNUMBER($E$4)),$E$4&lt;1,$E$4&gt;400),"参考年待填",IF(OR(E451="",F451="",G451=""),"年代待核",IF($E$4&lt;E451,"未出生",IF($E$4&lt;F451,"未登场",IF($E$4&gt;G451,"已过卒年",IF($E$4=G451,"卒年边界待核","年表可登场"))))))</x:f>
        <x:v>已过卒年</x:v>
      </x:c>
      <x:c r="I451" s="12"/>
      <x:c r="J451" s="2" t="str">
        <x:v>SAN14游戏设定</x:v>
      </x:c>
      <x:c r="K451" s="2" t="str"/>
      <x:c r="L451" s="2" t="str">
        <x:v>徐琨</x:v>
      </x:c>
      <x:c r="M451" s="2" t="str">
        <x:v>san14-candidate-0443</x:v>
      </x:c>
      <x:c r="N451" s="2" t="str">
        <x:v>徐コン</x:v>
      </x:c>
      <x:c r="O451" s="2" t="str">
        <x:v>ジョコン</x:v>
      </x:c>
    </x:row>
    <x:row r="452" ht="23" customHeight="1">
      <x:c r="A452" s="13" t="n">
        <x:v>444</x:v>
      </x:c>
      <x:c r="B452" s="2" t="str">
        <x:v>徐氏</x:v>
      </x:c>
      <x:c r="C452" s="2" t="str">
        <x:v>徐氏</x:v>
      </x:c>
      <x:c r="D452" s="2" t="str"/>
      <x:c r="E452" s="13" t="n">
        <x:v>183</x:v>
      </x:c>
      <x:c r="F452" s="13" t="n">
        <x:v>197</x:v>
      </x:c>
      <x:c r="G452" s="13" t="n">
        <x:v>232</x:v>
      </x:c>
      <x:c r="H452" s="2" t="str">
        <x:f>IF(OR($E$4="",NOT(ISNUMBER($E$4)),$E$4&lt;1,$E$4&gt;400),"参考年待填",IF(OR(E452="",F452="",G452=""),"年代待核",IF($E$4&lt;E452,"未出生",IF($E$4&lt;F452,"未登场",IF($E$4&gt;G452,"已过卒年",IF($E$4=G452,"卒年边界待核","年表可登场"))))))</x:f>
        <x:v>年表可登场</x:v>
      </x:c>
      <x:c r="I452" s="12"/>
      <x:c r="J452" s="2" t="str">
        <x:v>SAN14游戏设定</x:v>
      </x:c>
      <x:c r="K452" s="2" t="str"/>
      <x:c r="L452" s="2" t="str">
        <x:v>徐氏</x:v>
      </x:c>
      <x:c r="M452" s="2" t="str">
        <x:v>san14-candidate-0444</x:v>
      </x:c>
      <x:c r="N452" s="2" t="str">
        <x:v>徐氏</x:v>
      </x:c>
      <x:c r="O452" s="2" t="str">
        <x:v>ジョシ</x:v>
      </x:c>
    </x:row>
    <x:row r="453" ht="23" customHeight="1">
      <x:c r="A453" s="13" t="n">
        <x:v>445</x:v>
      </x:c>
      <x:c r="B453" s="2" t="str">
        <x:v>徐质</x:v>
      </x:c>
      <x:c r="C453" s="2" t="str">
        <x:v>徐質</x:v>
      </x:c>
      <x:c r="D453" s="2" t="str"/>
      <x:c r="E453" s="13" t="n">
        <x:v>207</x:v>
      </x:c>
      <x:c r="F453" s="13" t="n">
        <x:v>226</x:v>
      </x:c>
      <x:c r="G453" s="13" t="n">
        <x:v>253</x:v>
      </x:c>
      <x:c r="H453" s="2" t="str">
        <x:f>IF(OR($E$4="",NOT(ISNUMBER($E$4)),$E$4&lt;1,$E$4&gt;400),"参考年待填",IF(OR(E453="",F453="",G453=""),"年代待核",IF($E$4&lt;E453,"未出生",IF($E$4&lt;F453,"未登场",IF($E$4&gt;G453,"已过卒年",IF($E$4=G453,"卒年边界待核","年表可登场"))))))</x:f>
        <x:v>年表可登场</x:v>
      </x:c>
      <x:c r="I453" s="12"/>
      <x:c r="J453" s="2" t="str">
        <x:v>SAN14游戏设定</x:v>
      </x:c>
      <x:c r="K453" s="2" t="str"/>
      <x:c r="L453" s="2" t="str">
        <x:v>徐質</x:v>
      </x:c>
      <x:c r="M453" s="2" t="str">
        <x:v>san14-candidate-0445</x:v>
      </x:c>
      <x:c r="N453" s="2" t="str">
        <x:v>徐質</x:v>
      </x:c>
      <x:c r="O453" s="2" t="str">
        <x:v>ジョシツ</x:v>
      </x:c>
    </x:row>
    <x:row r="454" ht="23" customHeight="1">
      <x:c r="A454" s="13" t="n">
        <x:v>446</x:v>
      </x:c>
      <x:c r="B454" s="2" t="str">
        <x:v>徐庶</x:v>
      </x:c>
      <x:c r="C454" s="2" t="str">
        <x:v>徐庶</x:v>
      </x:c>
      <x:c r="D454" s="2" t="str"/>
      <x:c r="E454" s="13" t="n">
        <x:v>178</x:v>
      </x:c>
      <x:c r="F454" s="13" t="n">
        <x:v>206</x:v>
      </x:c>
      <x:c r="G454" s="13" t="n">
        <x:v>232</x:v>
      </x:c>
      <x:c r="H454" s="2" t="str">
        <x:f>IF(OR($E$4="",NOT(ISNUMBER($E$4)),$E$4&lt;1,$E$4&gt;400),"参考年待填",IF(OR(E454="",F454="",G454=""),"年代待核",IF($E$4&lt;E454,"未出生",IF($E$4&lt;F454,"未登场",IF($E$4&gt;G454,"已过卒年",IF($E$4=G454,"卒年边界待核","年表可登场"))))))</x:f>
        <x:v>年表可登场</x:v>
      </x:c>
      <x:c r="I454" s="12"/>
      <x:c r="J454" s="2" t="str">
        <x:v>SAN14游戏设定</x:v>
      </x:c>
      <x:c r="K454" s="2" t="str"/>
      <x:c r="L454" s="2" t="str">
        <x:v>徐庶</x:v>
      </x:c>
      <x:c r="M454" s="2" t="str">
        <x:v>san14-candidate-0446</x:v>
      </x:c>
      <x:c r="N454" s="2" t="str">
        <x:v>徐庶</x:v>
      </x:c>
      <x:c r="O454" s="2" t="str">
        <x:v>ジョショ</x:v>
      </x:c>
    </x:row>
    <x:row r="455" ht="23" customHeight="1">
      <x:c r="A455" s="13" t="n">
        <x:v>447</x:v>
      </x:c>
      <x:c r="B455" s="2" t="str">
        <x:v>徐商</x:v>
      </x:c>
      <x:c r="C455" s="2" t="str">
        <x:v>徐商</x:v>
      </x:c>
      <x:c r="D455" s="2" t="str"/>
      <x:c r="E455" s="13" t="n">
        <x:v>183</x:v>
      </x:c>
      <x:c r="F455" s="13" t="n">
        <x:v>202</x:v>
      </x:c>
      <x:c r="G455" s="13" t="n">
        <x:v>232</x:v>
      </x:c>
      <x:c r="H455" s="2" t="str">
        <x:f>IF(OR($E$4="",NOT(ISNUMBER($E$4)),$E$4&lt;1,$E$4&gt;400),"参考年待填",IF(OR(E455="",F455="",G455=""),"年代待核",IF($E$4&lt;E455,"未出生",IF($E$4&lt;F455,"未登场",IF($E$4&gt;G455,"已过卒年",IF($E$4=G455,"卒年边界待核","年表可登场"))))))</x:f>
        <x:v>年表可登场</x:v>
      </x:c>
      <x:c r="I455" s="12"/>
      <x:c r="J455" s="2" t="str">
        <x:v>SAN14游戏设定</x:v>
      </x:c>
      <x:c r="K455" s="2" t="str"/>
      <x:c r="L455" s="2" t="str">
        <x:v>徐商</x:v>
      </x:c>
      <x:c r="M455" s="2" t="str">
        <x:v>san14-candidate-0447</x:v>
      </x:c>
      <x:c r="N455" s="2" t="str">
        <x:v>徐商</x:v>
      </x:c>
      <x:c r="O455" s="2" t="str">
        <x:v>ジョショウ</x:v>
      </x:c>
    </x:row>
    <x:row r="456" ht="23" customHeight="1">
      <x:c r="A456" s="13" t="n">
        <x:v>448</x:v>
      </x:c>
      <x:c r="B456" s="2" t="str">
        <x:v>徐详</x:v>
      </x:c>
      <x:c r="C456" s="2" t="str">
        <x:v>徐詳</x:v>
      </x:c>
      <x:c r="D456" s="2" t="str"/>
      <x:c r="E456" s="13" t="n">
        <x:v>174</x:v>
      </x:c>
      <x:c r="F456" s="13" t="n">
        <x:v>201</x:v>
      </x:c>
      <x:c r="G456" s="13" t="n">
        <x:v>233</x:v>
      </x:c>
      <x:c r="H456" s="2" t="str">
        <x:f>IF(OR($E$4="",NOT(ISNUMBER($E$4)),$E$4&lt;1,$E$4&gt;400),"参考年待填",IF(OR(E456="",F456="",G456=""),"年代待核",IF($E$4&lt;E456,"未出生",IF($E$4&lt;F456,"未登场",IF($E$4&gt;G456,"已过卒年",IF($E$4=G456,"卒年边界待核","年表可登场"))))))</x:f>
        <x:v>年表可登场</x:v>
      </x:c>
      <x:c r="I456" s="12"/>
      <x:c r="J456" s="2" t="str">
        <x:v>SAN14游戏设定</x:v>
      </x:c>
      <x:c r="K456" s="2" t="str"/>
      <x:c r="L456" s="2" t="str">
        <x:v>徐詳</x:v>
      </x:c>
      <x:c r="M456" s="2" t="str">
        <x:v>san14-candidate-0448</x:v>
      </x:c>
      <x:c r="N456" s="2" t="str">
        <x:v>徐詳</x:v>
      </x:c>
      <x:c r="O456" s="2" t="str">
        <x:v>ジョショウ</x:v>
      </x:c>
    </x:row>
    <x:row r="457" ht="23" customHeight="1">
      <x:c r="A457" s="13" t="n">
        <x:v>449</x:v>
      </x:c>
      <x:c r="B457" s="2" t="str">
        <x:v>徐盛</x:v>
      </x:c>
      <x:c r="C457" s="2" t="str">
        <x:v>徐盛</x:v>
      </x:c>
      <x:c r="D457" s="2" t="str"/>
      <x:c r="E457" s="13" t="n">
        <x:v>177</x:v>
      </x:c>
      <x:c r="F457" s="13" t="n">
        <x:v>196</x:v>
      </x:c>
      <x:c r="G457" s="13" t="n">
        <x:v>228</x:v>
      </x:c>
      <x:c r="H457" s="2" t="str">
        <x:f>IF(OR($E$4="",NOT(ISNUMBER($E$4)),$E$4&lt;1,$E$4&gt;400),"参考年待填",IF(OR(E457="",F457="",G457=""),"年代待核",IF($E$4&lt;E457,"未出生",IF($E$4&lt;F457,"未登场",IF($E$4&gt;G457,"已过卒年",IF($E$4=G457,"卒年边界待核","年表可登场"))))))</x:f>
        <x:v>已过卒年</x:v>
      </x:c>
      <x:c r="I457" s="12"/>
      <x:c r="J457" s="2" t="str">
        <x:v>SAN14游戏设定</x:v>
      </x:c>
      <x:c r="K457" s="2" t="str"/>
      <x:c r="L457" s="2" t="str">
        <x:v>徐盛</x:v>
      </x:c>
      <x:c r="M457" s="2" t="str">
        <x:v>san14-candidate-0449</x:v>
      </x:c>
      <x:c r="N457" s="2" t="str">
        <x:v>徐盛</x:v>
      </x:c>
      <x:c r="O457" s="2" t="str">
        <x:v>ジョセイ</x:v>
      </x:c>
    </x:row>
    <x:row r="458" ht="23" customHeight="1">
      <x:c r="A458" s="13" t="n">
        <x:v>450</x:v>
      </x:c>
      <x:c r="B458" s="2" t="str">
        <x:v>徐宣</x:v>
      </x:c>
      <x:c r="C458" s="2" t="str">
        <x:v>徐宣</x:v>
      </x:c>
      <x:c r="D458" s="2" t="str"/>
      <x:c r="E458" s="13" t="n">
        <x:v>167</x:v>
      </x:c>
      <x:c r="F458" s="13" t="n">
        <x:v>191</x:v>
      </x:c>
      <x:c r="G458" s="13" t="n">
        <x:v>236</x:v>
      </x:c>
      <x:c r="H458" s="2" t="str">
        <x:f>IF(OR($E$4="",NOT(ISNUMBER($E$4)),$E$4&lt;1,$E$4&gt;400),"参考年待填",IF(OR(E458="",F458="",G458=""),"年代待核",IF($E$4&lt;E458,"未出生",IF($E$4&lt;F458,"未登场",IF($E$4&gt;G458,"已过卒年",IF($E$4=G458,"卒年边界待核","年表可登场"))))))</x:f>
        <x:v>年表可登场</x:v>
      </x:c>
      <x:c r="I458" s="12"/>
      <x:c r="J458" s="2" t="str">
        <x:v>SAN14游戏设定</x:v>
      </x:c>
      <x:c r="K458" s="2" t="str"/>
      <x:c r="L458" s="2" t="str">
        <x:v>徐宣</x:v>
      </x:c>
      <x:c r="M458" s="2" t="str">
        <x:v>san14-candidate-0450</x:v>
      </x:c>
      <x:c r="N458" s="2" t="str">
        <x:v>徐宣</x:v>
      </x:c>
      <x:c r="O458" s="2" t="str">
        <x:v>ジョセン</x:v>
      </x:c>
    </x:row>
    <x:row r="459" ht="23" customHeight="1">
      <x:c r="A459" s="13" t="n">
        <x:v>451</x:v>
      </x:c>
      <x:c r="B459" s="2" t="str">
        <x:v>徐邈</x:v>
      </x:c>
      <x:c r="C459" s="2" t="str">
        <x:v>徐邈</x:v>
      </x:c>
      <x:c r="D459" s="2" t="str"/>
      <x:c r="E459" s="13" t="n">
        <x:v>171</x:v>
      </x:c>
      <x:c r="F459" s="13" t="n">
        <x:v>190</x:v>
      </x:c>
      <x:c r="G459" s="13" t="n">
        <x:v>249</x:v>
      </x:c>
      <x:c r="H459" s="2" t="str">
        <x:f>IF(OR($E$4="",NOT(ISNUMBER($E$4)),$E$4&lt;1,$E$4&gt;400),"参考年待填",IF(OR(E459="",F459="",G459=""),"年代待核",IF($E$4&lt;E459,"未出生",IF($E$4&lt;F459,"未登场",IF($E$4&gt;G459,"已过卒年",IF($E$4=G459,"卒年边界待核","年表可登场"))))))</x:f>
        <x:v>年表可登场</x:v>
      </x:c>
      <x:c r="I459" s="12"/>
      <x:c r="J459" s="2" t="str">
        <x:v>SAN14游戏设定</x:v>
      </x:c>
      <x:c r="K459" s="2" t="str"/>
      <x:c r="L459" s="2" t="str">
        <x:v>徐邈</x:v>
      </x:c>
      <x:c r="M459" s="2" t="str">
        <x:v>san14-candidate-0451</x:v>
      </x:c>
      <x:c r="N459" s="2" t="str">
        <x:v>徐バク</x:v>
      </x:c>
      <x:c r="O459" s="2" t="str">
        <x:v>ジョバク</x:v>
      </x:c>
    </x:row>
    <x:row r="460" ht="23" customHeight="1">
      <x:c r="A460" s="13" t="n">
        <x:v>452</x:v>
      </x:c>
      <x:c r="B460" s="2" t="str">
        <x:v>岑威</x:v>
      </x:c>
      <x:c r="C460" s="2" t="str">
        <x:v>岑威</x:v>
      </x:c>
      <x:c r="D460" s="2" t="str"/>
      <x:c r="E460" s="13" t="n">
        <x:v>196</x:v>
      </x:c>
      <x:c r="F460" s="13" t="n">
        <x:v>215</x:v>
      </x:c>
      <x:c r="G460" s="13" t="n">
        <x:v>235</x:v>
      </x:c>
      <x:c r="H460" s="2" t="str">
        <x:f>IF(OR($E$4="",NOT(ISNUMBER($E$4)),$E$4&lt;1,$E$4&gt;400),"参考年待填",IF(OR(E460="",F460="",G460=""),"年代待核",IF($E$4&lt;E460,"未出生",IF($E$4&lt;F460,"未登场",IF($E$4&gt;G460,"已过卒年",IF($E$4=G460,"卒年边界待核","年表可登场"))))))</x:f>
        <x:v>年表可登场</x:v>
      </x:c>
      <x:c r="I460" s="12"/>
      <x:c r="J460" s="2" t="str">
        <x:v>SAN14游戏设定</x:v>
      </x:c>
      <x:c r="K460" s="2" t="str"/>
      <x:c r="L460" s="2" t="str">
        <x:v>岑威</x:v>
      </x:c>
      <x:c r="M460" s="2" t="str">
        <x:v>san14-candidate-0452</x:v>
      </x:c>
      <x:c r="N460" s="2" t="str">
        <x:v>岑威</x:v>
      </x:c>
      <x:c r="O460" s="2" t="str">
        <x:v>シンイ</x:v>
      </x:c>
    </x:row>
    <x:row r="461" ht="23" customHeight="1">
      <x:c r="A461" s="13" t="n">
        <x:v>453</x:v>
      </x:c>
      <x:c r="B461" s="2" t="str">
        <x:v>沈莹</x:v>
      </x:c>
      <x:c r="C461" s="2" t="str">
        <x:v>沈瑩</x:v>
      </x:c>
      <x:c r="D461" s="2" t="str"/>
      <x:c r="E461" s="13" t="n">
        <x:v>235</x:v>
      </x:c>
      <x:c r="F461" s="13" t="n">
        <x:v>253</x:v>
      </x:c>
      <x:c r="G461" s="13" t="n">
        <x:v>280</x:v>
      </x:c>
      <x:c r="H461" s="2" t="str">
        <x:f>IF(OR($E$4="",NOT(ISNUMBER($E$4)),$E$4&lt;1,$E$4&gt;400),"参考年待填",IF(OR(E461="",F461="",G461=""),"年代待核",IF($E$4&lt;E461,"未出生",IF($E$4&lt;F461,"未登场",IF($E$4&gt;G461,"已过卒年",IF($E$4=G461,"卒年边界待核","年表可登场"))))))</x:f>
        <x:v>未出生</x:v>
      </x:c>
      <x:c r="I461" s="12"/>
      <x:c r="J461" s="2" t="str">
        <x:v>SAN14游戏设定</x:v>
      </x:c>
      <x:c r="K461" s="2" t="str"/>
      <x:c r="L461" s="2" t="str">
        <x:v>沈瑩</x:v>
      </x:c>
      <x:c r="M461" s="2" t="str">
        <x:v>san14-candidate-0453</x:v>
      </x:c>
      <x:c r="N461" s="2" t="str">
        <x:v>沈瑩</x:v>
      </x:c>
      <x:c r="O461" s="2" t="str">
        <x:v>シンエイ</x:v>
      </x:c>
    </x:row>
    <x:row r="462" ht="23" customHeight="1">
      <x:c r="A462" s="13" t="n">
        <x:v>454</x:v>
      </x:c>
      <x:c r="B462" s="2" t="str">
        <x:v>审荣</x:v>
      </x:c>
      <x:c r="C462" s="2" t="str">
        <x:v>審榮</x:v>
      </x:c>
      <x:c r="D462" s="2" t="str"/>
      <x:c r="E462" s="13" t="n">
        <x:v>160</x:v>
      </x:c>
      <x:c r="F462" s="13" t="n">
        <x:v>191</x:v>
      </x:c>
      <x:c r="G462" s="13" t="n">
        <x:v>209</x:v>
      </x:c>
      <x:c r="H462" s="2" t="str">
        <x:f>IF(OR($E$4="",NOT(ISNUMBER($E$4)),$E$4&lt;1,$E$4&gt;400),"参考年待填",IF(OR(E462="",F462="",G462=""),"年代待核",IF($E$4&lt;E462,"未出生",IF($E$4&lt;F462,"未登场",IF($E$4&gt;G462,"已过卒年",IF($E$4=G462,"卒年边界待核","年表可登场"))))))</x:f>
        <x:v>已过卒年</x:v>
      </x:c>
      <x:c r="I462" s="12"/>
      <x:c r="J462" s="2" t="str">
        <x:v>SAN14游戏设定</x:v>
      </x:c>
      <x:c r="K462" s="2" t="str"/>
      <x:c r="L462" s="2" t="str">
        <x:v>審榮</x:v>
      </x:c>
      <x:c r="M462" s="2" t="str">
        <x:v>san14-candidate-0454</x:v>
      </x:c>
      <x:c r="N462" s="2" t="str">
        <x:v>審栄</x:v>
      </x:c>
      <x:c r="O462" s="2" t="str">
        <x:v>シンエイ</x:v>
      </x:c>
    </x:row>
    <x:row r="463" ht="23" customHeight="1">
      <x:c r="A463" s="13" t="n">
        <x:v>455</x:v>
      </x:c>
      <x:c r="B463" s="2" t="str">
        <x:v>申仪</x:v>
      </x:c>
      <x:c r="C463" s="2" t="str">
        <x:v>申儀</x:v>
      </x:c>
      <x:c r="D463" s="2" t="str"/>
      <x:c r="E463" s="13" t="n">
        <x:v>190</x:v>
      </x:c>
      <x:c r="F463" s="13" t="n">
        <x:v>209</x:v>
      </x:c>
      <x:c r="G463" s="13" t="n">
        <x:v>252</x:v>
      </x:c>
      <x:c r="H463" s="2" t="str">
        <x:f>IF(OR($E$4="",NOT(ISNUMBER($E$4)),$E$4&lt;1,$E$4&gt;400),"参考年待填",IF(OR(E463="",F463="",G463=""),"年代待核",IF($E$4&lt;E463,"未出生",IF($E$4&lt;F463,"未登场",IF($E$4&gt;G463,"已过卒年",IF($E$4=G463,"卒年边界待核","年表可登场"))))))</x:f>
        <x:v>年表可登场</x:v>
      </x:c>
      <x:c r="I463" s="12"/>
      <x:c r="J463" s="2" t="str">
        <x:v>SAN14游戏设定</x:v>
      </x:c>
      <x:c r="K463" s="2" t="str"/>
      <x:c r="L463" s="2" t="str">
        <x:v>申儀</x:v>
      </x:c>
      <x:c r="M463" s="2" t="str">
        <x:v>san14-candidate-0455</x:v>
      </x:c>
      <x:c r="N463" s="2" t="str">
        <x:v>申儀</x:v>
      </x:c>
      <x:c r="O463" s="2" t="str">
        <x:v>シンギ</x:v>
      </x:c>
    </x:row>
    <x:row r="464" ht="23" customHeight="1">
      <x:c r="A464" s="13" t="n">
        <x:v>456</x:v>
      </x:c>
      <x:c r="B464" s="2" t="str">
        <x:v>秦宜禄</x:v>
      </x:c>
      <x:c r="C464" s="2" t="str">
        <x:v>秦宜祿</x:v>
      </x:c>
      <x:c r="D464" s="2" t="str"/>
      <x:c r="E464" s="13" t="n">
        <x:v>168</x:v>
      </x:c>
      <x:c r="F464" s="13" t="n">
        <x:v>191</x:v>
      </x:c>
      <x:c r="G464" s="13" t="n">
        <x:v>199</x:v>
      </x:c>
      <x:c r="H464" s="2" t="str">
        <x:f>IF(OR($E$4="",NOT(ISNUMBER($E$4)),$E$4&lt;1,$E$4&gt;400),"参考年待填",IF(OR(E464="",F464="",G464=""),"年代待核",IF($E$4&lt;E464,"未出生",IF($E$4&lt;F464,"未登场",IF($E$4&gt;G464,"已过卒年",IF($E$4=G464,"卒年边界待核","年表可登场"))))))</x:f>
        <x:v>已过卒年</x:v>
      </x:c>
      <x:c r="I464" s="12"/>
      <x:c r="J464" s="2" t="str">
        <x:v>SAN14游戏设定</x:v>
      </x:c>
      <x:c r="K464" s="2" t="str"/>
      <x:c r="L464" s="2" t="str">
        <x:v>秦宜祿</x:v>
      </x:c>
      <x:c r="M464" s="2" t="str">
        <x:v>san14-candidate-0456</x:v>
      </x:c>
      <x:c r="N464" s="2" t="str">
        <x:v>秦宜禄</x:v>
      </x:c>
      <x:c r="O464" s="2" t="str">
        <x:v>シンギロク</x:v>
      </x:c>
    </x:row>
    <x:row r="465" ht="23" customHeight="1">
      <x:c r="A465" s="13" t="n">
        <x:v>457</x:v>
      </x:c>
      <x:c r="B465" s="2" t="str">
        <x:v>辛宪英</x:v>
      </x:c>
      <x:c r="C465" s="2" t="str">
        <x:v>辛憲英</x:v>
      </x:c>
      <x:c r="D465" s="2" t="str"/>
      <x:c r="E465" s="13" t="n">
        <x:v>191</x:v>
      </x:c>
      <x:c r="F465" s="13" t="n">
        <x:v>205</x:v>
      </x:c>
      <x:c r="G465" s="13" t="n">
        <x:v>269</x:v>
      </x:c>
      <x:c r="H465" s="2" t="str">
        <x:f>IF(OR($E$4="",NOT(ISNUMBER($E$4)),$E$4&lt;1,$E$4&gt;400),"参考年待填",IF(OR(E465="",F465="",G465=""),"年代待核",IF($E$4&lt;E465,"未出生",IF($E$4&lt;F465,"未登场",IF($E$4&gt;G465,"已过卒年",IF($E$4=G465,"卒年边界待核","年表可登场"))))))</x:f>
        <x:v>年表可登场</x:v>
      </x:c>
      <x:c r="I465" s="12"/>
      <x:c r="J465" s="2" t="str">
        <x:v>SAN14游戏设定</x:v>
      </x:c>
      <x:c r="K465" s="2" t="str"/>
      <x:c r="L465" s="2" t="str">
        <x:v>辛憲英</x:v>
      </x:c>
      <x:c r="M465" s="2" t="str">
        <x:v>san14-candidate-0457</x:v>
      </x:c>
      <x:c r="N465" s="2" t="str">
        <x:v>辛憲英</x:v>
      </x:c>
      <x:c r="O465" s="2" t="str">
        <x:v>シンケンエイ</x:v>
      </x:c>
    </x:row>
    <x:row r="466" ht="23" customHeight="1">
      <x:c r="A466" s="13" t="n">
        <x:v>458</x:v>
      </x:c>
      <x:c r="B466" s="2" t="str">
        <x:v>岑昏</x:v>
      </x:c>
      <x:c r="C466" s="2" t="str">
        <x:v>岑昏</x:v>
      </x:c>
      <x:c r="D466" s="2" t="str"/>
      <x:c r="E466" s="13" t="n">
        <x:v>239</x:v>
      </x:c>
      <x:c r="F466" s="13" t="n">
        <x:v>253</x:v>
      </x:c>
      <x:c r="G466" s="13" t="n">
        <x:v>280</x:v>
      </x:c>
      <x:c r="H466" s="2" t="str">
        <x:f>IF(OR($E$4="",NOT(ISNUMBER($E$4)),$E$4&lt;1,$E$4&gt;400),"参考年待填",IF(OR(E466="",F466="",G466=""),"年代待核",IF($E$4&lt;E466,"未出生",IF($E$4&lt;F466,"未登场",IF($E$4&gt;G466,"已过卒年",IF($E$4=G466,"卒年边界待核","年表可登场"))))))</x:f>
        <x:v>未出生</x:v>
      </x:c>
      <x:c r="I466" s="12"/>
      <x:c r="J466" s="2" t="str">
        <x:v>SAN14游戏设定</x:v>
      </x:c>
      <x:c r="K466" s="2" t="str"/>
      <x:c r="L466" s="2" t="str">
        <x:v>岑昏</x:v>
      </x:c>
      <x:c r="M466" s="2" t="str">
        <x:v>san14-candidate-0458</x:v>
      </x:c>
      <x:c r="N466" s="2" t="str">
        <x:v>岑昏</x:v>
      </x:c>
      <x:c r="O466" s="2" t="str">
        <x:v>シンコン</x:v>
      </x:c>
    </x:row>
    <x:row r="467" ht="23" customHeight="1">
      <x:c r="A467" s="13" t="n">
        <x:v>459</x:v>
      </x:c>
      <x:c r="B467" s="2" t="str">
        <x:v>甄氏</x:v>
      </x:c>
      <x:c r="C467" s="2" t="str">
        <x:v>甄氏</x:v>
      </x:c>
      <x:c r="D467" s="2" t="str"/>
      <x:c r="E467" s="13" t="n">
        <x:v>182</x:v>
      </x:c>
      <x:c r="F467" s="13" t="n">
        <x:v>200</x:v>
      </x:c>
      <x:c r="G467" s="13" t="n">
        <x:v>221</x:v>
      </x:c>
      <x:c r="H467" s="2" t="str">
        <x:f>IF(OR($E$4="",NOT(ISNUMBER($E$4)),$E$4&lt;1,$E$4&gt;400),"参考年待填",IF(OR(E467="",F467="",G467=""),"年代待核",IF($E$4&lt;E467,"未出生",IF($E$4&lt;F467,"未登场",IF($E$4&gt;G467,"已过卒年",IF($E$4=G467,"卒年边界待核","年表可登场"))))))</x:f>
        <x:v>已过卒年</x:v>
      </x:c>
      <x:c r="I467" s="12"/>
      <x:c r="J467" s="2" t="str">
        <x:v>SAN14游戏设定</x:v>
      </x:c>
      <x:c r="K467" s="2" t="str"/>
      <x:c r="L467" s="2" t="str">
        <x:v>甄氏</x:v>
      </x:c>
      <x:c r="M467" s="2" t="str">
        <x:v>san14-candidate-0459</x:v>
      </x:c>
      <x:c r="N467" s="2" t="str">
        <x:v>甄氏</x:v>
      </x:c>
      <x:c r="O467" s="2" t="str">
        <x:v>シンシ</x:v>
      </x:c>
    </x:row>
    <x:row r="468" ht="23" customHeight="1">
      <x:c r="A468" s="13" t="n">
        <x:v>460</x:v>
      </x:c>
      <x:c r="B468" s="2" t="str">
        <x:v>任峻</x:v>
      </x:c>
      <x:c r="C468" s="2" t="str">
        <x:v>任峻</x:v>
      </x:c>
      <x:c r="D468" s="2" t="str"/>
      <x:c r="E468" s="13" t="n">
        <x:v>165</x:v>
      </x:c>
      <x:c r="F468" s="13" t="n">
        <x:v>189</x:v>
      </x:c>
      <x:c r="G468" s="13" t="n">
        <x:v>204</x:v>
      </x:c>
      <x:c r="H468" s="2" t="str">
        <x:f>IF(OR($E$4="",NOT(ISNUMBER($E$4)),$E$4&lt;1,$E$4&gt;400),"参考年待填",IF(OR(E468="",F468="",G468=""),"年代待核",IF($E$4&lt;E468,"未出生",IF($E$4&lt;F468,"未登场",IF($E$4&gt;G468,"已过卒年",IF($E$4=G468,"卒年边界待核","年表可登场"))))))</x:f>
        <x:v>已过卒年</x:v>
      </x:c>
      <x:c r="I468" s="12"/>
      <x:c r="J468" s="2" t="str">
        <x:v>SAN14游戏设定</x:v>
      </x:c>
      <x:c r="K468" s="2" t="str"/>
      <x:c r="L468" s="2" t="str">
        <x:v>任峻</x:v>
      </x:c>
      <x:c r="M468" s="2" t="str">
        <x:v>san14-candidate-0460</x:v>
      </x:c>
      <x:c r="N468" s="2" t="str">
        <x:v>任峻</x:v>
      </x:c>
      <x:c r="O468" s="2" t="str">
        <x:v>ジンシュン</x:v>
      </x:c>
    </x:row>
    <x:row r="469" ht="23" customHeight="1">
      <x:c r="A469" s="13" t="n">
        <x:v>461</x:v>
      </x:c>
      <x:c r="B469" s="2" t="str">
        <x:v>辛敞</x:v>
      </x:c>
      <x:c r="C469" s="2" t="str">
        <x:v>辛敞</x:v>
      </x:c>
      <x:c r="D469" s="2" t="str"/>
      <x:c r="E469" s="13" t="n">
        <x:v>210</x:v>
      </x:c>
      <x:c r="F469" s="13" t="n">
        <x:v>224</x:v>
      </x:c>
      <x:c r="G469" s="13" t="n">
        <x:v>272</x:v>
      </x:c>
      <x:c r="H469" s="2" t="str">
        <x:f>IF(OR($E$4="",NOT(ISNUMBER($E$4)),$E$4&lt;1,$E$4&gt;400),"参考年待填",IF(OR(E469="",F469="",G469=""),"年代待核",IF($E$4&lt;E469,"未出生",IF($E$4&lt;F469,"未登场",IF($E$4&gt;G469,"已过卒年",IF($E$4=G469,"卒年边界待核","年表可登场"))))))</x:f>
        <x:v>年表可登场</x:v>
      </x:c>
      <x:c r="I469" s="12"/>
      <x:c r="J469" s="2" t="str">
        <x:v>SAN14游戏设定</x:v>
      </x:c>
      <x:c r="K469" s="2" t="str"/>
      <x:c r="L469" s="2" t="str">
        <x:v>辛敞</x:v>
      </x:c>
      <x:c r="M469" s="2" t="str">
        <x:v>san14-candidate-0461</x:v>
      </x:c>
      <x:c r="N469" s="2" t="str">
        <x:v>辛敞</x:v>
      </x:c>
      <x:c r="O469" s="2" t="str">
        <x:v>シンショウ</x:v>
      </x:c>
    </x:row>
    <x:row r="470" ht="23" customHeight="1">
      <x:c r="A470" s="13" t="n">
        <x:v>462</x:v>
      </x:c>
      <x:c r="B470" s="2" t="str">
        <x:v>秦松</x:v>
      </x:c>
      <x:c r="C470" s="2" t="str">
        <x:v>秦松</x:v>
      </x:c>
      <x:c r="D470" s="2" t="str"/>
      <x:c r="E470" s="13" t="n">
        <x:v>165</x:v>
      </x:c>
      <x:c r="F470" s="13" t="n">
        <x:v>194</x:v>
      </x:c>
      <x:c r="G470" s="13" t="n">
        <x:v>209</x:v>
      </x:c>
      <x:c r="H470" s="2" t="str">
        <x:f>IF(OR($E$4="",NOT(ISNUMBER($E$4)),$E$4&lt;1,$E$4&gt;400),"参考年待填",IF(OR(E470="",F470="",G470=""),"年代待核",IF($E$4&lt;E470,"未出生",IF($E$4&lt;F470,"未登场",IF($E$4&gt;G470,"已过卒年",IF($E$4=G470,"卒年边界待核","年表可登场"))))))</x:f>
        <x:v>已过卒年</x:v>
      </x:c>
      <x:c r="I470" s="12"/>
      <x:c r="J470" s="2" t="str">
        <x:v>SAN14游戏设定</x:v>
      </x:c>
      <x:c r="K470" s="2" t="str"/>
      <x:c r="L470" s="2" t="str">
        <x:v>秦松</x:v>
      </x:c>
      <x:c r="M470" s="2" t="str">
        <x:v>san14-candidate-0462</x:v>
      </x:c>
      <x:c r="N470" s="2" t="str">
        <x:v>秦松</x:v>
      </x:c>
      <x:c r="O470" s="2" t="str">
        <x:v>シンショウ</x:v>
      </x:c>
    </x:row>
    <x:row r="471" ht="23" customHeight="1">
      <x:c r="A471" s="13" t="n">
        <x:v>463</x:v>
      </x:c>
      <x:c r="B471" s="2" t="str">
        <x:v>申耽</x:v>
      </x:c>
      <x:c r="C471" s="2" t="str">
        <x:v>申耽</x:v>
      </x:c>
      <x:c r="D471" s="2" t="str"/>
      <x:c r="E471" s="13" t="n">
        <x:v>188</x:v>
      </x:c>
      <x:c r="F471" s="13" t="n">
        <x:v>207</x:v>
      </x:c>
      <x:c r="G471" s="13" t="n">
        <x:v>254</x:v>
      </x:c>
      <x:c r="H471" s="2" t="str">
        <x:f>IF(OR($E$4="",NOT(ISNUMBER($E$4)),$E$4&lt;1,$E$4&gt;400),"参考年待填",IF(OR(E471="",F471="",G471=""),"年代待核",IF($E$4&lt;E471,"未出生",IF($E$4&lt;F471,"未登场",IF($E$4&gt;G471,"已过卒年",IF($E$4=G471,"卒年边界待核","年表可登场"))))))</x:f>
        <x:v>年表可登场</x:v>
      </x:c>
      <x:c r="I471" s="12"/>
      <x:c r="J471" s="2" t="str">
        <x:v>SAN14游戏设定</x:v>
      </x:c>
      <x:c r="K471" s="2" t="str"/>
      <x:c r="L471" s="2" t="str">
        <x:v>申耽</x:v>
      </x:c>
      <x:c r="M471" s="2" t="str">
        <x:v>san14-candidate-0463</x:v>
      </x:c>
      <x:c r="N471" s="2" t="str">
        <x:v>申耽</x:v>
      </x:c>
      <x:c r="O471" s="2" t="str">
        <x:v>シンタン</x:v>
      </x:c>
    </x:row>
    <x:row r="472" ht="23" customHeight="1">
      <x:c r="A472" s="13" t="n">
        <x:v>464</x:v>
      </x:c>
      <x:c r="B472" s="2" t="str">
        <x:v>审配</x:v>
      </x:c>
      <x:c r="C472" s="2" t="str">
        <x:v>審配</x:v>
      </x:c>
      <x:c r="D472" s="2" t="str"/>
      <x:c r="E472" s="13" t="n">
        <x:v>156</x:v>
      </x:c>
      <x:c r="F472" s="13" t="n">
        <x:v>184</x:v>
      </x:c>
      <x:c r="G472" s="13" t="n">
        <x:v>204</x:v>
      </x:c>
      <x:c r="H472" s="2" t="str">
        <x:f>IF(OR($E$4="",NOT(ISNUMBER($E$4)),$E$4&lt;1,$E$4&gt;400),"参考年待填",IF(OR(E472="",F472="",G472=""),"年代待核",IF($E$4&lt;E472,"未出生",IF($E$4&lt;F472,"未登场",IF($E$4&gt;G472,"已过卒年",IF($E$4=G472,"卒年边界待核","年表可登场"))))))</x:f>
        <x:v>已过卒年</x:v>
      </x:c>
      <x:c r="I472" s="12"/>
      <x:c r="J472" s="2" t="str">
        <x:v>SAN14游戏设定</x:v>
      </x:c>
      <x:c r="K472" s="2" t="str"/>
      <x:c r="L472" s="2" t="str">
        <x:v>審配</x:v>
      </x:c>
      <x:c r="M472" s="2" t="str">
        <x:v>san14-candidate-0464</x:v>
      </x:c>
      <x:c r="N472" s="2" t="str">
        <x:v>審配</x:v>
      </x:c>
      <x:c r="O472" s="2" t="str">
        <x:v>シンパイ</x:v>
      </x:c>
    </x:row>
    <x:row r="473" ht="23" customHeight="1">
      <x:c r="A473" s="13" t="n">
        <x:v>465</x:v>
      </x:c>
      <x:c r="B473" s="2" t="str">
        <x:v>辛毘</x:v>
      </x:c>
      <x:c r="C473" s="2" t="str">
        <x:v>辛毘</x:v>
      </x:c>
      <x:c r="D473" s="2" t="str"/>
      <x:c r="E473" s="13" t="n">
        <x:v>171</x:v>
      </x:c>
      <x:c r="F473" s="13" t="n">
        <x:v>189</x:v>
      </x:c>
      <x:c r="G473" s="13" t="n">
        <x:v>240</x:v>
      </x:c>
      <x:c r="H473" s="2" t="str">
        <x:f>IF(OR($E$4="",NOT(ISNUMBER($E$4)),$E$4&lt;1,$E$4&gt;400),"参考年待填",IF(OR(E473="",F473="",G473=""),"年代待核",IF($E$4&lt;E473,"未出生",IF($E$4&lt;F473,"未登场",IF($E$4&gt;G473,"已过卒年",IF($E$4=G473,"卒年边界待核","年表可登场"))))))</x:f>
        <x:v>年表可登场</x:v>
      </x:c>
      <x:c r="I473" s="12"/>
      <x:c r="J473" s="2" t="str">
        <x:v>SAN14游戏设定</x:v>
      </x:c>
      <x:c r="K473" s="2" t="str"/>
      <x:c r="L473" s="2" t="str">
        <x:v>辛毘</x:v>
      </x:c>
      <x:c r="M473" s="2" t="str">
        <x:v>san14-candidate-0465</x:v>
      </x:c>
      <x:c r="N473" s="2" t="str">
        <x:v>辛毘</x:v>
      </x:c>
      <x:c r="O473" s="2" t="str">
        <x:v>シンピ</x:v>
      </x:c>
    </x:row>
    <x:row r="474" ht="23" customHeight="1">
      <x:c r="A474" s="13" t="n">
        <x:v>466</x:v>
      </x:c>
      <x:c r="B474" s="2" t="str">
        <x:v>辛评</x:v>
      </x:c>
      <x:c r="C474" s="2" t="str">
        <x:v>辛評</x:v>
      </x:c>
      <x:c r="D474" s="2" t="str"/>
      <x:c r="E474" s="13" t="n">
        <x:v>165</x:v>
      </x:c>
      <x:c r="F474" s="13" t="n">
        <x:v>184</x:v>
      </x:c>
      <x:c r="G474" s="13" t="n">
        <x:v>204</x:v>
      </x:c>
      <x:c r="H474" s="2" t="str">
        <x:f>IF(OR($E$4="",NOT(ISNUMBER($E$4)),$E$4&lt;1,$E$4&gt;400),"参考年待填",IF(OR(E474="",F474="",G474=""),"年代待核",IF($E$4&lt;E474,"未出生",IF($E$4&lt;F474,"未登场",IF($E$4&gt;G474,"已过卒年",IF($E$4=G474,"卒年边界待核","年表可登场"))))))</x:f>
        <x:v>已过卒年</x:v>
      </x:c>
      <x:c r="I474" s="12"/>
      <x:c r="J474" s="2" t="str">
        <x:v>SAN14游戏设定</x:v>
      </x:c>
      <x:c r="K474" s="2" t="str"/>
      <x:c r="L474" s="2" t="str">
        <x:v>辛評</x:v>
      </x:c>
      <x:c r="M474" s="2" t="str">
        <x:v>san14-candidate-0466</x:v>
      </x:c>
      <x:c r="N474" s="2" t="str">
        <x:v>辛評</x:v>
      </x:c>
      <x:c r="O474" s="2" t="str">
        <x:v>シンピョウ</x:v>
      </x:c>
    </x:row>
    <x:row r="475" ht="23" customHeight="1">
      <x:c r="A475" s="13" t="n">
        <x:v>467</x:v>
      </x:c>
      <x:c r="B475" s="2" t="str">
        <x:v>秦宓</x:v>
      </x:c>
      <x:c r="C475" s="2" t="str">
        <x:v>秦宓</x:v>
      </x:c>
      <x:c r="D475" s="2" t="str"/>
      <x:c r="E475" s="13" t="n">
        <x:v>160</x:v>
      </x:c>
      <x:c r="F475" s="13" t="n">
        <x:v>192</x:v>
      </x:c>
      <x:c r="G475" s="13" t="n">
        <x:v>226</x:v>
      </x:c>
      <x:c r="H475" s="2" t="str">
        <x:f>IF(OR($E$4="",NOT(ISNUMBER($E$4)),$E$4&lt;1,$E$4&gt;400),"参考年待填",IF(OR(E475="",F475="",G475=""),"年代待核",IF($E$4&lt;E475,"未出生",IF($E$4&lt;F475,"未登场",IF($E$4&gt;G475,"已过卒年",IF($E$4=G475,"卒年边界待核","年表可登场"))))))</x:f>
        <x:v>已过卒年</x:v>
      </x:c>
      <x:c r="I475" s="12"/>
      <x:c r="J475" s="2" t="str">
        <x:v>SAN14游戏设定</x:v>
      </x:c>
      <x:c r="K475" s="2" t="str"/>
      <x:c r="L475" s="2" t="str">
        <x:v>秦宓</x:v>
      </x:c>
      <x:c r="M475" s="2" t="str">
        <x:v>san14-candidate-0467</x:v>
      </x:c>
      <x:c r="N475" s="2" t="str">
        <x:v>秦ミツ</x:v>
      </x:c>
      <x:c r="O475" s="2" t="str">
        <x:v>シンミツ</x:v>
      </x:c>
    </x:row>
    <x:row r="476" ht="23" customHeight="1">
      <x:c r="A476" s="13" t="n">
        <x:v>468</x:v>
      </x:c>
      <x:c r="B476" s="2" t="str">
        <x:v>秦朗</x:v>
      </x:c>
      <x:c r="C476" s="2" t="str">
        <x:v>秦朗</x:v>
      </x:c>
      <x:c r="D476" s="2" t="str"/>
      <x:c r="E476" s="13" t="n">
        <x:v>192</x:v>
      </x:c>
      <x:c r="F476" s="13" t="n">
        <x:v>211</x:v>
      </x:c>
      <x:c r="G476" s="13" t="n">
        <x:v>234</x:v>
      </x:c>
      <x:c r="H476" s="2" t="str">
        <x:f>IF(OR($E$4="",NOT(ISNUMBER($E$4)),$E$4&lt;1,$E$4&gt;400),"参考年待填",IF(OR(E476="",F476="",G476=""),"年代待核",IF($E$4&lt;E476,"未出生",IF($E$4&lt;F476,"未登场",IF($E$4&gt;G476,"已过卒年",IF($E$4=G476,"卒年边界待核","年表可登场"))))))</x:f>
        <x:v>年表可登场</x:v>
      </x:c>
      <x:c r="I476" s="12"/>
      <x:c r="J476" s="2" t="str">
        <x:v>SAN14游戏设定</x:v>
      </x:c>
      <x:c r="K476" s="2" t="str"/>
      <x:c r="L476" s="2" t="str">
        <x:v>秦朗</x:v>
      </x:c>
      <x:c r="M476" s="2" t="str">
        <x:v>san14-candidate-0468</x:v>
      </x:c>
      <x:c r="N476" s="2" t="str">
        <x:v>秦朗</x:v>
      </x:c>
      <x:c r="O476" s="2" t="str">
        <x:v>シンロウ</x:v>
      </x:c>
    </x:row>
    <x:row r="477" ht="23" customHeight="1">
      <x:c r="A477" s="13" t="n">
        <x:v>469</x:v>
      </x:c>
      <x:c r="B477" s="2" t="str">
        <x:v>眭元进</x:v>
      </x:c>
      <x:c r="C477" s="2" t="str">
        <x:v>眭元進</x:v>
      </x:c>
      <x:c r="D477" s="2" t="str"/>
      <x:c r="E477" s="13" t="n">
        <x:v>155</x:v>
      </x:c>
      <x:c r="F477" s="13" t="n">
        <x:v>184</x:v>
      </x:c>
      <x:c r="G477" s="13" t="n">
        <x:v>200</x:v>
      </x:c>
      <x:c r="H477" s="2" t="str">
        <x:f>IF(OR($E$4="",NOT(ISNUMBER($E$4)),$E$4&lt;1,$E$4&gt;400),"参考年待填",IF(OR(E477="",F477="",G477=""),"年代待核",IF($E$4&lt;E477,"未出生",IF($E$4&lt;F477,"未登场",IF($E$4&gt;G477,"已过卒年",IF($E$4=G477,"卒年边界待核","年表可登场"))))))</x:f>
        <x:v>已过卒年</x:v>
      </x:c>
      <x:c r="I477" s="12"/>
      <x:c r="J477" s="2" t="str">
        <x:v>SAN14游戏设定</x:v>
      </x:c>
      <x:c r="K477" s="2" t="str"/>
      <x:c r="L477" s="2" t="str">
        <x:v>眭元進</x:v>
      </x:c>
      <x:c r="M477" s="2" t="str">
        <x:v>san14-candidate-0469</x:v>
      </x:c>
      <x:c r="N477" s="2" t="str">
        <x:v>スイ元進</x:v>
      </x:c>
      <x:c r="O477" s="2" t="str">
        <x:v>スイゲンシン</x:v>
      </x:c>
    </x:row>
    <x:row r="478" ht="23" customHeight="1">
      <x:c r="A478" s="13" t="n">
        <x:v>470</x:v>
      </x:c>
      <x:c r="B478" s="2" t="str">
        <x:v>眭固</x:v>
      </x:c>
      <x:c r="C478" s="2" t="str">
        <x:v>眭固</x:v>
      </x:c>
      <x:c r="D478" s="2" t="str"/>
      <x:c r="E478" s="13" t="n">
        <x:v>151</x:v>
      </x:c>
      <x:c r="F478" s="13" t="n">
        <x:v>184</x:v>
      </x:c>
      <x:c r="G478" s="13" t="n">
        <x:v>199</x:v>
      </x:c>
      <x:c r="H478" s="2" t="str">
        <x:f>IF(OR($E$4="",NOT(ISNUMBER($E$4)),$E$4&lt;1,$E$4&gt;400),"参考年待填",IF(OR(E478="",F478="",G478=""),"年代待核",IF($E$4&lt;E478,"未出生",IF($E$4&lt;F478,"未登场",IF($E$4&gt;G478,"已过卒年",IF($E$4=G478,"卒年边界待核","年表可登场"))))))</x:f>
        <x:v>已过卒年</x:v>
      </x:c>
      <x:c r="I478" s="12"/>
      <x:c r="J478" s="2" t="str">
        <x:v>SAN14游戏设定</x:v>
      </x:c>
      <x:c r="K478" s="2" t="str"/>
      <x:c r="L478" s="2" t="str">
        <x:v>眭固</x:v>
      </x:c>
      <x:c r="M478" s="2" t="str">
        <x:v>san14-candidate-0470</x:v>
      </x:c>
      <x:c r="N478" s="2" t="str">
        <x:v>スイ固</x:v>
      </x:c>
      <x:c r="O478" s="2" t="str">
        <x:v>スイコ</x:v>
      </x:c>
    </x:row>
    <x:row r="479" ht="23" customHeight="1">
      <x:c r="A479" s="13" t="n">
        <x:v>471</x:v>
      </x:c>
      <x:c r="B479" s="2" t="str">
        <x:v>邹氏</x:v>
      </x:c>
      <x:c r="C479" s="2" t="str">
        <x:v>鄒氏</x:v>
      </x:c>
      <x:c r="D479" s="2" t="str"/>
      <x:c r="E479" s="13" t="n">
        <x:v>165</x:v>
      </x:c>
      <x:c r="F479" s="13" t="n">
        <x:v>184</x:v>
      </x:c>
      <x:c r="G479" s="13" t="n">
        <x:v>197</x:v>
      </x:c>
      <x:c r="H479" s="2" t="str">
        <x:f>IF(OR($E$4="",NOT(ISNUMBER($E$4)),$E$4&lt;1,$E$4&gt;400),"参考年待填",IF(OR(E479="",F479="",G479=""),"年代待核",IF($E$4&lt;E479,"未出生",IF($E$4&lt;F479,"未登场",IF($E$4&gt;G479,"已过卒年",IF($E$4=G479,"卒年边界待核","年表可登场"))))))</x:f>
        <x:v>已过卒年</x:v>
      </x:c>
      <x:c r="I479" s="12"/>
      <x:c r="J479" s="2" t="str">
        <x:v>SAN14游戏设定</x:v>
      </x:c>
      <x:c r="K479" s="2" t="str"/>
      <x:c r="L479" s="2" t="str">
        <x:v>鄒氏</x:v>
      </x:c>
      <x:c r="M479" s="2" t="str">
        <x:v>san14-candidate-0471</x:v>
      </x:c>
      <x:c r="N479" s="2" t="str">
        <x:v>鄒氏</x:v>
      </x:c>
      <x:c r="O479" s="2" t="str">
        <x:v>スウシ</x:v>
      </x:c>
    </x:row>
    <x:row r="480" ht="23" customHeight="1">
      <x:c r="A480" s="13" t="n">
        <x:v>472</x:v>
      </x:c>
      <x:c r="B480" s="2" t="str">
        <x:v>邹靖</x:v>
      </x:c>
      <x:c r="C480" s="2" t="str">
        <x:v>鄒靖</x:v>
      </x:c>
      <x:c r="D480" s="2" t="str"/>
      <x:c r="E480" s="13" t="n">
        <x:v>144</x:v>
      </x:c>
      <x:c r="F480" s="13" t="n">
        <x:v>184</x:v>
      </x:c>
      <x:c r="G480" s="13" t="n">
        <x:v>193</x:v>
      </x:c>
      <x:c r="H480" s="2" t="str">
        <x:f>IF(OR($E$4="",NOT(ISNUMBER($E$4)),$E$4&lt;1,$E$4&gt;400),"参考年待填",IF(OR(E480="",F480="",G480=""),"年代待核",IF($E$4&lt;E480,"未出生",IF($E$4&lt;F480,"未登场",IF($E$4&gt;G480,"已过卒年",IF($E$4=G480,"卒年边界待核","年表可登场"))))))</x:f>
        <x:v>已过卒年</x:v>
      </x:c>
      <x:c r="I480" s="12"/>
      <x:c r="J480" s="2" t="str">
        <x:v>SAN14游戏设定</x:v>
      </x:c>
      <x:c r="K480" s="2" t="str"/>
      <x:c r="L480" s="2" t="str">
        <x:v>鄒靖</x:v>
      </x:c>
      <x:c r="M480" s="2" t="str">
        <x:v>san14-candidate-0472</x:v>
      </x:c>
      <x:c r="N480" s="2" t="str">
        <x:v>鄒靖</x:v>
      </x:c>
      <x:c r="O480" s="2" t="str">
        <x:v>スウセイ</x:v>
      </x:c>
    </x:row>
    <x:row r="481" ht="23" customHeight="1">
      <x:c r="A481" s="13" t="n">
        <x:v>473</x:v>
      </x:c>
      <x:c r="B481" s="2" t="str">
        <x:v>邹丹</x:v>
      </x:c>
      <x:c r="C481" s="2" t="str">
        <x:v>鄒丹</x:v>
      </x:c>
      <x:c r="D481" s="2" t="str"/>
      <x:c r="E481" s="13" t="n">
        <x:v>148</x:v>
      </x:c>
      <x:c r="F481" s="13" t="n">
        <x:v>184</x:v>
      </x:c>
      <x:c r="G481" s="13" t="n">
        <x:v>195</x:v>
      </x:c>
      <x:c r="H481" s="2" t="str">
        <x:f>IF(OR($E$4="",NOT(ISNUMBER($E$4)),$E$4&lt;1,$E$4&gt;400),"参考年待填",IF(OR(E481="",F481="",G481=""),"年代待核",IF($E$4&lt;E481,"未出生",IF($E$4&lt;F481,"未登场",IF($E$4&gt;G481,"已过卒年",IF($E$4=G481,"卒年边界待核","年表可登场"))))))</x:f>
        <x:v>已过卒年</x:v>
      </x:c>
      <x:c r="I481" s="12"/>
      <x:c r="J481" s="2" t="str">
        <x:v>SAN14游戏设定</x:v>
      </x:c>
      <x:c r="K481" s="2" t="str"/>
      <x:c r="L481" s="2" t="str">
        <x:v>鄒丹</x:v>
      </x:c>
      <x:c r="M481" s="2" t="str">
        <x:v>san14-candidate-0473</x:v>
      </x:c>
      <x:c r="N481" s="2" t="str">
        <x:v>鄒丹</x:v>
      </x:c>
      <x:c r="O481" s="2" t="str">
        <x:v>スウタン</x:v>
      </x:c>
    </x:row>
    <x:row r="482" ht="23" customHeight="1">
      <x:c r="A482" s="13" t="n">
        <x:v>474</x:v>
      </x:c>
      <x:c r="B482" s="2" t="str">
        <x:v>成宜</x:v>
      </x:c>
      <x:c r="C482" s="2" t="str">
        <x:v>成宜</x:v>
      </x:c>
      <x:c r="D482" s="2" t="str"/>
      <x:c r="E482" s="13" t="n">
        <x:v>168</x:v>
      </x:c>
      <x:c r="F482" s="13" t="n">
        <x:v>184</x:v>
      </x:c>
      <x:c r="G482" s="13" t="n">
        <x:v>211</x:v>
      </x:c>
      <x:c r="H482" s="2" t="str">
        <x:f>IF(OR($E$4="",NOT(ISNUMBER($E$4)),$E$4&lt;1,$E$4&gt;400),"参考年待填",IF(OR(E482="",F482="",G482=""),"年代待核",IF($E$4&lt;E482,"未出生",IF($E$4&lt;F482,"未登场",IF($E$4&gt;G482,"已过卒年",IF($E$4=G482,"卒年边界待核","年表可登场"))))))</x:f>
        <x:v>已过卒年</x:v>
      </x:c>
      <x:c r="I482" s="12"/>
      <x:c r="J482" s="2" t="str">
        <x:v>SAN14游戏设定</x:v>
      </x:c>
      <x:c r="K482" s="2" t="str"/>
      <x:c r="L482" s="2" t="str">
        <x:v>成宜</x:v>
      </x:c>
      <x:c r="M482" s="2" t="str">
        <x:v>san14-candidate-0474</x:v>
      </x:c>
      <x:c r="N482" s="2" t="str">
        <x:v>成宜</x:v>
      </x:c>
      <x:c r="O482" s="2" t="str">
        <x:v>セイギ</x:v>
      </x:c>
    </x:row>
    <x:row r="483" ht="23" customHeight="1">
      <x:c r="A483" s="13" t="n">
        <x:v>475</x:v>
      </x:c>
      <x:c r="B483" s="2" t="str">
        <x:v>成公英</x:v>
      </x:c>
      <x:c r="C483" s="2" t="str">
        <x:v>成公英</x:v>
      </x:c>
      <x:c r="D483" s="2" t="str"/>
      <x:c r="E483" s="13" t="n">
        <x:v>172</x:v>
      </x:c>
      <x:c r="F483" s="13" t="n">
        <x:v>189</x:v>
      </x:c>
      <x:c r="G483" s="13" t="n">
        <x:v>220</x:v>
      </x:c>
      <x:c r="H483" s="2" t="str">
        <x:f>IF(OR($E$4="",NOT(ISNUMBER($E$4)),$E$4&lt;1,$E$4&gt;400),"参考年待填",IF(OR(E483="",F483="",G483=""),"年代待核",IF($E$4&lt;E483,"未出生",IF($E$4&lt;F483,"未登场",IF($E$4&gt;G483,"已过卒年",IF($E$4=G483,"卒年边界待核","年表可登场"))))))</x:f>
        <x:v>已过卒年</x:v>
      </x:c>
      <x:c r="I483" s="12"/>
      <x:c r="J483" s="2" t="str">
        <x:v>SAN14游戏设定</x:v>
      </x:c>
      <x:c r="K483" s="2" t="str"/>
      <x:c r="L483" s="2" t="str">
        <x:v>成公英</x:v>
      </x:c>
      <x:c r="M483" s="2" t="str">
        <x:v>san14-candidate-0475</x:v>
      </x:c>
      <x:c r="N483" s="2" t="str">
        <x:v>成公英</x:v>
      </x:c>
      <x:c r="O483" s="2" t="str">
        <x:v>セイコウエイ</x:v>
      </x:c>
    </x:row>
    <x:row r="484" ht="23" customHeight="1">
      <x:c r="A484" s="13" t="n">
        <x:v>476</x:v>
      </x:c>
      <x:c r="B484" s="2" t="str">
        <x:v>盛曼</x:v>
      </x:c>
      <x:c r="C484" s="2" t="str">
        <x:v>盛曼</x:v>
      </x:c>
      <x:c r="D484" s="2" t="str"/>
      <x:c r="E484" s="13" t="n">
        <x:v>225</x:v>
      </x:c>
      <x:c r="F484" s="13" t="n">
        <x:v>244</x:v>
      </x:c>
      <x:c r="G484" s="13" t="n">
        <x:v>276</x:v>
      </x:c>
      <x:c r="H484" s="2" t="str">
        <x:f>IF(OR($E$4="",NOT(ISNUMBER($E$4)),$E$4&lt;1,$E$4&gt;400),"参考年待填",IF(OR(E484="",F484="",G484=""),"年代待核",IF($E$4&lt;E484,"未出生",IF($E$4&lt;F484,"未登场",IF($E$4&gt;G484,"已过卒年",IF($E$4=G484,"卒年边界待核","年表可登场"))))))</x:f>
        <x:v>未登场</x:v>
      </x:c>
      <x:c r="I484" s="12"/>
      <x:c r="J484" s="2" t="str">
        <x:v>SAN14游戏设定</x:v>
      </x:c>
      <x:c r="K484" s="2" t="str"/>
      <x:c r="L484" s="2" t="str">
        <x:v>盛曼</x:v>
      </x:c>
      <x:c r="M484" s="2" t="str">
        <x:v>san14-candidate-0476</x:v>
      </x:c>
      <x:c r="N484" s="2" t="str">
        <x:v>盛曼</x:v>
      </x:c>
      <x:c r="O484" s="2" t="str">
        <x:v>セイマン</x:v>
      </x:c>
    </x:row>
    <x:row r="485" ht="23" customHeight="1">
      <x:c r="A485" s="13" t="n">
        <x:v>477</x:v>
      </x:c>
      <x:c r="B485" s="2" t="str">
        <x:v>成廉</x:v>
      </x:c>
      <x:c r="C485" s="2" t="str">
        <x:v>成廉</x:v>
      </x:c>
      <x:c r="D485" s="2" t="str"/>
      <x:c r="E485" s="13" t="n">
        <x:v>166</x:v>
      </x:c>
      <x:c r="F485" s="13" t="n">
        <x:v>190</x:v>
      </x:c>
      <x:c r="G485" s="13" t="n">
        <x:v>198</x:v>
      </x:c>
      <x:c r="H485" s="2" t="str">
        <x:f>IF(OR($E$4="",NOT(ISNUMBER($E$4)),$E$4&lt;1,$E$4&gt;400),"参考年待填",IF(OR(E485="",F485="",G485=""),"年代待核",IF($E$4&lt;E485,"未出生",IF($E$4&lt;F485,"未登场",IF($E$4&gt;G485,"已过卒年",IF($E$4=G485,"卒年边界待核","年表可登场"))))))</x:f>
        <x:v>已过卒年</x:v>
      </x:c>
      <x:c r="I485" s="12"/>
      <x:c r="J485" s="2" t="str">
        <x:v>SAN14游戏设定</x:v>
      </x:c>
      <x:c r="K485" s="2" t="str"/>
      <x:c r="L485" s="2" t="str">
        <x:v>成廉</x:v>
      </x:c>
      <x:c r="M485" s="2" t="str">
        <x:v>san14-candidate-0477</x:v>
      </x:c>
      <x:c r="N485" s="2" t="str">
        <x:v>成廉</x:v>
      </x:c>
      <x:c r="O485" s="2" t="str">
        <x:v>セイレン</x:v>
      </x:c>
    </x:row>
    <x:row r="486" ht="23" customHeight="1">
      <x:c r="A486" s="13" t="n">
        <x:v>478</x:v>
      </x:c>
      <x:c r="B486" s="2" t="str">
        <x:v>石鉴</x:v>
      </x:c>
      <x:c r="C486" s="2" t="str">
        <x:v>石鑒</x:v>
      </x:c>
      <x:c r="D486" s="2" t="str"/>
      <x:c r="E486" s="13" t="n">
        <x:v>214</x:v>
      </x:c>
      <x:c r="F486" s="13" t="n">
        <x:v>233</x:v>
      </x:c>
      <x:c r="G486" s="13" t="n">
        <x:v>294</x:v>
      </x:c>
      <x:c r="H486" s="2" t="str">
        <x:f>IF(OR($E$4="",NOT(ISNUMBER($E$4)),$E$4&lt;1,$E$4&gt;400),"参考年待填",IF(OR(E486="",F486="",G486=""),"年代待核",IF($E$4&lt;E486,"未出生",IF($E$4&lt;F486,"未登场",IF($E$4&gt;G486,"已过卒年",IF($E$4=G486,"卒年边界待核","年表可登场"))))))</x:f>
        <x:v>未登场</x:v>
      </x:c>
      <x:c r="I486" s="12"/>
      <x:c r="J486" s="2" t="str">
        <x:v>SAN14游戏设定</x:v>
      </x:c>
      <x:c r="K486" s="2" t="str"/>
      <x:c r="L486" s="2" t="str">
        <x:v>石鑒</x:v>
      </x:c>
      <x:c r="M486" s="2" t="str">
        <x:v>san14-candidate-0478</x:v>
      </x:c>
      <x:c r="N486" s="2" t="str">
        <x:v>石鑒</x:v>
      </x:c>
      <x:c r="O486" s="2" t="str">
        <x:v>セキカン</x:v>
      </x:c>
    </x:row>
    <x:row r="487" ht="23" customHeight="1">
      <x:c r="A487" s="13" t="n">
        <x:v>479</x:v>
      </x:c>
      <x:c r="B487" s="2" t="str">
        <x:v>石韬</x:v>
      </x:c>
      <x:c r="C487" s="2" t="str">
        <x:v>石韜</x:v>
      </x:c>
      <x:c r="D487" s="2" t="str"/>
      <x:c r="E487" s="13" t="n">
        <x:v>176</x:v>
      </x:c>
      <x:c r="F487" s="13" t="n">
        <x:v>207</x:v>
      </x:c>
      <x:c r="G487" s="13" t="n">
        <x:v>236</x:v>
      </x:c>
      <x:c r="H487" s="2" t="str">
        <x:f>IF(OR($E$4="",NOT(ISNUMBER($E$4)),$E$4&lt;1,$E$4&gt;400),"参考年待填",IF(OR(E487="",F487="",G487=""),"年代待核",IF($E$4&lt;E487,"未出生",IF($E$4&lt;F487,"未登场",IF($E$4&gt;G487,"已过卒年",IF($E$4=G487,"卒年边界待核","年表可登场"))))))</x:f>
        <x:v>年表可登场</x:v>
      </x:c>
      <x:c r="I487" s="12"/>
      <x:c r="J487" s="2" t="str">
        <x:v>SAN14游戏设定</x:v>
      </x:c>
      <x:c r="K487" s="2" t="str"/>
      <x:c r="L487" s="2" t="str">
        <x:v>石韜</x:v>
      </x:c>
      <x:c r="M487" s="2" t="str">
        <x:v>san14-candidate-0479</x:v>
      </x:c>
      <x:c r="N487" s="2" t="str">
        <x:v>石韜</x:v>
      </x:c>
      <x:c r="O487" s="2" t="str">
        <x:v>セキトウ</x:v>
      </x:c>
    </x:row>
    <x:row r="488" ht="23" customHeight="1">
      <x:c r="A488" s="13" t="n">
        <x:v>480</x:v>
      </x:c>
      <x:c r="B488" s="2" t="str">
        <x:v>石苞</x:v>
      </x:c>
      <x:c r="C488" s="2" t="str">
        <x:v>石苞</x:v>
      </x:c>
      <x:c r="D488" s="2" t="str"/>
      <x:c r="E488" s="13" t="n">
        <x:v>214</x:v>
      </x:c>
      <x:c r="F488" s="13" t="n">
        <x:v>233</x:v>
      </x:c>
      <x:c r="G488" s="13" t="n">
        <x:v>272</x:v>
      </x:c>
      <x:c r="H488" s="2" t="str">
        <x:f>IF(OR($E$4="",NOT(ISNUMBER($E$4)),$E$4&lt;1,$E$4&gt;400),"参考年待填",IF(OR(E488="",F488="",G488=""),"年代待核",IF($E$4&lt;E488,"未出生",IF($E$4&lt;F488,"未登场",IF($E$4&gt;G488,"已过卒年",IF($E$4=G488,"卒年边界待核","年表可登场"))))))</x:f>
        <x:v>未登场</x:v>
      </x:c>
      <x:c r="I488" s="12"/>
      <x:c r="J488" s="2" t="str">
        <x:v>SAN14游戏设定</x:v>
      </x:c>
      <x:c r="K488" s="2" t="str"/>
      <x:c r="L488" s="2" t="str">
        <x:v>石苞</x:v>
      </x:c>
      <x:c r="M488" s="2" t="str">
        <x:v>san14-candidate-0480</x:v>
      </x:c>
      <x:c r="N488" s="2" t="str">
        <x:v>石苞</x:v>
      </x:c>
      <x:c r="O488" s="2" t="str">
        <x:v>セキホウ</x:v>
      </x:c>
    </x:row>
    <x:row r="489" ht="23" customHeight="1">
      <x:c r="A489" s="13" t="n">
        <x:v>481</x:v>
      </x:c>
      <x:c r="B489" s="2" t="str">
        <x:v>薛莹</x:v>
      </x:c>
      <x:c r="C489" s="2" t="str">
        <x:v>薛瑩</x:v>
      </x:c>
      <x:c r="D489" s="2" t="str"/>
      <x:c r="E489" s="13" t="n">
        <x:v>223</x:v>
      </x:c>
      <x:c r="F489" s="13" t="n">
        <x:v>237</x:v>
      </x:c>
      <x:c r="G489" s="13" t="n">
        <x:v>282</x:v>
      </x:c>
      <x:c r="H489" s="2" t="str">
        <x:f>IF(OR($E$4="",NOT(ISNUMBER($E$4)),$E$4&lt;1,$E$4&gt;400),"参考年待填",IF(OR(E489="",F489="",G489=""),"年代待核",IF($E$4&lt;E489,"未出生",IF($E$4&lt;F489,"未登场",IF($E$4&gt;G489,"已过卒年",IF($E$4=G489,"卒年边界待核","年表可登场"))))))</x:f>
        <x:v>未登场</x:v>
      </x:c>
      <x:c r="I489" s="12"/>
      <x:c r="J489" s="2" t="str">
        <x:v>SAN14游戏设定</x:v>
      </x:c>
      <x:c r="K489" s="2" t="str"/>
      <x:c r="L489" s="2" t="str">
        <x:v>薛瑩</x:v>
      </x:c>
      <x:c r="M489" s="2" t="str">
        <x:v>san14-candidate-0481</x:v>
      </x:c>
      <x:c r="N489" s="2" t="str">
        <x:v>薛瑩</x:v>
      </x:c>
      <x:c r="O489" s="2" t="str">
        <x:v>セツエイ</x:v>
      </x:c>
    </x:row>
    <x:row r="490" ht="23" customHeight="1">
      <x:c r="A490" s="13" t="n">
        <x:v>482</x:v>
      </x:c>
      <x:c r="B490" s="2" t="str">
        <x:v>泄归泥</x:v>
      </x:c>
      <x:c r="C490" s="2" t="str">
        <x:v>泄歸泥</x:v>
      </x:c>
      <x:c r="D490" s="2" t="str"/>
      <x:c r="E490" s="13" t="n">
        <x:v>192</x:v>
      </x:c>
      <x:c r="F490" s="13" t="n">
        <x:v>211</x:v>
      </x:c>
      <x:c r="G490" s="13" t="n">
        <x:v>255</x:v>
      </x:c>
      <x:c r="H490" s="2" t="str">
        <x:f>IF(OR($E$4="",NOT(ISNUMBER($E$4)),$E$4&lt;1,$E$4&gt;400),"参考年待填",IF(OR(E490="",F490="",G490=""),"年代待核",IF($E$4&lt;E490,"未出生",IF($E$4&lt;F490,"未登场",IF($E$4&gt;G490,"已过卒年",IF($E$4=G490,"卒年边界待核","年表可登场"))))))</x:f>
        <x:v>年表可登场</x:v>
      </x:c>
      <x:c r="I490" s="12"/>
      <x:c r="J490" s="2" t="str">
        <x:v>SAN14游戏设定</x:v>
      </x:c>
      <x:c r="K490" s="2" t="str"/>
      <x:c r="L490" s="2" t="str">
        <x:v>泄歸泥</x:v>
      </x:c>
      <x:c r="M490" s="2" t="str">
        <x:v>san14-candidate-0482</x:v>
      </x:c>
      <x:c r="N490" s="2" t="str">
        <x:v>泄帰泥</x:v>
      </x:c>
      <x:c r="O490" s="2" t="str">
        <x:v>セツキデイ</x:v>
      </x:c>
    </x:row>
    <x:row r="491" ht="23" customHeight="1">
      <x:c r="A491" s="13" t="n">
        <x:v>483</x:v>
      </x:c>
      <x:c r="B491" s="2" t="str">
        <x:v>薛珝</x:v>
      </x:c>
      <x:c r="C491" s="2" t="str">
        <x:v>薛珝</x:v>
      </x:c>
      <x:c r="D491" s="2" t="str"/>
      <x:c r="E491" s="13" t="n">
        <x:v>221</x:v>
      </x:c>
      <x:c r="F491" s="13" t="n">
        <x:v>235</x:v>
      </x:c>
      <x:c r="G491" s="13" t="n">
        <x:v>271</x:v>
      </x:c>
      <x:c r="H491" s="2" t="str">
        <x:f>IF(OR($E$4="",NOT(ISNUMBER($E$4)),$E$4&lt;1,$E$4&gt;400),"参考年待填",IF(OR(E491="",F491="",G491=""),"年代待核",IF($E$4&lt;E491,"未出生",IF($E$4&lt;F491,"未登场",IF($E$4&gt;G491,"已过卒年",IF($E$4=G491,"卒年边界待核","年表可登场"))))))</x:f>
        <x:v>未登场</x:v>
      </x:c>
      <x:c r="I491" s="12"/>
      <x:c r="J491" s="2" t="str">
        <x:v>SAN14游戏设定</x:v>
      </x:c>
      <x:c r="K491" s="2" t="str"/>
      <x:c r="L491" s="2" t="str">
        <x:v>薛珝</x:v>
      </x:c>
      <x:c r="M491" s="2" t="str">
        <x:v>san14-candidate-0483</x:v>
      </x:c>
      <x:c r="N491" s="2" t="str">
        <x:v>薛ツク</x:v>
      </x:c>
      <x:c r="O491" s="2" t="str">
        <x:v>セツク</x:v>
      </x:c>
    </x:row>
    <x:row r="492" ht="23" customHeight="1">
      <x:c r="A492" s="13" t="n">
        <x:v>484</x:v>
      </x:c>
      <x:c r="B492" s="2" t="str">
        <x:v>薛综</x:v>
      </x:c>
      <x:c r="C492" s="2" t="str">
        <x:v>薛綜</x:v>
      </x:c>
      <x:c r="D492" s="2" t="str"/>
      <x:c r="E492" s="13" t="n">
        <x:v>187</x:v>
      </x:c>
      <x:c r="F492" s="13" t="n">
        <x:v>206</x:v>
      </x:c>
      <x:c r="G492" s="13" t="n">
        <x:v>243</x:v>
      </x:c>
      <x:c r="H492" s="2" t="str">
        <x:f>IF(OR($E$4="",NOT(ISNUMBER($E$4)),$E$4&lt;1,$E$4&gt;400),"参考年待填",IF(OR(E492="",F492="",G492=""),"年代待核",IF($E$4&lt;E492,"未出生",IF($E$4&lt;F492,"未登场",IF($E$4&gt;G492,"已过卒年",IF($E$4=G492,"卒年边界待核","年表可登场"))))))</x:f>
        <x:v>年表可登场</x:v>
      </x:c>
      <x:c r="I492" s="12"/>
      <x:c r="J492" s="2" t="str">
        <x:v>SAN14游戏设定</x:v>
      </x:c>
      <x:c r="K492" s="2" t="str"/>
      <x:c r="L492" s="2" t="str">
        <x:v>薛綜</x:v>
      </x:c>
      <x:c r="M492" s="2" t="str">
        <x:v>san14-candidate-0484</x:v>
      </x:c>
      <x:c r="N492" s="2" t="str">
        <x:v>薛綜</x:v>
      </x:c>
      <x:c r="O492" s="2" t="str">
        <x:v>セツソウ</x:v>
      </x:c>
    </x:row>
    <x:row r="493" ht="23" customHeight="1">
      <x:c r="A493" s="13" t="n">
        <x:v>485</x:v>
      </x:c>
      <x:c r="B493" s="2" t="str">
        <x:v>薛悌</x:v>
      </x:c>
      <x:c r="C493" s="2" t="str">
        <x:v>薛悌</x:v>
      </x:c>
      <x:c r="D493" s="2" t="str"/>
      <x:c r="E493" s="13" t="n">
        <x:v>173</x:v>
      </x:c>
      <x:c r="F493" s="13" t="n">
        <x:v>192</x:v>
      </x:c>
      <x:c r="G493" s="13" t="n">
        <x:v>240</x:v>
      </x:c>
      <x:c r="H493" s="2" t="str">
        <x:f>IF(OR($E$4="",NOT(ISNUMBER($E$4)),$E$4&lt;1,$E$4&gt;400),"参考年待填",IF(OR(E493="",F493="",G493=""),"年代待核",IF($E$4&lt;E493,"未出生",IF($E$4&lt;F493,"未登场",IF($E$4&gt;G493,"已过卒年",IF($E$4=G493,"卒年边界待核","年表可登场"))))))</x:f>
        <x:v>年表可登场</x:v>
      </x:c>
      <x:c r="I493" s="12"/>
      <x:c r="J493" s="2" t="str">
        <x:v>SAN14游戏设定</x:v>
      </x:c>
      <x:c r="K493" s="2" t="str"/>
      <x:c r="L493" s="2" t="str">
        <x:v>薛悌</x:v>
      </x:c>
      <x:c r="M493" s="2" t="str">
        <x:v>san14-candidate-0485</x:v>
      </x:c>
      <x:c r="N493" s="2" t="str">
        <x:v>薛悌</x:v>
      </x:c>
      <x:c r="O493" s="2" t="str">
        <x:v>セツテイ</x:v>
      </x:c>
    </x:row>
    <x:row r="494" ht="23" customHeight="1">
      <x:c r="A494" s="13" t="n">
        <x:v>486</x:v>
      </x:c>
      <x:c r="B494" s="2" t="str">
        <x:v>薛兰</x:v>
      </x:c>
      <x:c r="C494" s="2" t="str">
        <x:v>薛蘭</x:v>
      </x:c>
      <x:c r="D494" s="2" t="str"/>
      <x:c r="E494" s="13" t="n">
        <x:v>160</x:v>
      </x:c>
      <x:c r="F494" s="13" t="n">
        <x:v>191</x:v>
      </x:c>
      <x:c r="G494" s="13" t="n">
        <x:v>195</x:v>
      </x:c>
      <x:c r="H494" s="2" t="str">
        <x:f>IF(OR($E$4="",NOT(ISNUMBER($E$4)),$E$4&lt;1,$E$4&gt;400),"参考年待填",IF(OR(E494="",F494="",G494=""),"年代待核",IF($E$4&lt;E494,"未出生",IF($E$4&lt;F494,"未登场",IF($E$4&gt;G494,"已过卒年",IF($E$4=G494,"卒年边界待核","年表可登场"))))))</x:f>
        <x:v>已过卒年</x:v>
      </x:c>
      <x:c r="I494" s="12"/>
      <x:c r="J494" s="2" t="str">
        <x:v>SAN14游戏设定</x:v>
      </x:c>
      <x:c r="K494" s="2" t="str"/>
      <x:c r="L494" s="2" t="str">
        <x:v>薛蘭</x:v>
      </x:c>
      <x:c r="M494" s="2" t="str">
        <x:v>san14-candidate-0486</x:v>
      </x:c>
      <x:c r="N494" s="2" t="str">
        <x:v>薛蘭</x:v>
      </x:c>
      <x:c r="O494" s="2" t="str">
        <x:v>セツラン</x:v>
      </x:c>
    </x:row>
    <x:row r="495" ht="23" customHeight="1">
      <x:c r="A495" s="13" t="n">
        <x:v>487</x:v>
      </x:c>
      <x:c r="B495" s="2" t="str">
        <x:v>薛礼</x:v>
      </x:c>
      <x:c r="C495" s="2" t="str">
        <x:v>薛禮</x:v>
      </x:c>
      <x:c r="D495" s="2" t="str"/>
      <x:c r="E495" s="13" t="n">
        <x:v>157</x:v>
      </x:c>
      <x:c r="F495" s="13" t="n">
        <x:v>184</x:v>
      </x:c>
      <x:c r="G495" s="13" t="n">
        <x:v>195</x:v>
      </x:c>
      <x:c r="H495" s="2" t="str">
        <x:f>IF(OR($E$4="",NOT(ISNUMBER($E$4)),$E$4&lt;1,$E$4&gt;400),"参考年待填",IF(OR(E495="",F495="",G495=""),"年代待核",IF($E$4&lt;E495,"未出生",IF($E$4&lt;F495,"未登场",IF($E$4&gt;G495,"已过卒年",IF($E$4=G495,"卒年边界待核","年表可登场"))))))</x:f>
        <x:v>已过卒年</x:v>
      </x:c>
      <x:c r="I495" s="12"/>
      <x:c r="J495" s="2" t="str">
        <x:v>SAN14游戏设定</x:v>
      </x:c>
      <x:c r="K495" s="2" t="str"/>
      <x:c r="L495" s="2" t="str">
        <x:v>薛禮</x:v>
      </x:c>
      <x:c r="M495" s="2" t="str">
        <x:v>san14-candidate-0487</x:v>
      </x:c>
      <x:c r="N495" s="2" t="str">
        <x:v>薛礼</x:v>
      </x:c>
      <x:c r="O495" s="2" t="str">
        <x:v>セツレイ</x:v>
      </x:c>
    </x:row>
    <x:row r="496" ht="23" customHeight="1">
      <x:c r="A496" s="13" t="n">
        <x:v>488</x:v>
      </x:c>
      <x:c r="B496" s="2" t="str">
        <x:v>全祎</x:v>
      </x:c>
      <x:c r="C496" s="2" t="str">
        <x:v>全禕</x:v>
      </x:c>
      <x:c r="D496" s="2" t="str"/>
      <x:c r="E496" s="13" t="n">
        <x:v>230</x:v>
      </x:c>
      <x:c r="F496" s="13" t="n">
        <x:v>244</x:v>
      </x:c>
      <x:c r="G496" s="13" t="n">
        <x:v>274</x:v>
      </x:c>
      <x:c r="H496" s="2" t="str">
        <x:f>IF(OR($E$4="",NOT(ISNUMBER($E$4)),$E$4&lt;1,$E$4&gt;400),"参考年待填",IF(OR(E496="",F496="",G496=""),"年代待核",IF($E$4&lt;E496,"未出生",IF($E$4&lt;F496,"未登场",IF($E$4&gt;G496,"已过卒年",IF($E$4=G496,"卒年边界待核","年表可登场"))))))</x:f>
        <x:v>未登场</x:v>
      </x:c>
      <x:c r="I496" s="12"/>
      <x:c r="J496" s="2" t="str">
        <x:v>SAN14游戏设定</x:v>
      </x:c>
      <x:c r="K496" s="2" t="str"/>
      <x:c r="L496" s="2" t="str">
        <x:v>全禕</x:v>
      </x:c>
      <x:c r="M496" s="2" t="str">
        <x:v>san14-candidate-0488</x:v>
      </x:c>
      <x:c r="N496" s="2" t="str">
        <x:v>全イ</x:v>
      </x:c>
      <x:c r="O496" s="2" t="str">
        <x:v>ゼンイ</x:v>
      </x:c>
    </x:row>
    <x:row r="497" ht="23" customHeight="1">
      <x:c r="A497" s="13" t="n">
        <x:v>489</x:v>
      </x:c>
      <x:c r="B497" s="2" t="str">
        <x:v>鲜于丹</x:v>
      </x:c>
      <x:c r="C497" s="2" t="str">
        <x:v>鮮于丹</x:v>
      </x:c>
      <x:c r="D497" s="2" t="str"/>
      <x:c r="E497" s="13" t="n">
        <x:v>190</x:v>
      </x:c>
      <x:c r="F497" s="13" t="n">
        <x:v>209</x:v>
      </x:c>
      <x:c r="G497" s="13" t="n">
        <x:v>239</x:v>
      </x:c>
      <x:c r="H497" s="2" t="str">
        <x:f>IF(OR($E$4="",NOT(ISNUMBER($E$4)),$E$4&lt;1,$E$4&gt;400),"参考年待填",IF(OR(E497="",F497="",G497=""),"年代待核",IF($E$4&lt;E497,"未出生",IF($E$4&lt;F497,"未登场",IF($E$4&gt;G497,"已过卒年",IF($E$4=G497,"卒年边界待核","年表可登场"))))))</x:f>
        <x:v>年表可登场</x:v>
      </x:c>
      <x:c r="I497" s="12"/>
      <x:c r="J497" s="2" t="str">
        <x:v>SAN14游戏设定</x:v>
      </x:c>
      <x:c r="K497" s="2" t="str"/>
      <x:c r="L497" s="2" t="str">
        <x:v>鮮于丹</x:v>
      </x:c>
      <x:c r="M497" s="2" t="str">
        <x:v>san14-candidate-0489</x:v>
      </x:c>
      <x:c r="N497" s="2" t="str">
        <x:v>鮮于丹</x:v>
      </x:c>
      <x:c r="O497" s="2" t="str">
        <x:v>センウタン</x:v>
      </x:c>
    </x:row>
    <x:row r="498" ht="23" customHeight="1">
      <x:c r="A498" s="13" t="n">
        <x:v>490</x:v>
      </x:c>
      <x:c r="B498" s="2" t="str">
        <x:v>鲜于辅</x:v>
      </x:c>
      <x:c r="C498" s="2" t="str">
        <x:v>鮮于輔</x:v>
      </x:c>
      <x:c r="D498" s="2" t="str"/>
      <x:c r="E498" s="13" t="n">
        <x:v>161</x:v>
      </x:c>
      <x:c r="F498" s="13" t="n">
        <x:v>190</x:v>
      </x:c>
      <x:c r="G498" s="13" t="n">
        <x:v>229</x:v>
      </x:c>
      <x:c r="H498" s="2" t="str">
        <x:f>IF(OR($E$4="",NOT(ISNUMBER($E$4)),$E$4&lt;1,$E$4&gt;400),"参考年待填",IF(OR(E498="",F498="",G498=""),"年代待核",IF($E$4&lt;E498,"未出生",IF($E$4&lt;F498,"未登场",IF($E$4&gt;G498,"已过卒年",IF($E$4=G498,"卒年边界待核","年表可登场"))))))</x:f>
        <x:v>已过卒年</x:v>
      </x:c>
      <x:c r="I498" s="12"/>
      <x:c r="J498" s="2" t="str">
        <x:v>SAN14游戏设定</x:v>
      </x:c>
      <x:c r="K498" s="2" t="str"/>
      <x:c r="L498" s="2" t="str">
        <x:v>鮮于輔</x:v>
      </x:c>
      <x:c r="M498" s="2" t="str">
        <x:v>san14-candidate-0490</x:v>
      </x:c>
      <x:c r="N498" s="2" t="str">
        <x:v>鮮于輔</x:v>
      </x:c>
      <x:c r="O498" s="2" t="str">
        <x:v>センウホ</x:v>
      </x:c>
    </x:row>
    <x:row r="499" ht="23" customHeight="1">
      <x:c r="A499" s="13" t="n">
        <x:v>491</x:v>
      </x:c>
      <x:c r="B499" s="2" t="str">
        <x:v>全怿</x:v>
      </x:c>
      <x:c r="C499" s="2" t="str">
        <x:v>全懌</x:v>
      </x:c>
      <x:c r="D499" s="2" t="str"/>
      <x:c r="E499" s="13" t="n">
        <x:v>212</x:v>
      </x:c>
      <x:c r="F499" s="13" t="n">
        <x:v>226</x:v>
      </x:c>
      <x:c r="G499" s="13" t="n">
        <x:v>265</x:v>
      </x:c>
      <x:c r="H499" s="2" t="str">
        <x:f>IF(OR($E$4="",NOT(ISNUMBER($E$4)),$E$4&lt;1,$E$4&gt;400),"参考年待填",IF(OR(E499="",F499="",G499=""),"年代待核",IF($E$4&lt;E499,"未出生",IF($E$4&lt;F499,"未登场",IF($E$4&gt;G499,"已过卒年",IF($E$4=G499,"卒年边界待核","年表可登场"))))))</x:f>
        <x:v>年表可登场</x:v>
      </x:c>
      <x:c r="I499" s="12"/>
      <x:c r="J499" s="2" t="str">
        <x:v>SAN14游戏设定</x:v>
      </x:c>
      <x:c r="K499" s="2" t="str"/>
      <x:c r="L499" s="2" t="str">
        <x:v>全懌</x:v>
      </x:c>
      <x:c r="M499" s="2" t="str">
        <x:v>san14-candidate-0491</x:v>
      </x:c>
      <x:c r="N499" s="2" t="str">
        <x:v>全懌</x:v>
      </x:c>
      <x:c r="O499" s="2" t="str">
        <x:v>ゼンエキ</x:v>
      </x:c>
    </x:row>
    <x:row r="500" ht="23" customHeight="1">
      <x:c r="A500" s="13" t="n">
        <x:v>492</x:v>
      </x:c>
      <x:c r="B500" s="2" t="str">
        <x:v>全纪</x:v>
      </x:c>
      <x:c r="C500" s="2" t="str">
        <x:v>全紀</x:v>
      </x:c>
      <x:c r="D500" s="2" t="str"/>
      <x:c r="E500" s="13" t="n">
        <x:v>231</x:v>
      </x:c>
      <x:c r="F500" s="13" t="n">
        <x:v>245</x:v>
      </x:c>
      <x:c r="G500" s="13" t="n">
        <x:v>258</x:v>
      </x:c>
      <x:c r="H500" s="2" t="str">
        <x:f>IF(OR($E$4="",NOT(ISNUMBER($E$4)),$E$4&lt;1,$E$4&gt;400),"参考年待填",IF(OR(E500="",F500="",G500=""),"年代待核",IF($E$4&lt;E500,"未出生",IF($E$4&lt;F500,"未登场",IF($E$4&gt;G500,"已过卒年",IF($E$4=G500,"卒年边界待核","年表可登场"))))))</x:f>
        <x:v>未出生</x:v>
      </x:c>
      <x:c r="I500" s="12"/>
      <x:c r="J500" s="2" t="str">
        <x:v>SAN14游戏设定</x:v>
      </x:c>
      <x:c r="K500" s="2" t="str"/>
      <x:c r="L500" s="2" t="str">
        <x:v>全紀</x:v>
      </x:c>
      <x:c r="M500" s="2" t="str">
        <x:v>san14-candidate-0492</x:v>
      </x:c>
      <x:c r="N500" s="2" t="str">
        <x:v>全紀</x:v>
      </x:c>
      <x:c r="O500" s="2" t="str">
        <x:v>ゼンキ</x:v>
      </x:c>
    </x:row>
    <x:row r="501" ht="23" customHeight="1">
      <x:c r="A501" s="13" t="n">
        <x:v>493</x:v>
      </x:c>
      <x:c r="B501" s="2" t="str">
        <x:v>单经</x:v>
      </x:c>
      <x:c r="C501" s="2" t="str">
        <x:v>單經</x:v>
      </x:c>
      <x:c r="D501" s="2" t="str"/>
      <x:c r="E501" s="13" t="n">
        <x:v>156</x:v>
      </x:c>
      <x:c r="F501" s="13" t="n">
        <x:v>184</x:v>
      </x:c>
      <x:c r="G501" s="13" t="n">
        <x:v>199</x:v>
      </x:c>
      <x:c r="H501" s="2" t="str">
        <x:f>IF(OR($E$4="",NOT(ISNUMBER($E$4)),$E$4&lt;1,$E$4&gt;400),"参考年待填",IF(OR(E501="",F501="",G501=""),"年代待核",IF($E$4&lt;E501,"未出生",IF($E$4&lt;F501,"未登场",IF($E$4&gt;G501,"已过卒年",IF($E$4=G501,"卒年边界待核","年表可登场"))))))</x:f>
        <x:v>已过卒年</x:v>
      </x:c>
      <x:c r="I501" s="12"/>
      <x:c r="J501" s="2" t="str">
        <x:v>SAN14游戏设定</x:v>
      </x:c>
      <x:c r="K501" s="2" t="str"/>
      <x:c r="L501" s="2" t="str">
        <x:v>單經</x:v>
      </x:c>
      <x:c r="M501" s="2" t="str">
        <x:v>san14-candidate-0493</x:v>
      </x:c>
      <x:c r="N501" s="2" t="str">
        <x:v>単経</x:v>
      </x:c>
      <x:c r="O501" s="2" t="str">
        <x:v>ゼンケイ</x:v>
      </x:c>
    </x:row>
    <x:row r="502" ht="23" customHeight="1">
      <x:c r="A502" s="13" t="n">
        <x:v>494</x:v>
      </x:c>
      <x:c r="B502" s="2" t="str">
        <x:v>全柔</x:v>
      </x:c>
      <x:c r="C502" s="2" t="str">
        <x:v>全柔</x:v>
      </x:c>
      <x:c r="D502" s="2" t="str"/>
      <x:c r="E502" s="13" t="n">
        <x:v>168</x:v>
      </x:c>
      <x:c r="F502" s="13" t="n">
        <x:v>187</x:v>
      </x:c>
      <x:c r="G502" s="13" t="n">
        <x:v>217</x:v>
      </x:c>
      <x:c r="H502" s="2" t="str">
        <x:f>IF(OR($E$4="",NOT(ISNUMBER($E$4)),$E$4&lt;1,$E$4&gt;400),"参考年待填",IF(OR(E502="",F502="",G502=""),"年代待核",IF($E$4&lt;E502,"未出生",IF($E$4&lt;F502,"未登场",IF($E$4&gt;G502,"已过卒年",IF($E$4=G502,"卒年边界待核","年表可登场"))))))</x:f>
        <x:v>已过卒年</x:v>
      </x:c>
      <x:c r="I502" s="12"/>
      <x:c r="J502" s="2" t="str">
        <x:v>SAN14游戏设定</x:v>
      </x:c>
      <x:c r="K502" s="2" t="str"/>
      <x:c r="L502" s="2" t="str">
        <x:v>全柔</x:v>
      </x:c>
      <x:c r="M502" s="2" t="str">
        <x:v>san14-candidate-0494</x:v>
      </x:c>
      <x:c r="N502" s="2" t="str">
        <x:v>全柔</x:v>
      </x:c>
      <x:c r="O502" s="2" t="str">
        <x:v>ゼンジュウ</x:v>
      </x:c>
    </x:row>
    <x:row r="503" ht="23" customHeight="1">
      <x:c r="A503" s="13" t="n">
        <x:v>495</x:v>
      </x:c>
      <x:c r="B503" s="2" t="str">
        <x:v>全尚</x:v>
      </x:c>
      <x:c r="C503" s="2" t="str">
        <x:v>全尚</x:v>
      </x:c>
      <x:c r="D503" s="2" t="str"/>
      <x:c r="E503" s="13" t="n">
        <x:v>208</x:v>
      </x:c>
      <x:c r="F503" s="13" t="n">
        <x:v>227</x:v>
      </x:c>
      <x:c r="G503" s="13" t="n">
        <x:v>258</x:v>
      </x:c>
      <x:c r="H503" s="2" t="str">
        <x:f>IF(OR($E$4="",NOT(ISNUMBER($E$4)),$E$4&lt;1,$E$4&gt;400),"参考年待填",IF(OR(E503="",F503="",G503=""),"年代待核",IF($E$4&lt;E503,"未出生",IF($E$4&lt;F503,"未登场",IF($E$4&gt;G503,"已过卒年",IF($E$4=G503,"卒年边界待核","年表可登场"))))))</x:f>
        <x:v>年表可登场</x:v>
      </x:c>
      <x:c r="I503" s="12"/>
      <x:c r="J503" s="2" t="str">
        <x:v>SAN14游戏设定</x:v>
      </x:c>
      <x:c r="K503" s="2" t="str"/>
      <x:c r="L503" s="2" t="str">
        <x:v>全尚</x:v>
      </x:c>
      <x:c r="M503" s="2" t="str">
        <x:v>san14-candidate-0495</x:v>
      </x:c>
      <x:c r="N503" s="2" t="str">
        <x:v>全尚</x:v>
      </x:c>
      <x:c r="O503" s="2" t="str">
        <x:v>ゼンショウ</x:v>
      </x:c>
    </x:row>
    <x:row r="504" ht="23" customHeight="1">
      <x:c r="A504" s="13" t="n">
        <x:v>496</x:v>
      </x:c>
      <x:c r="B504" s="2" t="str">
        <x:v>全琮</x:v>
      </x:c>
      <x:c r="C504" s="2" t="str">
        <x:v>全琮</x:v>
      </x:c>
      <x:c r="D504" s="2" t="str"/>
      <x:c r="E504" s="13" t="n">
        <x:v>183</x:v>
      </x:c>
      <x:c r="F504" s="13" t="n">
        <x:v>202</x:v>
      </x:c>
      <x:c r="G504" s="13" t="n">
        <x:v>249</x:v>
      </x:c>
      <x:c r="H504" s="2" t="str">
        <x:f>IF(OR($E$4="",NOT(ISNUMBER($E$4)),$E$4&lt;1,$E$4&gt;400),"参考年待填",IF(OR(E504="",F504="",G504=""),"年代待核",IF($E$4&lt;E504,"未出生",IF($E$4&lt;F504,"未登场",IF($E$4&gt;G504,"已过卒年",IF($E$4=G504,"卒年边界待核","年表可登场"))))))</x:f>
        <x:v>年表可登场</x:v>
      </x:c>
      <x:c r="I504" s="12"/>
      <x:c r="J504" s="2" t="str">
        <x:v>SAN14游戏设定</x:v>
      </x:c>
      <x:c r="K504" s="2" t="str"/>
      <x:c r="L504" s="2" t="str">
        <x:v>全琮</x:v>
      </x:c>
      <x:c r="M504" s="2" t="str">
        <x:v>san14-candidate-0496</x:v>
      </x:c>
      <x:c r="N504" s="2" t="str">
        <x:v>全琮</x:v>
      </x:c>
      <x:c r="O504" s="2" t="str">
        <x:v>ゼンソウ</x:v>
      </x:c>
    </x:row>
    <x:row r="505" ht="23" customHeight="1">
      <x:c r="A505" s="13" t="n">
        <x:v>497</x:v>
      </x:c>
      <x:c r="B505" s="2" t="str">
        <x:v>全端</x:v>
      </x:c>
      <x:c r="C505" s="2" t="str">
        <x:v>全端</x:v>
      </x:c>
      <x:c r="D505" s="2" t="str"/>
      <x:c r="E505" s="13" t="n">
        <x:v>204</x:v>
      </x:c>
      <x:c r="F505" s="13" t="n">
        <x:v>218</x:v>
      </x:c>
      <x:c r="G505" s="13" t="n">
        <x:v>261</x:v>
      </x:c>
      <x:c r="H505" s="2" t="str">
        <x:f>IF(OR($E$4="",NOT(ISNUMBER($E$4)),$E$4&lt;1,$E$4&gt;400),"参考年待填",IF(OR(E505="",F505="",G505=""),"年代待核",IF($E$4&lt;E505,"未出生",IF($E$4&lt;F505,"未登场",IF($E$4&gt;G505,"已过卒年",IF($E$4=G505,"卒年边界待核","年表可登场"))))))</x:f>
        <x:v>年表可登场</x:v>
      </x:c>
      <x:c r="I505" s="12"/>
      <x:c r="J505" s="2" t="str">
        <x:v>SAN14游戏设定</x:v>
      </x:c>
      <x:c r="K505" s="2" t="str"/>
      <x:c r="L505" s="2" t="str">
        <x:v>全端</x:v>
      </x:c>
      <x:c r="M505" s="2" t="str">
        <x:v>san14-candidate-0497</x:v>
      </x:c>
      <x:c r="N505" s="2" t="str">
        <x:v>全端</x:v>
      </x:c>
      <x:c r="O505" s="2" t="str">
        <x:v>ゼンタン</x:v>
      </x:c>
    </x:row>
    <x:row r="506" ht="23" customHeight="1">
      <x:c r="A506" s="13" t="n">
        <x:v>498</x:v>
      </x:c>
      <x:c r="B506" s="2" t="str">
        <x:v>千万</x:v>
      </x:c>
      <x:c r="C506" s="2" t="str">
        <x:v>千萬</x:v>
      </x:c>
      <x:c r="D506" s="2" t="str"/>
      <x:c r="E506" s="13" t="n">
        <x:v>174</x:v>
      </x:c>
      <x:c r="F506" s="13" t="n">
        <x:v>193</x:v>
      </x:c>
      <x:c r="G506" s="13" t="n">
        <x:v>263</x:v>
      </x:c>
      <x:c r="H506" s="2" t="str">
        <x:f>IF(OR($E$4="",NOT(ISNUMBER($E$4)),$E$4&lt;1,$E$4&gt;400),"参考年待填",IF(OR(E506="",F506="",G506=""),"年代待核",IF($E$4&lt;E506,"未出生",IF($E$4&lt;F506,"未登场",IF($E$4&gt;G506,"已过卒年",IF($E$4=G506,"卒年边界待核","年表可登场"))))))</x:f>
        <x:v>年表可登场</x:v>
      </x:c>
      <x:c r="I506" s="12"/>
      <x:c r="J506" s="2" t="str">
        <x:v>SAN14游戏设定</x:v>
      </x:c>
      <x:c r="K506" s="2" t="str"/>
      <x:c r="L506" s="2" t="str">
        <x:v>千萬</x:v>
      </x:c>
      <x:c r="M506" s="2" t="str">
        <x:v>san14-candidate-0498</x:v>
      </x:c>
      <x:c r="N506" s="2" t="str">
        <x:v>千万</x:v>
      </x:c>
      <x:c r="O506" s="2" t="str">
        <x:v>センバン</x:v>
      </x:c>
    </x:row>
    <x:row r="507" ht="23" customHeight="1">
      <x:c r="A507" s="13" t="n">
        <x:v>499</x:v>
      </x:c>
      <x:c r="B507" s="2" t="str">
        <x:v>曹安民</x:v>
      </x:c>
      <x:c r="C507" s="2" t="str">
        <x:v>曹安民</x:v>
      </x:c>
      <x:c r="D507" s="2" t="str"/>
      <x:c r="E507" s="13" t="n">
        <x:v>176</x:v>
      </x:c>
      <x:c r="F507" s="13" t="n">
        <x:v>190</x:v>
      </x:c>
      <x:c r="G507" s="13" t="n">
        <x:v>197</x:v>
      </x:c>
      <x:c r="H507" s="2" t="str">
        <x:f>IF(OR($E$4="",NOT(ISNUMBER($E$4)),$E$4&lt;1,$E$4&gt;400),"参考年待填",IF(OR(E507="",F507="",G507=""),"年代待核",IF($E$4&lt;E507,"未出生",IF($E$4&lt;F507,"未登场",IF($E$4&gt;G507,"已过卒年",IF($E$4=G507,"卒年边界待核","年表可登场"))))))</x:f>
        <x:v>已过卒年</x:v>
      </x:c>
      <x:c r="I507" s="12"/>
      <x:c r="J507" s="2" t="str">
        <x:v>SAN14游戏设定</x:v>
      </x:c>
      <x:c r="K507" s="2" t="str"/>
      <x:c r="L507" s="2" t="str">
        <x:v>曹安民</x:v>
      </x:c>
      <x:c r="M507" s="2" t="str">
        <x:v>san14-candidate-0499</x:v>
      </x:c>
      <x:c r="N507" s="2" t="str">
        <x:v>曹安民</x:v>
      </x:c>
      <x:c r="O507" s="2" t="str">
        <x:v>ソウアンミン</x:v>
      </x:c>
    </x:row>
    <x:row r="508" ht="23" customHeight="1">
      <x:c r="A508" s="13" t="n">
        <x:v>500</x:v>
      </x:c>
      <x:c r="B508" s="2" t="str">
        <x:v>曹宇</x:v>
      </x:c>
      <x:c r="C508" s="2" t="str">
        <x:v>曹宇</x:v>
      </x:c>
      <x:c r="D508" s="2" t="str"/>
      <x:c r="E508" s="13" t="n">
        <x:v>199</x:v>
      </x:c>
      <x:c r="F508" s="13" t="n">
        <x:v>213</x:v>
      </x:c>
      <x:c r="G508" s="13" t="n">
        <x:v>260</x:v>
      </x:c>
      <x:c r="H508" s="2" t="str">
        <x:f>IF(OR($E$4="",NOT(ISNUMBER($E$4)),$E$4&lt;1,$E$4&gt;400),"参考年待填",IF(OR(E508="",F508="",G508=""),"年代待核",IF($E$4&lt;E508,"未出生",IF($E$4&lt;F508,"未登场",IF($E$4&gt;G508,"已过卒年",IF($E$4=G508,"卒年边界待核","年表可登场"))))))</x:f>
        <x:v>年表可登场</x:v>
      </x:c>
      <x:c r="I508" s="12"/>
      <x:c r="J508" s="2" t="str">
        <x:v>SAN14游戏设定</x:v>
      </x:c>
      <x:c r="K508" s="2" t="str"/>
      <x:c r="L508" s="2" t="str">
        <x:v>曹宇</x:v>
      </x:c>
      <x:c r="M508" s="2" t="str">
        <x:v>san14-candidate-0500</x:v>
      </x:c>
      <x:c r="N508" s="2" t="str">
        <x:v>曹宇</x:v>
      </x:c>
      <x:c r="O508" s="2" t="str">
        <x:v>ソウウ</x:v>
      </x:c>
    </x:row>
    <x:row r="509" ht="23" customHeight="1">
      <x:c r="A509" s="13" t="n">
        <x:v>501</x:v>
      </x:c>
      <x:c r="B509" s="2" t="str">
        <x:v>曹叡</x:v>
      </x:c>
      <x:c r="C509" s="2" t="str">
        <x:v>曹叡</x:v>
      </x:c>
      <x:c r="D509" s="2" t="str"/>
      <x:c r="E509" s="13" t="n">
        <x:v>205</x:v>
      </x:c>
      <x:c r="F509" s="13" t="n">
        <x:v>219</x:v>
      </x:c>
      <x:c r="G509" s="13" t="n">
        <x:v>239</x:v>
      </x:c>
      <x:c r="H509" s="2" t="str">
        <x:f>IF(OR($E$4="",NOT(ISNUMBER($E$4)),$E$4&lt;1,$E$4&gt;400),"参考年待填",IF(OR(E509="",F509="",G509=""),"年代待核",IF($E$4&lt;E509,"未出生",IF($E$4&lt;F509,"未登场",IF($E$4&gt;G509,"已过卒年",IF($E$4=G509,"卒年边界待核","年表可登场"))))))</x:f>
        <x:v>年表可登场</x:v>
      </x:c>
      <x:c r="I509" s="12"/>
      <x:c r="J509" s="2" t="str">
        <x:v>SAN14游戏设定</x:v>
      </x:c>
      <x:c r="K509" s="2" t="str"/>
      <x:c r="L509" s="2" t="str">
        <x:v>曹叡</x:v>
      </x:c>
      <x:c r="M509" s="2" t="str">
        <x:v>san14-candidate-0501</x:v>
      </x:c>
      <x:c r="N509" s="2" t="str">
        <x:v>曹叡</x:v>
      </x:c>
      <x:c r="O509" s="2" t="str">
        <x:v>ソウエイ</x:v>
      </x:c>
    </x:row>
    <x:row r="510" ht="23" customHeight="1">
      <x:c r="A510" s="13" t="n">
        <x:v>502</x:v>
      </x:c>
      <x:c r="B510" s="2" t="str">
        <x:v>曹华</x:v>
      </x:c>
      <x:c r="C510" s="2" t="str">
        <x:v>曹華</x:v>
      </x:c>
      <x:c r="D510" s="2" t="str"/>
      <x:c r="E510" s="13" t="n">
        <x:v>199</x:v>
      </x:c>
      <x:c r="F510" s="13" t="n">
        <x:v>213</x:v>
      </x:c>
      <x:c r="G510" s="13" t="n">
        <x:v>248</x:v>
      </x:c>
      <x:c r="H510" s="2" t="str">
        <x:f>IF(OR($E$4="",NOT(ISNUMBER($E$4)),$E$4&lt;1,$E$4&gt;400),"参考年待填",IF(OR(E510="",F510="",G510=""),"年代待核",IF($E$4&lt;E510,"未出生",IF($E$4&lt;F510,"未登场",IF($E$4&gt;G510,"已过卒年",IF($E$4=G510,"卒年边界待核","年表可登场"))))))</x:f>
        <x:v>年表可登场</x:v>
      </x:c>
      <x:c r="I510" s="12"/>
      <x:c r="J510" s="2" t="str">
        <x:v>SAN14游戏设定</x:v>
      </x:c>
      <x:c r="K510" s="2" t="str"/>
      <x:c r="L510" s="2" t="str">
        <x:v>曹華</x:v>
      </x:c>
      <x:c r="M510" s="2" t="str">
        <x:v>san14-candidate-0502</x:v>
      </x:c>
      <x:c r="N510" s="2" t="str">
        <x:v>曹華</x:v>
      </x:c>
      <x:c r="O510" s="2" t="str">
        <x:v>ソウカ</x:v>
      </x:c>
    </x:row>
    <x:row r="511" ht="23" customHeight="1">
      <x:c r="A511" s="13" t="n">
        <x:v>503</x:v>
      </x:c>
      <x:c r="B511" s="2" t="str">
        <x:v>曹奂</x:v>
      </x:c>
      <x:c r="C511" s="2" t="str">
        <x:v>曹奐</x:v>
      </x:c>
      <x:c r="D511" s="2" t="str"/>
      <x:c r="E511" s="13" t="n">
        <x:v>246</x:v>
      </x:c>
      <x:c r="F511" s="13" t="n">
        <x:v>253</x:v>
      </x:c>
      <x:c r="G511" s="13" t="n">
        <x:v>302</x:v>
      </x:c>
      <x:c r="H511" s="2" t="str">
        <x:f>IF(OR($E$4="",NOT(ISNUMBER($E$4)),$E$4&lt;1,$E$4&gt;400),"参考年待填",IF(OR(E511="",F511="",G511=""),"年代待核",IF($E$4&lt;E511,"未出生",IF($E$4&lt;F511,"未登场",IF($E$4&gt;G511,"已过卒年",IF($E$4=G511,"卒年边界待核","年表可登场"))))))</x:f>
        <x:v>未出生</x:v>
      </x:c>
      <x:c r="I511" s="12"/>
      <x:c r="J511" s="2" t="str">
        <x:v>SAN14游戏设定</x:v>
      </x:c>
      <x:c r="K511" s="2" t="str"/>
      <x:c r="L511" s="2" t="str">
        <x:v>曹奐</x:v>
      </x:c>
      <x:c r="M511" s="2" t="str">
        <x:v>san14-candidate-0503</x:v>
      </x:c>
      <x:c r="N511" s="2" t="str">
        <x:v>曹奐</x:v>
      </x:c>
      <x:c r="O511" s="2" t="str">
        <x:v>ソウカン</x:v>
      </x:c>
    </x:row>
    <x:row r="512" ht="23" customHeight="1">
      <x:c r="A512" s="13" t="n">
        <x:v>504</x:v>
      </x:c>
      <x:c r="B512" s="2" t="str">
        <x:v>曹羲</x:v>
      </x:c>
      <x:c r="C512" s="2" t="str">
        <x:v>曹羲</x:v>
      </x:c>
      <x:c r="D512" s="2" t="str"/>
      <x:c r="E512" s="13" t="n">
        <x:v>210</x:v>
      </x:c>
      <x:c r="F512" s="13" t="n">
        <x:v>224</x:v>
      </x:c>
      <x:c r="G512" s="13" t="n">
        <x:v>249</x:v>
      </x:c>
      <x:c r="H512" s="2" t="str">
        <x:f>IF(OR($E$4="",NOT(ISNUMBER($E$4)),$E$4&lt;1,$E$4&gt;400),"参考年待填",IF(OR(E512="",F512="",G512=""),"年代待核",IF($E$4&lt;E512,"未出生",IF($E$4&lt;F512,"未登场",IF($E$4&gt;G512,"已过卒年",IF($E$4=G512,"卒年边界待核","年表可登场"))))))</x:f>
        <x:v>年表可登场</x:v>
      </x:c>
      <x:c r="I512" s="12"/>
      <x:c r="J512" s="2" t="str">
        <x:v>SAN14游戏设定</x:v>
      </x:c>
      <x:c r="K512" s="2" t="str"/>
      <x:c r="L512" s="2" t="str">
        <x:v>曹羲</x:v>
      </x:c>
      <x:c r="M512" s="2" t="str">
        <x:v>san14-candidate-0504</x:v>
      </x:c>
      <x:c r="N512" s="2" t="str">
        <x:v>曹羲</x:v>
      </x:c>
      <x:c r="O512" s="2" t="str">
        <x:v>ソウギ</x:v>
      </x:c>
    </x:row>
    <x:row r="513" ht="23" customHeight="1">
      <x:c r="A513" s="13" t="n">
        <x:v>505</x:v>
      </x:c>
      <x:c r="B513" s="2" t="str">
        <x:v>曹休</x:v>
      </x:c>
      <x:c r="C513" s="2" t="str">
        <x:v>曹休</x:v>
      </x:c>
      <x:c r="D513" s="2" t="str"/>
      <x:c r="E513" s="13" t="n">
        <x:v>174</x:v>
      </x:c>
      <x:c r="F513" s="13" t="n">
        <x:v>189</x:v>
      </x:c>
      <x:c r="G513" s="13" t="n">
        <x:v>228</x:v>
      </x:c>
      <x:c r="H513" s="2" t="str">
        <x:f>IF(OR($E$4="",NOT(ISNUMBER($E$4)),$E$4&lt;1,$E$4&gt;400),"参考年待填",IF(OR(E513="",F513="",G513=""),"年代待核",IF($E$4&lt;E513,"未出生",IF($E$4&lt;F513,"未登场",IF($E$4&gt;G513,"已过卒年",IF($E$4=G513,"卒年边界待核","年表可登场"))))))</x:f>
        <x:v>已过卒年</x:v>
      </x:c>
      <x:c r="I513" s="12"/>
      <x:c r="J513" s="2" t="str">
        <x:v>SAN14游戏设定</x:v>
      </x:c>
      <x:c r="K513" s="2" t="str"/>
      <x:c r="L513" s="2" t="str">
        <x:v>曹休</x:v>
      </x:c>
      <x:c r="M513" s="2" t="str">
        <x:v>san14-candidate-0505</x:v>
      </x:c>
      <x:c r="N513" s="2" t="str">
        <x:v>曹休</x:v>
      </x:c>
      <x:c r="O513" s="2" t="str">
        <x:v>ソウキュウ</x:v>
      </x:c>
    </x:row>
    <x:row r="514" ht="23" customHeight="1">
      <x:c r="A514" s="13" t="n">
        <x:v>506</x:v>
      </x:c>
      <x:c r="B514" s="2" t="str">
        <x:v>曹训</x:v>
      </x:c>
      <x:c r="C514" s="2" t="str">
        <x:v>曹訓</x:v>
      </x:c>
      <x:c r="D514" s="2" t="str"/>
      <x:c r="E514" s="13" t="n">
        <x:v>212</x:v>
      </x:c>
      <x:c r="F514" s="13" t="n">
        <x:v>226</x:v>
      </x:c>
      <x:c r="G514" s="13" t="n">
        <x:v>249</x:v>
      </x:c>
      <x:c r="H514" s="2" t="str">
        <x:f>IF(OR($E$4="",NOT(ISNUMBER($E$4)),$E$4&lt;1,$E$4&gt;400),"参考年待填",IF(OR(E514="",F514="",G514=""),"年代待核",IF($E$4&lt;E514,"未出生",IF($E$4&lt;F514,"未登场",IF($E$4&gt;G514,"已过卒年",IF($E$4=G514,"卒年边界待核","年表可登场"))))))</x:f>
        <x:v>年表可登场</x:v>
      </x:c>
      <x:c r="I514" s="12"/>
      <x:c r="J514" s="2" t="str">
        <x:v>SAN14游戏设定</x:v>
      </x:c>
      <x:c r="K514" s="2" t="str"/>
      <x:c r="L514" s="2" t="str">
        <x:v>曹訓</x:v>
      </x:c>
      <x:c r="M514" s="2" t="str">
        <x:v>san14-candidate-0506</x:v>
      </x:c>
      <x:c r="N514" s="2" t="str">
        <x:v>曹訓</x:v>
      </x:c>
      <x:c r="O514" s="2" t="str">
        <x:v>ソウクン</x:v>
      </x:c>
    </x:row>
    <x:row r="515" ht="23" customHeight="1">
      <x:c r="A515" s="13" t="n">
        <x:v>507</x:v>
      </x:c>
      <x:c r="B515" s="2" t="str">
        <x:v>宋宪</x:v>
      </x:c>
      <x:c r="C515" s="2" t="str">
        <x:v>宋憲</x:v>
      </x:c>
      <x:c r="D515" s="2" t="str"/>
      <x:c r="E515" s="13" t="n">
        <x:v>157</x:v>
      </x:c>
      <x:c r="F515" s="13" t="n">
        <x:v>184</x:v>
      </x:c>
      <x:c r="G515" s="13" t="n">
        <x:v>200</x:v>
      </x:c>
      <x:c r="H515" s="2" t="str">
        <x:f>IF(OR($E$4="",NOT(ISNUMBER($E$4)),$E$4&lt;1,$E$4&gt;400),"参考年待填",IF(OR(E515="",F515="",G515=""),"年代待核",IF($E$4&lt;E515,"未出生",IF($E$4&lt;F515,"未登场",IF($E$4&gt;G515,"已过卒年",IF($E$4=G515,"卒年边界待核","年表可登场"))))))</x:f>
        <x:v>已过卒年</x:v>
      </x:c>
      <x:c r="I515" s="12"/>
      <x:c r="J515" s="2" t="str">
        <x:v>SAN14游戏设定</x:v>
      </x:c>
      <x:c r="K515" s="2" t="str"/>
      <x:c r="L515" s="2" t="str">
        <x:v>宋憲</x:v>
      </x:c>
      <x:c r="M515" s="2" t="str">
        <x:v>san14-candidate-0507</x:v>
      </x:c>
      <x:c r="N515" s="2" t="str">
        <x:v>宋憲</x:v>
      </x:c>
      <x:c r="O515" s="2" t="str">
        <x:v>ソウケン</x:v>
      </x:c>
    </x:row>
    <x:row r="516" ht="23" customHeight="1">
      <x:c r="A516" s="13" t="n">
        <x:v>508</x:v>
      </x:c>
      <x:c r="B516" s="2" t="str">
        <x:v>宋谦</x:v>
      </x:c>
      <x:c r="C516" s="2" t="str">
        <x:v>宋謙</x:v>
      </x:c>
      <x:c r="D516" s="2" t="str"/>
      <x:c r="E516" s="13" t="n">
        <x:v>175</x:v>
      </x:c>
      <x:c r="F516" s="13" t="n">
        <x:v>194</x:v>
      </x:c>
      <x:c r="G516" s="13" t="n">
        <x:v>227</x:v>
      </x:c>
      <x:c r="H516" s="2" t="str">
        <x:f>IF(OR($E$4="",NOT(ISNUMBER($E$4)),$E$4&lt;1,$E$4&gt;400),"参考年待填",IF(OR(E516="",F516="",G516=""),"年代待核",IF($E$4&lt;E516,"未出生",IF($E$4&lt;F516,"未登场",IF($E$4&gt;G516,"已过卒年",IF($E$4=G516,"卒年边界待核","年表可登场"))))))</x:f>
        <x:v>已过卒年</x:v>
      </x:c>
      <x:c r="I516" s="12"/>
      <x:c r="J516" s="2" t="str">
        <x:v>SAN14游戏设定</x:v>
      </x:c>
      <x:c r="K516" s="2" t="str"/>
      <x:c r="L516" s="2" t="str">
        <x:v>宋謙</x:v>
      </x:c>
      <x:c r="M516" s="2" t="str">
        <x:v>san14-candidate-0508</x:v>
      </x:c>
      <x:c r="N516" s="2" t="str">
        <x:v>宋謙</x:v>
      </x:c>
      <x:c r="O516" s="2" t="str">
        <x:v>ソウケン</x:v>
      </x:c>
    </x:row>
    <x:row r="517" ht="23" customHeight="1">
      <x:c r="A517" s="13" t="n">
        <x:v>509</x:v>
      </x:c>
      <x:c r="B517" s="2" t="str">
        <x:v>曹宪</x:v>
      </x:c>
      <x:c r="C517" s="2" t="str">
        <x:v>曹憲</x:v>
      </x:c>
      <x:c r="D517" s="2" t="str"/>
      <x:c r="E517" s="13" t="n">
        <x:v>194</x:v>
      </x:c>
      <x:c r="F517" s="13" t="n">
        <x:v>208</x:v>
      </x:c>
      <x:c r="G517" s="13" t="n">
        <x:v>253</x:v>
      </x:c>
      <x:c r="H517" s="2" t="str">
        <x:f>IF(OR($E$4="",NOT(ISNUMBER($E$4)),$E$4&lt;1,$E$4&gt;400),"参考年待填",IF(OR(E517="",F517="",G517=""),"年代待核",IF($E$4&lt;E517,"未出生",IF($E$4&lt;F517,"未登场",IF($E$4&gt;G517,"已过卒年",IF($E$4=G517,"卒年边界待核","年表可登场"))))))</x:f>
        <x:v>年表可登场</x:v>
      </x:c>
      <x:c r="I517" s="12"/>
      <x:c r="J517" s="2" t="str">
        <x:v>SAN14游戏设定</x:v>
      </x:c>
      <x:c r="K517" s="2" t="str"/>
      <x:c r="L517" s="2" t="str">
        <x:v>曹憲</x:v>
      </x:c>
      <x:c r="M517" s="2" t="str">
        <x:v>san14-candidate-0509</x:v>
      </x:c>
      <x:c r="N517" s="2" t="str">
        <x:v>曹憲</x:v>
      </x:c>
      <x:c r="O517" s="2" t="str">
        <x:v>ソウケン</x:v>
      </x:c>
    </x:row>
    <x:row r="518" ht="23" customHeight="1">
      <x:c r="A518" s="13" t="n">
        <x:v>510</x:v>
      </x:c>
      <x:c r="B518" s="2" t="str">
        <x:v>曹昂</x:v>
      </x:c>
      <x:c r="C518" s="2" t="str">
        <x:v>曹昂</x:v>
      </x:c>
      <x:c r="D518" s="2" t="str"/>
      <x:c r="E518" s="13" t="n">
        <x:v>175</x:v>
      </x:c>
      <x:c r="F518" s="13" t="n">
        <x:v>189</x:v>
      </x:c>
      <x:c r="G518" s="13" t="n">
        <x:v>197</x:v>
      </x:c>
      <x:c r="H518" s="2" t="str">
        <x:f>IF(OR($E$4="",NOT(ISNUMBER($E$4)),$E$4&lt;1,$E$4&gt;400),"参考年待填",IF(OR(E518="",F518="",G518=""),"年代待核",IF($E$4&lt;E518,"未出生",IF($E$4&lt;F518,"未登场",IF($E$4&gt;G518,"已过卒年",IF($E$4=G518,"卒年边界待核","年表可登场"))))))</x:f>
        <x:v>已过卒年</x:v>
      </x:c>
      <x:c r="I518" s="12"/>
      <x:c r="J518" s="2" t="str">
        <x:v>SAN14游戏设定</x:v>
      </x:c>
      <x:c r="K518" s="2" t="str"/>
      <x:c r="L518" s="2" t="str">
        <x:v>曹昂</x:v>
      </x:c>
      <x:c r="M518" s="2" t="str">
        <x:v>san14-candidate-0510</x:v>
      </x:c>
      <x:c r="N518" s="2" t="str">
        <x:v>曹昂</x:v>
      </x:c>
      <x:c r="O518" s="2" t="str">
        <x:v>ソウコウ</x:v>
      </x:c>
    </x:row>
    <x:row r="519" ht="23" customHeight="1">
      <x:c r="A519" s="13" t="n">
        <x:v>511</x:v>
      </x:c>
      <x:c r="B519" s="2" t="str">
        <x:v>曹洪</x:v>
      </x:c>
      <x:c r="C519" s="2" t="str">
        <x:v>曹洪</x:v>
      </x:c>
      <x:c r="D519" s="2" t="str"/>
      <x:c r="E519" s="13" t="n">
        <x:v>169</x:v>
      </x:c>
      <x:c r="F519" s="13" t="n">
        <x:v>188</x:v>
      </x:c>
      <x:c r="G519" s="13" t="n">
        <x:v>232</x:v>
      </x:c>
      <x:c r="H519" s="2" t="str">
        <x:f>IF(OR($E$4="",NOT(ISNUMBER($E$4)),$E$4&lt;1,$E$4&gt;400),"参考年待填",IF(OR(E519="",F519="",G519=""),"年代待核",IF($E$4&lt;E519,"未出生",IF($E$4&lt;F519,"未登场",IF($E$4&gt;G519,"已过卒年",IF($E$4=G519,"卒年边界待核","年表可登场"))))))</x:f>
        <x:v>年表可登场</x:v>
      </x:c>
      <x:c r="I519" s="12"/>
      <x:c r="J519" s="2" t="str">
        <x:v>SAN14游戏设定</x:v>
      </x:c>
      <x:c r="K519" s="2" t="str"/>
      <x:c r="L519" s="2" t="str">
        <x:v>曹洪</x:v>
      </x:c>
      <x:c r="M519" s="2" t="str">
        <x:v>san14-candidate-0511</x:v>
      </x:c>
      <x:c r="N519" s="2" t="str">
        <x:v>曹洪</x:v>
      </x:c>
      <x:c r="O519" s="2" t="str">
        <x:v>ソウコウ</x:v>
      </x:c>
    </x:row>
    <x:row r="520" ht="23" customHeight="1">
      <x:c r="A520" s="13" t="n">
        <x:v>512</x:v>
      </x:c>
      <x:c r="B520" s="2" t="str">
        <x:v>臧洪</x:v>
      </x:c>
      <x:c r="C520" s="2" t="str">
        <x:v>臧洪</x:v>
      </x:c>
      <x:c r="D520" s="2" t="str"/>
      <x:c r="E520" s="13" t="n">
        <x:v>161</x:v>
      </x:c>
      <x:c r="F520" s="13" t="n">
        <x:v>184</x:v>
      </x:c>
      <x:c r="G520" s="13" t="n">
        <x:v>196</x:v>
      </x:c>
      <x:c r="H520" s="2" t="str">
        <x:f>IF(OR($E$4="",NOT(ISNUMBER($E$4)),$E$4&lt;1,$E$4&gt;400),"参考年待填",IF(OR(E520="",F520="",G520=""),"年代待核",IF($E$4&lt;E520,"未出生",IF($E$4&lt;F520,"未登场",IF($E$4&gt;G520,"已过卒年",IF($E$4=G520,"卒年边界待核","年表可登场"))))))</x:f>
        <x:v>已过卒年</x:v>
      </x:c>
      <x:c r="I520" s="12"/>
      <x:c r="J520" s="2" t="str">
        <x:v>SAN14游戏设定</x:v>
      </x:c>
      <x:c r="K520" s="2" t="str"/>
      <x:c r="L520" s="2" t="str">
        <x:v>臧洪</x:v>
      </x:c>
      <x:c r="M520" s="2" t="str">
        <x:v>san14-candidate-0512</x:v>
      </x:c>
      <x:c r="N520" s="2" t="str">
        <x:v>臧洪</x:v>
      </x:c>
      <x:c r="O520" s="2" t="str">
        <x:v>ゾウコウ</x:v>
      </x:c>
    </x:row>
    <x:row r="521" ht="23" customHeight="1">
      <x:c r="A521" s="13" t="n">
        <x:v>513</x:v>
      </x:c>
      <x:c r="B521" s="2" t="str">
        <x:v>仓慈</x:v>
      </x:c>
      <x:c r="C521" s="2" t="str">
        <x:v>倉慈</x:v>
      </x:c>
      <x:c r="D521" s="2" t="str"/>
      <x:c r="E521" s="13" t="n">
        <x:v>174</x:v>
      </x:c>
      <x:c r="F521" s="13" t="n">
        <x:v>196</x:v>
      </x:c>
      <x:c r="G521" s="13" t="n">
        <x:v>240</x:v>
      </x:c>
      <x:c r="H521" s="2" t="str">
        <x:f>IF(OR($E$4="",NOT(ISNUMBER($E$4)),$E$4&lt;1,$E$4&gt;400),"参考年待填",IF(OR(E521="",F521="",G521=""),"年代待核",IF($E$4&lt;E521,"未出生",IF($E$4&lt;F521,"未登场",IF($E$4&gt;G521,"已过卒年",IF($E$4=G521,"卒年边界待核","年表可登场"))))))</x:f>
        <x:v>年表可登场</x:v>
      </x:c>
      <x:c r="I521" s="12"/>
      <x:c r="J521" s="2" t="str">
        <x:v>SAN14游戏设定</x:v>
      </x:c>
      <x:c r="K521" s="2" t="str"/>
      <x:c r="L521" s="2" t="str">
        <x:v>倉慈</x:v>
      </x:c>
      <x:c r="M521" s="2" t="str">
        <x:v>san14-candidate-0513</x:v>
      </x:c>
      <x:c r="N521" s="2" t="str">
        <x:v>倉慈</x:v>
      </x:c>
      <x:c r="O521" s="2" t="str">
        <x:v>ソウジ</x:v>
      </x:c>
    </x:row>
    <x:row r="522" ht="23" customHeight="1">
      <x:c r="A522" s="13" t="n">
        <x:v>514</x:v>
      </x:c>
      <x:c r="B522" s="2" t="str">
        <x:v>曹纯</x:v>
      </x:c>
      <x:c r="C522" s="2" t="str">
        <x:v>曹純</x:v>
      </x:c>
      <x:c r="D522" s="2" t="str"/>
      <x:c r="E522" s="13" t="n">
        <x:v>170</x:v>
      </x:c>
      <x:c r="F522" s="13" t="n">
        <x:v>189</x:v>
      </x:c>
      <x:c r="G522" s="13" t="n">
        <x:v>210</x:v>
      </x:c>
      <x:c r="H522" s="2" t="str">
        <x:f>IF(OR($E$4="",NOT(ISNUMBER($E$4)),$E$4&lt;1,$E$4&gt;400),"参考年待填",IF(OR(E522="",F522="",G522=""),"年代待核",IF($E$4&lt;E522,"未出生",IF($E$4&lt;F522,"未登场",IF($E$4&gt;G522,"已过卒年",IF($E$4=G522,"卒年边界待核","年表可登场"))))))</x:f>
        <x:v>已过卒年</x:v>
      </x:c>
      <x:c r="I522" s="12"/>
      <x:c r="J522" s="2" t="str">
        <x:v>SAN14游戏设定</x:v>
      </x:c>
      <x:c r="K522" s="2" t="str"/>
      <x:c r="L522" s="2" t="str">
        <x:v>曹純</x:v>
      </x:c>
      <x:c r="M522" s="2" t="str">
        <x:v>san14-candidate-0514</x:v>
      </x:c>
      <x:c r="N522" s="2" t="str">
        <x:v>曹純</x:v>
      </x:c>
      <x:c r="O522" s="2" t="str">
        <x:v>ソウジュン</x:v>
      </x:c>
    </x:row>
    <x:row r="523" ht="23" customHeight="1">
      <x:c r="A523" s="13" t="n">
        <x:v>515</x:v>
      </x:c>
      <x:c r="B523" s="2" t="str">
        <x:v>曹彰</x:v>
      </x:c>
      <x:c r="C523" s="2" t="str">
        <x:v>曹彰</x:v>
      </x:c>
      <x:c r="D523" s="2" t="str"/>
      <x:c r="E523" s="13" t="n">
        <x:v>190</x:v>
      </x:c>
      <x:c r="F523" s="13" t="n">
        <x:v>204</x:v>
      </x:c>
      <x:c r="G523" s="13" t="n">
        <x:v>223</x:v>
      </x:c>
      <x:c r="H523" s="2" t="str">
        <x:f>IF(OR($E$4="",NOT(ISNUMBER($E$4)),$E$4&lt;1,$E$4&gt;400),"参考年待填",IF(OR(E523="",F523="",G523=""),"年代待核",IF($E$4&lt;E523,"未出生",IF($E$4&lt;F523,"未登场",IF($E$4&gt;G523,"已过卒年",IF($E$4=G523,"卒年边界待核","年表可登场"))))))</x:f>
        <x:v>已过卒年</x:v>
      </x:c>
      <x:c r="I523" s="12"/>
      <x:c r="J523" s="2" t="str">
        <x:v>SAN14游戏设定</x:v>
      </x:c>
      <x:c r="K523" s="2" t="str"/>
      <x:c r="L523" s="2" t="str">
        <x:v>曹彰</x:v>
      </x:c>
      <x:c r="M523" s="2" t="str">
        <x:v>san14-candidate-0515</x:v>
      </x:c>
      <x:c r="N523" s="2" t="str">
        <x:v>曹彰</x:v>
      </x:c>
      <x:c r="O523" s="2" t="str">
        <x:v>ソウショウ</x:v>
      </x:c>
    </x:row>
    <x:row r="524" ht="23" customHeight="1">
      <x:c r="A524" s="13" t="n">
        <x:v>516</x:v>
      </x:c>
      <x:c r="B524" s="2" t="str">
        <x:v>曹植</x:v>
      </x:c>
      <x:c r="C524" s="2" t="str">
        <x:v>曹植</x:v>
      </x:c>
      <x:c r="D524" s="2" t="str"/>
      <x:c r="E524" s="13" t="n">
        <x:v>192</x:v>
      </x:c>
      <x:c r="F524" s="13" t="n">
        <x:v>206</x:v>
      </x:c>
      <x:c r="G524" s="13" t="n">
        <x:v>232</x:v>
      </x:c>
      <x:c r="H524" s="2" t="str">
        <x:f>IF(OR($E$4="",NOT(ISNUMBER($E$4)),$E$4&lt;1,$E$4&gt;400),"参考年待填",IF(OR(E524="",F524="",G524=""),"年代待核",IF($E$4&lt;E524,"未出生",IF($E$4&lt;F524,"未登场",IF($E$4&gt;G524,"已过卒年",IF($E$4=G524,"卒年边界待核","年表可登场"))))))</x:f>
        <x:v>年表可登场</x:v>
      </x:c>
      <x:c r="I524" s="12"/>
      <x:c r="J524" s="2" t="str">
        <x:v>SAN14游戏设定</x:v>
      </x:c>
      <x:c r="K524" s="2" t="str"/>
      <x:c r="L524" s="2" t="str">
        <x:v>曹植</x:v>
      </x:c>
      <x:c r="M524" s="2" t="str">
        <x:v>san14-candidate-0516</x:v>
      </x:c>
      <x:c r="N524" s="2" t="str">
        <x:v>曹植</x:v>
      </x:c>
      <x:c r="O524" s="2" t="str">
        <x:v>ソウショク</x:v>
      </x:c>
    </x:row>
    <x:row r="525" ht="23" customHeight="1">
      <x:c r="A525" s="13" t="n">
        <x:v>517</x:v>
      </x:c>
      <x:c r="B525" s="2" t="str">
        <x:v>曹真</x:v>
      </x:c>
      <x:c r="C525" s="2" t="str">
        <x:v>曹真</x:v>
      </x:c>
      <x:c r="D525" s="2" t="str"/>
      <x:c r="E525" s="13" t="n">
        <x:v>185</x:v>
      </x:c>
      <x:c r="F525" s="13" t="n">
        <x:v>204</x:v>
      </x:c>
      <x:c r="G525" s="13" t="n">
        <x:v>231</x:v>
      </x:c>
      <x:c r="H525" s="2" t="str">
        <x:f>IF(OR($E$4="",NOT(ISNUMBER($E$4)),$E$4&lt;1,$E$4&gt;400),"参考年待填",IF(OR(E525="",F525="",G525=""),"年代待核",IF($E$4&lt;E525,"未出生",IF($E$4&lt;F525,"未登场",IF($E$4&gt;G525,"已过卒年",IF($E$4=G525,"卒年边界待核","年表可登场"))))))</x:f>
        <x:v>年表可登场</x:v>
      </x:c>
      <x:c r="I525" s="12"/>
      <x:c r="J525" s="2" t="str">
        <x:v>SAN14游戏设定</x:v>
      </x:c>
      <x:c r="K525" s="2" t="str"/>
      <x:c r="L525" s="2" t="str">
        <x:v>曹真</x:v>
      </x:c>
      <x:c r="M525" s="2" t="str">
        <x:v>san14-candidate-0517</x:v>
      </x:c>
      <x:c r="N525" s="2" t="str">
        <x:v>曹真</x:v>
      </x:c>
      <x:c r="O525" s="2" t="str">
        <x:v>ソウシン</x:v>
      </x:c>
    </x:row>
    <x:row r="526" ht="23" customHeight="1">
      <x:c r="A526" s="13" t="n">
        <x:v>518</x:v>
      </x:c>
      <x:c r="B526" s="2" t="str">
        <x:v>曹仁</x:v>
      </x:c>
      <x:c r="C526" s="2" t="str">
        <x:v>曹仁</x:v>
      </x:c>
      <x:c r="D526" s="2" t="str"/>
      <x:c r="E526" s="13" t="n">
        <x:v>168</x:v>
      </x:c>
      <x:c r="F526" s="13" t="n">
        <x:v>187</x:v>
      </x:c>
      <x:c r="G526" s="13" t="n">
        <x:v>223</x:v>
      </x:c>
      <x:c r="H526" s="2" t="str">
        <x:f>IF(OR($E$4="",NOT(ISNUMBER($E$4)),$E$4&lt;1,$E$4&gt;400),"参考年待填",IF(OR(E526="",F526="",G526=""),"年代待核",IF($E$4&lt;E526,"未出生",IF($E$4&lt;F526,"未登场",IF($E$4&gt;G526,"已过卒年",IF($E$4=G526,"卒年边界待核","年表可登场"))))))</x:f>
        <x:v>已过卒年</x:v>
      </x:c>
      <x:c r="I526" s="12"/>
      <x:c r="J526" s="2" t="str">
        <x:v>SAN14游戏设定</x:v>
      </x:c>
      <x:c r="K526" s="2" t="str"/>
      <x:c r="L526" s="2" t="str">
        <x:v>曹仁</x:v>
      </x:c>
      <x:c r="M526" s="2" t="str">
        <x:v>san14-candidate-0518</x:v>
      </x:c>
      <x:c r="N526" s="2" t="str">
        <x:v>曹仁</x:v>
      </x:c>
      <x:c r="O526" s="2" t="str">
        <x:v>ソウジン</x:v>
      </x:c>
    </x:row>
    <x:row r="527" ht="23" customHeight="1">
      <x:c r="A527" s="13" t="n">
        <x:v>519</x:v>
      </x:c>
      <x:c r="B527" s="2" t="str">
        <x:v>曹性</x:v>
      </x:c>
      <x:c r="C527" s="2" t="str">
        <x:v>曹性</x:v>
      </x:c>
      <x:c r="D527" s="2" t="str"/>
      <x:c r="E527" s="13" t="n">
        <x:v>163</x:v>
      </x:c>
      <x:c r="F527" s="13" t="n">
        <x:v>184</x:v>
      </x:c>
      <x:c r="G527" s="13" t="n">
        <x:v>198</x:v>
      </x:c>
      <x:c r="H527" s="2" t="str">
        <x:f>IF(OR($E$4="",NOT(ISNUMBER($E$4)),$E$4&lt;1,$E$4&gt;400),"参考年待填",IF(OR(E527="",F527="",G527=""),"年代待核",IF($E$4&lt;E527,"未出生",IF($E$4&lt;F527,"未登场",IF($E$4&gt;G527,"已过卒年",IF($E$4=G527,"卒年边界待核","年表可登场"))))))</x:f>
        <x:v>已过卒年</x:v>
      </x:c>
      <x:c r="I527" s="12"/>
      <x:c r="J527" s="2" t="str">
        <x:v>SAN14游戏设定</x:v>
      </x:c>
      <x:c r="K527" s="2" t="str"/>
      <x:c r="L527" s="2" t="str">
        <x:v>曹性</x:v>
      </x:c>
      <x:c r="M527" s="2" t="str">
        <x:v>san14-candidate-0519</x:v>
      </x:c>
      <x:c r="N527" s="2" t="str">
        <x:v>曹性</x:v>
      </x:c>
      <x:c r="O527" s="2" t="str">
        <x:v>ソウセイ</x:v>
      </x:c>
    </x:row>
    <x:row r="528" ht="23" customHeight="1">
      <x:c r="A528" s="13" t="n">
        <x:v>520</x:v>
      </x:c>
      <x:c r="B528" s="2" t="str">
        <x:v>曹节</x:v>
      </x:c>
      <x:c r="C528" s="2" t="str">
        <x:v>曹節</x:v>
      </x:c>
      <x:c r="D528" s="2" t="str"/>
      <x:c r="E528" s="13" t="n">
        <x:v>196</x:v>
      </x:c>
      <x:c r="F528" s="13" t="n">
        <x:v>210</x:v>
      </x:c>
      <x:c r="G528" s="13" t="n">
        <x:v>260</x:v>
      </x:c>
      <x:c r="H528" s="2" t="str">
        <x:f>IF(OR($E$4="",NOT(ISNUMBER($E$4)),$E$4&lt;1,$E$4&gt;400),"参考年待填",IF(OR(E528="",F528="",G528=""),"年代待核",IF($E$4&lt;E528,"未出生",IF($E$4&lt;F528,"未登场",IF($E$4&gt;G528,"已过卒年",IF($E$4=G528,"卒年边界待核","年表可登场"))))))</x:f>
        <x:v>年表可登场</x:v>
      </x:c>
      <x:c r="I528" s="12"/>
      <x:c r="J528" s="2" t="str">
        <x:v>SAN14游戏设定</x:v>
      </x:c>
      <x:c r="K528" s="2" t="str"/>
      <x:c r="L528" s="2" t="str">
        <x:v>曹節</x:v>
      </x:c>
      <x:c r="M528" s="2" t="str">
        <x:v>san14-candidate-0520</x:v>
      </x:c>
      <x:c r="N528" s="2" t="str">
        <x:v>曹節</x:v>
      </x:c>
      <x:c r="O528" s="2" t="str">
        <x:v>ソウセツ</x:v>
      </x:c>
    </x:row>
    <x:row r="529" ht="23" customHeight="1">
      <x:c r="A529" s="13" t="n">
        <x:v>521</x:v>
      </x:c>
      <x:c r="B529" s="2" t="str">
        <x:v>曹操</x:v>
      </x:c>
      <x:c r="C529" s="2" t="str">
        <x:v>曹操</x:v>
      </x:c>
      <x:c r="D529" s="2" t="str"/>
      <x:c r="E529" s="13" t="n">
        <x:v>155</x:v>
      </x:c>
      <x:c r="F529" s="13" t="n">
        <x:v>184</x:v>
      </x:c>
      <x:c r="G529" s="13" t="n">
        <x:v>220</x:v>
      </x:c>
      <x:c r="H529" s="2" t="str">
        <x:f>IF(OR($E$4="",NOT(ISNUMBER($E$4)),$E$4&lt;1,$E$4&gt;400),"参考年待填",IF(OR(E529="",F529="",G529=""),"年代待核",IF($E$4&lt;E529,"未出生",IF($E$4&lt;F529,"未登场",IF($E$4&gt;G529,"已过卒年",IF($E$4=G529,"卒年边界待核","年表可登场"))))))</x:f>
        <x:v>已过卒年</x:v>
      </x:c>
      <x:c r="I529" s="12"/>
      <x:c r="J529" s="2" t="str">
        <x:v>SAN14游戏设定</x:v>
      </x:c>
      <x:c r="K529" s="2" t="str"/>
      <x:c r="L529" s="2" t="str">
        <x:v>曹操</x:v>
      </x:c>
      <x:c r="M529" s="2" t="str">
        <x:v>san14-candidate-0521</x:v>
      </x:c>
      <x:c r="N529" s="2" t="str">
        <x:v>曹操</x:v>
      </x:c>
      <x:c r="O529" s="2" t="str">
        <x:v>ソウソウ</x:v>
      </x:c>
    </x:row>
    <x:row r="530" ht="23" customHeight="1">
      <x:c r="A530" s="13" t="n">
        <x:v>522</x:v>
      </x:c>
      <x:c r="B530" s="2" t="str">
        <x:v>曹爽</x:v>
      </x:c>
      <x:c r="C530" s="2" t="str">
        <x:v>曹爽</x:v>
      </x:c>
      <x:c r="D530" s="2" t="str"/>
      <x:c r="E530" s="13" t="n">
        <x:v>207</x:v>
      </x:c>
      <x:c r="F530" s="13" t="n">
        <x:v>221</x:v>
      </x:c>
      <x:c r="G530" s="13" t="n">
        <x:v>249</x:v>
      </x:c>
      <x:c r="H530" s="2" t="str">
        <x:f>IF(OR($E$4="",NOT(ISNUMBER($E$4)),$E$4&lt;1,$E$4&gt;400),"参考年待填",IF(OR(E530="",F530="",G530=""),"年代待核",IF($E$4&lt;E530,"未出生",IF($E$4&lt;F530,"未登场",IF($E$4&gt;G530,"已过卒年",IF($E$4=G530,"卒年边界待核","年表可登场"))))))</x:f>
        <x:v>年表可登场</x:v>
      </x:c>
      <x:c r="I530" s="12"/>
      <x:c r="J530" s="2" t="str">
        <x:v>SAN14游戏设定</x:v>
      </x:c>
      <x:c r="K530" s="2" t="str"/>
      <x:c r="L530" s="2" t="str">
        <x:v>曹爽</x:v>
      </x:c>
      <x:c r="M530" s="2" t="str">
        <x:v>san14-candidate-0522</x:v>
      </x:c>
      <x:c r="N530" s="2" t="str">
        <x:v>曹爽</x:v>
      </x:c>
      <x:c r="O530" s="2" t="str">
        <x:v>ソウソウ</x:v>
      </x:c>
    </x:row>
    <x:row r="531" ht="23" customHeight="1">
      <x:c r="A531" s="13" t="n">
        <x:v>523</x:v>
      </x:c>
      <x:c r="B531" s="2" t="str">
        <x:v>曹冲</x:v>
      </x:c>
      <x:c r="C531" s="2" t="str">
        <x:v>曹沖</x:v>
      </x:c>
      <x:c r="D531" s="2" t="str"/>
      <x:c r="E531" s="13" t="n">
        <x:v>196</x:v>
      </x:c>
      <x:c r="F531" s="13" t="n">
        <x:v>207</x:v>
      </x:c>
      <x:c r="G531" s="13" t="n">
        <x:v>208</x:v>
      </x:c>
      <x:c r="H531" s="2" t="str">
        <x:f>IF(OR($E$4="",NOT(ISNUMBER($E$4)),$E$4&lt;1,$E$4&gt;400),"参考年待填",IF(OR(E531="",F531="",G531=""),"年代待核",IF($E$4&lt;E531,"未出生",IF($E$4&lt;F531,"未登场",IF($E$4&gt;G531,"已过卒年",IF($E$4=G531,"卒年边界待核","年表可登场"))))))</x:f>
        <x:v>已过卒年</x:v>
      </x:c>
      <x:c r="I531" s="12"/>
      <x:c r="J531" s="2" t="str">
        <x:v>SAN14游戏设定</x:v>
      </x:c>
      <x:c r="K531" s="2" t="str"/>
      <x:c r="L531" s="2" t="str">
        <x:v>曹沖</x:v>
      </x:c>
      <x:c r="M531" s="2" t="str">
        <x:v>san14-candidate-0523</x:v>
      </x:c>
      <x:c r="N531" s="2" t="str">
        <x:v>曹沖</x:v>
      </x:c>
      <x:c r="O531" s="2" t="str">
        <x:v>ソウチュウ</x:v>
      </x:c>
    </x:row>
    <x:row r="532" ht="23" customHeight="1">
      <x:c r="A532" s="13" t="n">
        <x:v>524</x:v>
      </x:c>
      <x:c r="B532" s="2" t="str">
        <x:v>宋忠</x:v>
      </x:c>
      <x:c r="C532" s="2" t="str">
        <x:v>宋忠</x:v>
      </x:c>
      <x:c r="D532" s="2" t="str"/>
      <x:c r="E532" s="13" t="n">
        <x:v>154</x:v>
      </x:c>
      <x:c r="F532" s="13" t="n">
        <x:v>184</x:v>
      </x:c>
      <x:c r="G532" s="13" t="n">
        <x:v>235</x:v>
      </x:c>
      <x:c r="H532" s="2" t="str">
        <x:f>IF(OR($E$4="",NOT(ISNUMBER($E$4)),$E$4&lt;1,$E$4&gt;400),"参考年待填",IF(OR(E532="",F532="",G532=""),"年代待核",IF($E$4&lt;E532,"未出生",IF($E$4&lt;F532,"未登场",IF($E$4&gt;G532,"已过卒年",IF($E$4=G532,"卒年边界待核","年表可登场"))))))</x:f>
        <x:v>年表可登场</x:v>
      </x:c>
      <x:c r="I532" s="12"/>
      <x:c r="J532" s="2" t="str">
        <x:v>SAN14游戏设定</x:v>
      </x:c>
      <x:c r="K532" s="2" t="str"/>
      <x:c r="L532" s="2" t="str">
        <x:v>宋忠</x:v>
      </x:c>
      <x:c r="M532" s="2" t="str">
        <x:v>san14-candidate-0524</x:v>
      </x:c>
      <x:c r="N532" s="2" t="str">
        <x:v>宋忠</x:v>
      </x:c>
      <x:c r="O532" s="2" t="str">
        <x:v>ソウチュウ</x:v>
      </x:c>
    </x:row>
    <x:row r="533" ht="23" customHeight="1">
      <x:c r="A533" s="13" t="n">
        <x:v>525</x:v>
      </x:c>
      <x:c r="B533" s="2" t="str">
        <x:v>臧霸</x:v>
      </x:c>
      <x:c r="C533" s="2" t="str">
        <x:v>臧霸</x:v>
      </x:c>
      <x:c r="D533" s="2" t="str"/>
      <x:c r="E533" s="13" t="n">
        <x:v>165</x:v>
      </x:c>
      <x:c r="F533" s="13" t="n">
        <x:v>184</x:v>
      </x:c>
      <x:c r="G533" s="13" t="n">
        <x:v>231</x:v>
      </x:c>
      <x:c r="H533" s="2" t="str">
        <x:f>IF(OR($E$4="",NOT(ISNUMBER($E$4)),$E$4&lt;1,$E$4&gt;400),"参考年待填",IF(OR(E533="",F533="",G533=""),"年代待核",IF($E$4&lt;E533,"未出生",IF($E$4&lt;F533,"未登场",IF($E$4&gt;G533,"已过卒年",IF($E$4=G533,"卒年边界待核","年表可登场"))))))</x:f>
        <x:v>年表可登场</x:v>
      </x:c>
      <x:c r="I533" s="12"/>
      <x:c r="J533" s="2" t="str">
        <x:v>SAN14游戏设定</x:v>
      </x:c>
      <x:c r="K533" s="2" t="str"/>
      <x:c r="L533" s="2" t="str">
        <x:v>臧霸</x:v>
      </x:c>
      <x:c r="M533" s="2" t="str">
        <x:v>san14-candidate-0525</x:v>
      </x:c>
      <x:c r="N533" s="2" t="str">
        <x:v>臧覇</x:v>
      </x:c>
      <x:c r="O533" s="2" t="str">
        <x:v>ゾウハ</x:v>
      </x:c>
    </x:row>
    <x:row r="534" ht="23" customHeight="1">
      <x:c r="A534" s="13" t="n">
        <x:v>526</x:v>
      </x:c>
      <x:c r="B534" s="2" t="str">
        <x:v>曹丕</x:v>
      </x:c>
      <x:c r="C534" s="2" t="str">
        <x:v>曹丕</x:v>
      </x:c>
      <x:c r="D534" s="2" t="str"/>
      <x:c r="E534" s="13" t="n">
        <x:v>187</x:v>
      </x:c>
      <x:c r="F534" s="13" t="n">
        <x:v>200</x:v>
      </x:c>
      <x:c r="G534" s="13" t="n">
        <x:v>226</x:v>
      </x:c>
      <x:c r="H534" s="2" t="str">
        <x:f>IF(OR($E$4="",NOT(ISNUMBER($E$4)),$E$4&lt;1,$E$4&gt;400),"参考年待填",IF(OR(E534="",F534="",G534=""),"年代待核",IF($E$4&lt;E534,"未出生",IF($E$4&lt;F534,"未登场",IF($E$4&gt;G534,"已过卒年",IF($E$4=G534,"卒年边界待核","年表可登场"))))))</x:f>
        <x:v>已过卒年</x:v>
      </x:c>
      <x:c r="I534" s="12"/>
      <x:c r="J534" s="2" t="str">
        <x:v>SAN14游戏设定</x:v>
      </x:c>
      <x:c r="K534" s="2" t="str"/>
      <x:c r="L534" s="2" t="str">
        <x:v>曹丕</x:v>
      </x:c>
      <x:c r="M534" s="2" t="str">
        <x:v>san14-candidate-0526</x:v>
      </x:c>
      <x:c r="N534" s="2" t="str">
        <x:v>曹丕</x:v>
      </x:c>
      <x:c r="O534" s="2" t="str">
        <x:v>ソウヒ</x:v>
      </x:c>
    </x:row>
    <x:row r="535" ht="23" customHeight="1">
      <x:c r="A535" s="13" t="n">
        <x:v>527</x:v>
      </x:c>
      <x:c r="B535" s="2" t="str">
        <x:v>曹豹</x:v>
      </x:c>
      <x:c r="C535" s="2" t="str">
        <x:v>曹豹</x:v>
      </x:c>
      <x:c r="D535" s="2" t="str"/>
      <x:c r="E535" s="13" t="n">
        <x:v>151</x:v>
      </x:c>
      <x:c r="F535" s="13" t="n">
        <x:v>184</x:v>
      </x:c>
      <x:c r="G535" s="13" t="n">
        <x:v>196</x:v>
      </x:c>
      <x:c r="H535" s="2" t="str">
        <x:f>IF(OR($E$4="",NOT(ISNUMBER($E$4)),$E$4&lt;1,$E$4&gt;400),"参考年待填",IF(OR(E535="",F535="",G535=""),"年代待核",IF($E$4&lt;E535,"未出生",IF($E$4&lt;F535,"未登场",IF($E$4&gt;G535,"已过卒年",IF($E$4=G535,"卒年边界待核","年表可登场"))))))</x:f>
        <x:v>已过卒年</x:v>
      </x:c>
      <x:c r="I535" s="12"/>
      <x:c r="J535" s="2" t="str">
        <x:v>SAN14游戏设定</x:v>
      </x:c>
      <x:c r="K535" s="2" t="str"/>
      <x:c r="L535" s="2" t="str">
        <x:v>曹豹</x:v>
      </x:c>
      <x:c r="M535" s="2" t="str">
        <x:v>san14-candidate-0527</x:v>
      </x:c>
      <x:c r="N535" s="2" t="str">
        <x:v>曹豹</x:v>
      </x:c>
      <x:c r="O535" s="2" t="str">
        <x:v>ソウヒョウ</x:v>
      </x:c>
    </x:row>
    <x:row r="536" ht="23" customHeight="1">
      <x:c r="A536" s="13" t="n">
        <x:v>528</x:v>
      </x:c>
      <x:c r="B536" s="2" t="str">
        <x:v>曹彪</x:v>
      </x:c>
      <x:c r="C536" s="2" t="str">
        <x:v>曹彪</x:v>
      </x:c>
      <x:c r="D536" s="2" t="str"/>
      <x:c r="E536" s="13" t="n">
        <x:v>195</x:v>
      </x:c>
      <x:c r="F536" s="13" t="n">
        <x:v>209</x:v>
      </x:c>
      <x:c r="G536" s="13" t="n">
        <x:v>251</x:v>
      </x:c>
      <x:c r="H536" s="2" t="str">
        <x:f>IF(OR($E$4="",NOT(ISNUMBER($E$4)),$E$4&lt;1,$E$4&gt;400),"参考年待填",IF(OR(E536="",F536="",G536=""),"年代待核",IF($E$4&lt;E536,"未出生",IF($E$4&lt;F536,"未登场",IF($E$4&gt;G536,"已过卒年",IF($E$4=G536,"卒年边界待核","年表可登场"))))))</x:f>
        <x:v>年表可登场</x:v>
      </x:c>
      <x:c r="I536" s="12"/>
      <x:c r="J536" s="2" t="str">
        <x:v>SAN14游戏设定</x:v>
      </x:c>
      <x:c r="K536" s="2" t="str"/>
      <x:c r="L536" s="2" t="str">
        <x:v>曹彪</x:v>
      </x:c>
      <x:c r="M536" s="2" t="str">
        <x:v>san14-candidate-0528</x:v>
      </x:c>
      <x:c r="N536" s="2" t="str">
        <x:v>曹彪</x:v>
      </x:c>
      <x:c r="O536" s="2" t="str">
        <x:v>ソウヒョウ</x:v>
      </x:c>
    </x:row>
    <x:row r="537" ht="23" customHeight="1">
      <x:c r="A537" s="13" t="n">
        <x:v>529</x:v>
      </x:c>
      <x:c r="B537" s="2" t="str">
        <x:v>曹芳</x:v>
      </x:c>
      <x:c r="C537" s="2" t="str">
        <x:v>曹芳</x:v>
      </x:c>
      <x:c r="D537" s="2" t="str"/>
      <x:c r="E537" s="13" t="n">
        <x:v>232</x:v>
      </x:c>
      <x:c r="F537" s="13" t="n">
        <x:v>239</x:v>
      </x:c>
      <x:c r="G537" s="13" t="n">
        <x:v>274</x:v>
      </x:c>
      <x:c r="H537" s="2" t="str">
        <x:f>IF(OR($E$4="",NOT(ISNUMBER($E$4)),$E$4&lt;1,$E$4&gt;400),"参考年待填",IF(OR(E537="",F537="",G537=""),"年代待核",IF($E$4&lt;E537,"未出生",IF($E$4&lt;F537,"未登场",IF($E$4&gt;G537,"已过卒年",IF($E$4=G537,"卒年边界待核","年表可登场"))))))</x:f>
        <x:v>未出生</x:v>
      </x:c>
      <x:c r="I537" s="12"/>
      <x:c r="J537" s="2" t="str">
        <x:v>SAN14游戏设定</x:v>
      </x:c>
      <x:c r="K537" s="2" t="str"/>
      <x:c r="L537" s="2" t="str">
        <x:v>曹芳</x:v>
      </x:c>
      <x:c r="M537" s="2" t="str">
        <x:v>san14-candidate-0529</x:v>
      </x:c>
      <x:c r="N537" s="2" t="str">
        <x:v>曹芳</x:v>
      </x:c>
      <x:c r="O537" s="2" t="str">
        <x:v>ソウホウ</x:v>
      </x:c>
    </x:row>
    <x:row r="538" ht="23" customHeight="1">
      <x:c r="A538" s="13" t="n">
        <x:v>530</x:v>
      </x:c>
      <x:c r="B538" s="2" t="str">
        <x:v>曹髦</x:v>
      </x:c>
      <x:c r="C538" s="2" t="str">
        <x:v>曹髦</x:v>
      </x:c>
      <x:c r="D538" s="2" t="str"/>
      <x:c r="E538" s="13" t="n">
        <x:v>241</x:v>
      </x:c>
      <x:c r="F538" s="13" t="n">
        <x:v>253</x:v>
      </x:c>
      <x:c r="G538" s="13" t="n">
        <x:v>260</x:v>
      </x:c>
      <x:c r="H538" s="2" t="str">
        <x:f>IF(OR($E$4="",NOT(ISNUMBER($E$4)),$E$4&lt;1,$E$4&gt;400),"参考年待填",IF(OR(E538="",F538="",G538=""),"年代待核",IF($E$4&lt;E538,"未出生",IF($E$4&lt;F538,"未登场",IF($E$4&gt;G538,"已过卒年",IF($E$4=G538,"卒年边界待核","年表可登场"))))))</x:f>
        <x:v>未出生</x:v>
      </x:c>
      <x:c r="I538" s="12"/>
      <x:c r="J538" s="2" t="str">
        <x:v>SAN14游戏设定</x:v>
      </x:c>
      <x:c r="K538" s="2" t="str"/>
      <x:c r="L538" s="2" t="str">
        <x:v>曹髦</x:v>
      </x:c>
      <x:c r="M538" s="2" t="str">
        <x:v>san14-candidate-0530</x:v>
      </x:c>
      <x:c r="N538" s="2" t="str">
        <x:v>曹髦</x:v>
      </x:c>
      <x:c r="O538" s="2" t="str">
        <x:v>ソウボウ</x:v>
      </x:c>
    </x:row>
    <x:row r="539" ht="23" customHeight="1">
      <x:c r="A539" s="13" t="n">
        <x:v>531</x:v>
      </x:c>
      <x:c r="B539" s="2" t="str">
        <x:v>曹熊</x:v>
      </x:c>
      <x:c r="C539" s="2" t="str">
        <x:v>曹熊</x:v>
      </x:c>
      <x:c r="D539" s="2" t="str"/>
      <x:c r="E539" s="13" t="n">
        <x:v>194</x:v>
      </x:c>
      <x:c r="F539" s="13" t="n">
        <x:v>209</x:v>
      </x:c>
      <x:c r="G539" s="13" t="n">
        <x:v>220</x:v>
      </x:c>
      <x:c r="H539" s="2" t="str">
        <x:f>IF(OR($E$4="",NOT(ISNUMBER($E$4)),$E$4&lt;1,$E$4&gt;400),"参考年待填",IF(OR(E539="",F539="",G539=""),"年代待核",IF($E$4&lt;E539,"未出生",IF($E$4&lt;F539,"未登场",IF($E$4&gt;G539,"已过卒年",IF($E$4=G539,"卒年边界待核","年表可登场"))))))</x:f>
        <x:v>已过卒年</x:v>
      </x:c>
      <x:c r="I539" s="12"/>
      <x:c r="J539" s="2" t="str">
        <x:v>SAN14游戏设定</x:v>
      </x:c>
      <x:c r="K539" s="2" t="str"/>
      <x:c r="L539" s="2" t="str">
        <x:v>曹熊</x:v>
      </x:c>
      <x:c r="M539" s="2" t="str">
        <x:v>san14-candidate-0531</x:v>
      </x:c>
      <x:c r="N539" s="2" t="str">
        <x:v>曹熊</x:v>
      </x:c>
      <x:c r="O539" s="2" t="str">
        <x:v>ソウユウ</x:v>
      </x:c>
    </x:row>
    <x:row r="540" ht="23" customHeight="1">
      <x:c r="A540" s="13" t="n">
        <x:v>532</x:v>
      </x:c>
      <x:c r="B540" s="2" t="str">
        <x:v>宗预</x:v>
      </x:c>
      <x:c r="C540" s="2" t="str">
        <x:v>宗預</x:v>
      </x:c>
      <x:c r="D540" s="2" t="str"/>
      <x:c r="E540" s="13" t="n">
        <x:v>181</x:v>
      </x:c>
      <x:c r="F540" s="13" t="n">
        <x:v>211</x:v>
      </x:c>
      <x:c r="G540" s="13" t="n">
        <x:v>264</x:v>
      </x:c>
      <x:c r="H540" s="2" t="str">
        <x:f>IF(OR($E$4="",NOT(ISNUMBER($E$4)),$E$4&lt;1,$E$4&gt;400),"参考年待填",IF(OR(E540="",F540="",G540=""),"年代待核",IF($E$4&lt;E540,"未出生",IF($E$4&lt;F540,"未登场",IF($E$4&gt;G540,"已过卒年",IF($E$4=G540,"卒年边界待核","年表可登场"))))))</x:f>
        <x:v>年表可登场</x:v>
      </x:c>
      <x:c r="I540" s="12"/>
      <x:c r="J540" s="2" t="str">
        <x:v>SAN14游戏设定</x:v>
      </x:c>
      <x:c r="K540" s="2" t="str"/>
      <x:c r="L540" s="2" t="str">
        <x:v>宗預</x:v>
      </x:c>
      <x:c r="M540" s="2" t="str">
        <x:v>san14-candidate-0532</x:v>
      </x:c>
      <x:c r="N540" s="2" t="str">
        <x:v>宗預</x:v>
      </x:c>
      <x:c r="O540" s="2" t="str">
        <x:v>ソウヨ</x:v>
      </x:c>
    </x:row>
    <x:row r="541" ht="23" customHeight="1">
      <x:c r="A541" s="13" t="n">
        <x:v>533</x:v>
      </x:c>
      <x:c r="B541" s="2" t="str">
        <x:v>曹霖</x:v>
      </x:c>
      <x:c r="C541" s="2" t="str">
        <x:v>曹霖</x:v>
      </x:c>
      <x:c r="D541" s="2" t="str"/>
      <x:c r="E541" s="13" t="n">
        <x:v>207</x:v>
      </x:c>
      <x:c r="F541" s="13" t="n">
        <x:v>221</x:v>
      </x:c>
      <x:c r="G541" s="13" t="n">
        <x:v>250</x:v>
      </x:c>
      <x:c r="H541" s="2" t="str">
        <x:f>IF(OR($E$4="",NOT(ISNUMBER($E$4)),$E$4&lt;1,$E$4&gt;400),"参考年待填",IF(OR(E541="",F541="",G541=""),"年代待核",IF($E$4&lt;E541,"未出生",IF($E$4&lt;F541,"未登场",IF($E$4&gt;G541,"已过卒年",IF($E$4=G541,"卒年边界待核","年表可登场"))))))</x:f>
        <x:v>年表可登场</x:v>
      </x:c>
      <x:c r="I541" s="12"/>
      <x:c r="J541" s="2" t="str">
        <x:v>SAN14游戏设定</x:v>
      </x:c>
      <x:c r="K541" s="2" t="str"/>
      <x:c r="L541" s="2" t="str">
        <x:v>曹霖</x:v>
      </x:c>
      <x:c r="M541" s="2" t="str">
        <x:v>san14-candidate-0533</x:v>
      </x:c>
      <x:c r="N541" s="2" t="str">
        <x:v>曹霖</x:v>
      </x:c>
      <x:c r="O541" s="2" t="str">
        <x:v>ソウリン</x:v>
      </x:c>
    </x:row>
    <x:row r="542" ht="23" customHeight="1">
      <x:c r="A542" s="13" t="n">
        <x:v>534</x:v>
      </x:c>
      <x:c r="B542" s="2" t="str">
        <x:v>沮鹄</x:v>
      </x:c>
      <x:c r="C542" s="2" t="str">
        <x:v>沮鵠</x:v>
      </x:c>
      <x:c r="D542" s="2" t="str"/>
      <x:c r="E542" s="13" t="n">
        <x:v>184</x:v>
      </x:c>
      <x:c r="F542" s="13" t="n">
        <x:v>198</x:v>
      </x:c>
      <x:c r="G542" s="13" t="n">
        <x:v>204</x:v>
      </x:c>
      <x:c r="H542" s="2" t="str">
        <x:f>IF(OR($E$4="",NOT(ISNUMBER($E$4)),$E$4&lt;1,$E$4&gt;400),"参考年待填",IF(OR(E542="",F542="",G542=""),"年代待核",IF($E$4&lt;E542,"未出生",IF($E$4&lt;F542,"未登场",IF($E$4&gt;G542,"已过卒年",IF($E$4=G542,"卒年边界待核","年表可登场"))))))</x:f>
        <x:v>已过卒年</x:v>
      </x:c>
      <x:c r="I542" s="12"/>
      <x:c r="J542" s="2" t="str">
        <x:v>SAN14游戏设定</x:v>
      </x:c>
      <x:c r="K542" s="2" t="str"/>
      <x:c r="L542" s="2" t="str">
        <x:v>沮鵠</x:v>
      </x:c>
      <x:c r="M542" s="2" t="str">
        <x:v>san14-candidate-0534</x:v>
      </x:c>
      <x:c r="N542" s="2" t="str">
        <x:v>沮鵠</x:v>
      </x:c>
      <x:c r="O542" s="2" t="str">
        <x:v>ソコク</x:v>
      </x:c>
    </x:row>
    <x:row r="543" ht="23" customHeight="1">
      <x:c r="A543" s="13" t="n">
        <x:v>535</x:v>
      </x:c>
      <x:c r="B543" s="2" t="str">
        <x:v>沮授</x:v>
      </x:c>
      <x:c r="C543" s="2" t="str">
        <x:v>沮授</x:v>
      </x:c>
      <x:c r="D543" s="2" t="str"/>
      <x:c r="E543" s="13" t="n">
        <x:v>156</x:v>
      </x:c>
      <x:c r="F543" s="13" t="n">
        <x:v>184</x:v>
      </x:c>
      <x:c r="G543" s="13" t="n">
        <x:v>201</x:v>
      </x:c>
      <x:c r="H543" s="2" t="str">
        <x:f>IF(OR($E$4="",NOT(ISNUMBER($E$4)),$E$4&lt;1,$E$4&gt;400),"参考年待填",IF(OR(E543="",F543="",G543=""),"年代待核",IF($E$4&lt;E543,"未出生",IF($E$4&lt;F543,"未登场",IF($E$4&gt;G543,"已过卒年",IF($E$4=G543,"卒年边界待核","年表可登场"))))))</x:f>
        <x:v>已过卒年</x:v>
      </x:c>
      <x:c r="I543" s="12"/>
      <x:c r="J543" s="2" t="str">
        <x:v>SAN14游戏设定</x:v>
      </x:c>
      <x:c r="K543" s="2" t="str"/>
      <x:c r="L543" s="2" t="str">
        <x:v>沮授</x:v>
      </x:c>
      <x:c r="M543" s="2" t="str">
        <x:v>san14-candidate-0535</x:v>
      </x:c>
      <x:c r="N543" s="2" t="str">
        <x:v>沮授</x:v>
      </x:c>
      <x:c r="O543" s="2" t="str">
        <x:v>ソジュ</x:v>
      </x:c>
    </x:row>
    <x:row r="544" ht="23" customHeight="1">
      <x:c r="A544" s="13" t="n">
        <x:v>536</x:v>
      </x:c>
      <x:c r="B544" s="2" t="str">
        <x:v>苏则</x:v>
      </x:c>
      <x:c r="C544" s="2" t="str">
        <x:v>蘇則</x:v>
      </x:c>
      <x:c r="D544" s="2" t="str"/>
      <x:c r="E544" s="13" t="n">
        <x:v>176</x:v>
      </x:c>
      <x:c r="F544" s="13" t="n">
        <x:v>195</x:v>
      </x:c>
      <x:c r="G544" s="13" t="n">
        <x:v>223</x:v>
      </x:c>
      <x:c r="H544" s="2" t="str">
        <x:f>IF(OR($E$4="",NOT(ISNUMBER($E$4)),$E$4&lt;1,$E$4&gt;400),"参考年待填",IF(OR(E544="",F544="",G544=""),"年代待核",IF($E$4&lt;E544,"未出生",IF($E$4&lt;F544,"未登场",IF($E$4&gt;G544,"已过卒年",IF($E$4=G544,"卒年边界待核","年表可登场"))))))</x:f>
        <x:v>已过卒年</x:v>
      </x:c>
      <x:c r="I544" s="12"/>
      <x:c r="J544" s="2" t="str">
        <x:v>SAN14游戏设定</x:v>
      </x:c>
      <x:c r="K544" s="2" t="str"/>
      <x:c r="L544" s="2" t="str">
        <x:v>蘇則</x:v>
      </x:c>
      <x:c r="M544" s="2" t="str">
        <x:v>san14-candidate-0536</x:v>
      </x:c>
      <x:c r="N544" s="2" t="str">
        <x:v>蘇則</x:v>
      </x:c>
      <x:c r="O544" s="2" t="str">
        <x:v>ソソク</x:v>
      </x:c>
    </x:row>
    <x:row r="545" ht="23" customHeight="1">
      <x:c r="A545" s="13" t="n">
        <x:v>537</x:v>
      </x:c>
      <x:c r="B545" s="2" t="str">
        <x:v>苏飞</x:v>
      </x:c>
      <x:c r="C545" s="2" t="str">
        <x:v>蘇飛</x:v>
      </x:c>
      <x:c r="D545" s="2" t="str"/>
      <x:c r="E545" s="13" t="n">
        <x:v>172</x:v>
      </x:c>
      <x:c r="F545" s="13" t="n">
        <x:v>191</x:v>
      </x:c>
      <x:c r="G545" s="13" t="n">
        <x:v>221</x:v>
      </x:c>
      <x:c r="H545" s="2" t="str">
        <x:f>IF(OR($E$4="",NOT(ISNUMBER($E$4)),$E$4&lt;1,$E$4&gt;400),"参考年待填",IF(OR(E545="",F545="",G545=""),"年代待核",IF($E$4&lt;E545,"未出生",IF($E$4&lt;F545,"未登场",IF($E$4&gt;G545,"已过卒年",IF($E$4=G545,"卒年边界待核","年表可登场"))))))</x:f>
        <x:v>已过卒年</x:v>
      </x:c>
      <x:c r="I545" s="12"/>
      <x:c r="J545" s="2" t="str">
        <x:v>SAN14游戏设定</x:v>
      </x:c>
      <x:c r="K545" s="2" t="str"/>
      <x:c r="L545" s="2" t="str">
        <x:v>蘇飛</x:v>
      </x:c>
      <x:c r="M545" s="2" t="str">
        <x:v>san14-candidate-0537</x:v>
      </x:c>
      <x:c r="N545" s="2" t="str">
        <x:v>蘇飛</x:v>
      </x:c>
      <x:c r="O545" s="2" t="str">
        <x:v>ソヒ</x:v>
      </x:c>
    </x:row>
    <x:row r="546" ht="23" customHeight="1">
      <x:c r="A546" s="13" t="n">
        <x:v>538</x:v>
      </x:c>
      <x:c r="B546" s="2" t="str">
        <x:v>祖茂</x:v>
      </x:c>
      <x:c r="C546" s="2" t="str">
        <x:v>祖茂</x:v>
      </x:c>
      <x:c r="D546" s="2" t="str"/>
      <x:c r="E546" s="13" t="n">
        <x:v>155</x:v>
      </x:c>
      <x:c r="F546" s="13" t="n">
        <x:v>184</x:v>
      </x:c>
      <x:c r="G546" s="13" t="n">
        <x:v>190</x:v>
      </x:c>
      <x:c r="H546" s="2" t="str">
        <x:f>IF(OR($E$4="",NOT(ISNUMBER($E$4)),$E$4&lt;1,$E$4&gt;400),"参考年待填",IF(OR(E546="",F546="",G546=""),"年代待核",IF($E$4&lt;E546,"未出生",IF($E$4&lt;F546,"未登场",IF($E$4&gt;G546,"已过卒年",IF($E$4=G546,"卒年边界待核","年表可登场"))))))</x:f>
        <x:v>已过卒年</x:v>
      </x:c>
      <x:c r="I546" s="12"/>
      <x:c r="J546" s="2" t="str">
        <x:v>SAN14游戏设定</x:v>
      </x:c>
      <x:c r="K546" s="2" t="str"/>
      <x:c r="L546" s="2" t="str">
        <x:v>祖茂</x:v>
      </x:c>
      <x:c r="M546" s="2" t="str">
        <x:v>san14-candidate-0538</x:v>
      </x:c>
      <x:c r="N546" s="2" t="str">
        <x:v>祖茂</x:v>
      </x:c>
      <x:c r="O546" s="2" t="str">
        <x:v>ソモ</x:v>
      </x:c>
    </x:row>
    <x:row r="547" ht="23" customHeight="1">
      <x:c r="A547" s="13" t="n">
        <x:v>539</x:v>
      </x:c>
      <x:c r="B547" s="2" t="str">
        <x:v>苏由</x:v>
      </x:c>
      <x:c r="C547" s="2" t="str">
        <x:v>蘇由</x:v>
      </x:c>
      <x:c r="D547" s="2" t="str"/>
      <x:c r="E547" s="13" t="n">
        <x:v>164</x:v>
      </x:c>
      <x:c r="F547" s="13" t="n">
        <x:v>184</x:v>
      </x:c>
      <x:c r="G547" s="13" t="n">
        <x:v>210</x:v>
      </x:c>
      <x:c r="H547" s="2" t="str">
        <x:f>IF(OR($E$4="",NOT(ISNUMBER($E$4)),$E$4&lt;1,$E$4&gt;400),"参考年待填",IF(OR(E547="",F547="",G547=""),"年代待核",IF($E$4&lt;E547,"未出生",IF($E$4&lt;F547,"未登场",IF($E$4&gt;G547,"已过卒年",IF($E$4=G547,"卒年边界待核","年表可登场"))))))</x:f>
        <x:v>已过卒年</x:v>
      </x:c>
      <x:c r="I547" s="12"/>
      <x:c r="J547" s="2" t="str">
        <x:v>SAN14游戏设定</x:v>
      </x:c>
      <x:c r="K547" s="2" t="str"/>
      <x:c r="L547" s="2" t="str">
        <x:v>蘇由</x:v>
      </x:c>
      <x:c r="M547" s="2" t="str">
        <x:v>san14-candidate-0539</x:v>
      </x:c>
      <x:c r="N547" s="2" t="str">
        <x:v>蘇由</x:v>
      </x:c>
      <x:c r="O547" s="2" t="str">
        <x:v>ソユウ</x:v>
      </x:c>
    </x:row>
    <x:row r="548" ht="23" customHeight="1">
      <x:c r="A548" s="13" t="n">
        <x:v>540</x:v>
      </x:c>
      <x:c r="B548" s="2" t="str">
        <x:v>孙异</x:v>
      </x:c>
      <x:c r="C548" s="2" t="str">
        <x:v>孫異</x:v>
      </x:c>
      <x:c r="D548" s="2" t="str"/>
      <x:c r="E548" s="13" t="n">
        <x:v>223</x:v>
      </x:c>
      <x:c r="F548" s="13" t="n">
        <x:v>237</x:v>
      </x:c>
      <x:c r="G548" s="13" t="n">
        <x:v>272</x:v>
      </x:c>
      <x:c r="H548" s="2" t="str">
        <x:f>IF(OR($E$4="",NOT(ISNUMBER($E$4)),$E$4&lt;1,$E$4&gt;400),"参考年待填",IF(OR(E548="",F548="",G548=""),"年代待核",IF($E$4&lt;E548,"未出生",IF($E$4&lt;F548,"未登场",IF($E$4&gt;G548,"已过卒年",IF($E$4=G548,"卒年边界待核","年表可登场"))))))</x:f>
        <x:v>未登场</x:v>
      </x:c>
      <x:c r="I548" s="12"/>
      <x:c r="J548" s="2" t="str">
        <x:v>SAN14游戏设定</x:v>
      </x:c>
      <x:c r="K548" s="2" t="str"/>
      <x:c r="L548" s="2" t="str">
        <x:v>孫異</x:v>
      </x:c>
      <x:c r="M548" s="2" t="str">
        <x:v>san14-candidate-0540</x:v>
      </x:c>
      <x:c r="N548" s="2" t="str">
        <x:v>孫異</x:v>
      </x:c>
      <x:c r="O548" s="2" t="str">
        <x:v>ソンイ</x:v>
      </x:c>
    </x:row>
    <x:row r="549" ht="23" customHeight="1">
      <x:c r="A549" s="13" t="n">
        <x:v>541</x:v>
      </x:c>
      <x:c r="B549" s="2" t="str">
        <x:v>孙壹</x:v>
      </x:c>
      <x:c r="C549" s="2" t="str">
        <x:v>孫壹</x:v>
      </x:c>
      <x:c r="D549" s="2" t="str"/>
      <x:c r="E549" s="13" t="n">
        <x:v>217</x:v>
      </x:c>
      <x:c r="F549" s="13" t="n">
        <x:v>231</x:v>
      </x:c>
      <x:c r="G549" s="13" t="n">
        <x:v>259</x:v>
      </x:c>
      <x:c r="H549" s="2" t="str">
        <x:f>IF(OR($E$4="",NOT(ISNUMBER($E$4)),$E$4&lt;1,$E$4&gt;400),"参考年待填",IF(OR(E549="",F549="",G549=""),"年代待核",IF($E$4&lt;E549,"未出生",IF($E$4&lt;F549,"未登场",IF($E$4&gt;G549,"已过卒年",IF($E$4=G549,"卒年边界待核","年表可登场"))))))</x:f>
        <x:v>未登场</x:v>
      </x:c>
      <x:c r="I549" s="12"/>
      <x:c r="J549" s="2" t="str">
        <x:v>SAN14游戏设定</x:v>
      </x:c>
      <x:c r="K549" s="2" t="str"/>
      <x:c r="L549" s="2" t="str">
        <x:v>孫壹</x:v>
      </x:c>
      <x:c r="M549" s="2" t="str">
        <x:v>san14-candidate-0541</x:v>
      </x:c>
      <x:c r="N549" s="2" t="str">
        <x:v>孫壱</x:v>
      </x:c>
      <x:c r="O549" s="2" t="str">
        <x:v>ソンイツ</x:v>
      </x:c>
    </x:row>
    <x:row r="550" ht="23" customHeight="1">
      <x:c r="A550" s="13" t="n">
        <x:v>542</x:v>
      </x:c>
      <x:c r="B550" s="2" t="str">
        <x:v>孙和</x:v>
      </x:c>
      <x:c r="C550" s="2" t="str">
        <x:v>孫和</x:v>
      </x:c>
      <x:c r="D550" s="2" t="str"/>
      <x:c r="E550" s="13" t="n">
        <x:v>224</x:v>
      </x:c>
      <x:c r="F550" s="13" t="n">
        <x:v>238</x:v>
      </x:c>
      <x:c r="G550" s="13" t="n">
        <x:v>253</x:v>
      </x:c>
      <x:c r="H550" s="2" t="str">
        <x:f>IF(OR($E$4="",NOT(ISNUMBER($E$4)),$E$4&lt;1,$E$4&gt;400),"参考年待填",IF(OR(E550="",F550="",G550=""),"年代待核",IF($E$4&lt;E550,"未出生",IF($E$4&lt;F550,"未登场",IF($E$4&gt;G550,"已过卒年",IF($E$4=G550,"卒年边界待核","年表可登场"))))))</x:f>
        <x:v>未登场</x:v>
      </x:c>
      <x:c r="I550" s="12"/>
      <x:c r="J550" s="2" t="str">
        <x:v>SAN14游戏设定</x:v>
      </x:c>
      <x:c r="K550" s="2" t="str"/>
      <x:c r="L550" s="2" t="str">
        <x:v>孫和</x:v>
      </x:c>
      <x:c r="M550" s="2" t="str">
        <x:v>san14-candidate-0542</x:v>
      </x:c>
      <x:c r="N550" s="2" t="str">
        <x:v>孫和</x:v>
      </x:c>
      <x:c r="O550" s="2" t="str">
        <x:v>ソンカ</x:v>
      </x:c>
    </x:row>
    <x:row r="551" ht="23" customHeight="1">
      <x:c r="A551" s="13" t="n">
        <x:v>543</x:v>
      </x:c>
      <x:c r="B551" s="2" t="str">
        <x:v>孙河</x:v>
      </x:c>
      <x:c r="C551" s="2" t="str">
        <x:v>孫河</x:v>
      </x:c>
      <x:c r="D551" s="2" t="str"/>
      <x:c r="E551" s="13" t="n">
        <x:v>170</x:v>
      </x:c>
      <x:c r="F551" s="13" t="n">
        <x:v>184</x:v>
      </x:c>
      <x:c r="G551" s="13" t="n">
        <x:v>204</x:v>
      </x:c>
      <x:c r="H551" s="2" t="str">
        <x:f>IF(OR($E$4="",NOT(ISNUMBER($E$4)),$E$4&lt;1,$E$4&gt;400),"参考年待填",IF(OR(E551="",F551="",G551=""),"年代待核",IF($E$4&lt;E551,"未出生",IF($E$4&lt;F551,"未登场",IF($E$4&gt;G551,"已过卒年",IF($E$4=G551,"卒年边界待核","年表可登场"))))))</x:f>
        <x:v>已过卒年</x:v>
      </x:c>
      <x:c r="I551" s="12"/>
      <x:c r="J551" s="2" t="str">
        <x:v>SAN14游戏设定</x:v>
      </x:c>
      <x:c r="K551" s="2" t="str"/>
      <x:c r="L551" s="2" t="str">
        <x:v>孫河</x:v>
      </x:c>
      <x:c r="M551" s="2" t="str">
        <x:v>san14-candidate-0543</x:v>
      </x:c>
      <x:c r="N551" s="2" t="str">
        <x:v>孫河</x:v>
      </x:c>
      <x:c r="O551" s="2" t="str">
        <x:v>ソンカ</x:v>
      </x:c>
    </x:row>
    <x:row r="552" ht="23" customHeight="1">
      <x:c r="A552" s="13" t="n">
        <x:v>544</x:v>
      </x:c>
      <x:c r="B552" s="2" t="str">
        <x:v>孙桓</x:v>
      </x:c>
      <x:c r="C552" s="2" t="str">
        <x:v>孫桓</x:v>
      </x:c>
      <x:c r="D552" s="2" t="str"/>
      <x:c r="E552" s="13" t="n">
        <x:v>197</x:v>
      </x:c>
      <x:c r="F552" s="13" t="n">
        <x:v>216</x:v>
      </x:c>
      <x:c r="G552" s="13" t="n">
        <x:v>228</x:v>
      </x:c>
      <x:c r="H552" s="2" t="str">
        <x:f>IF(OR($E$4="",NOT(ISNUMBER($E$4)),$E$4&lt;1,$E$4&gt;400),"参考年待填",IF(OR(E552="",F552="",G552=""),"年代待核",IF($E$4&lt;E552,"未出生",IF($E$4&lt;F552,"未登场",IF($E$4&gt;G552,"已过卒年",IF($E$4=G552,"卒年边界待核","年表可登场"))))))</x:f>
        <x:v>已过卒年</x:v>
      </x:c>
      <x:c r="I552" s="12"/>
      <x:c r="J552" s="2" t="str">
        <x:v>SAN14游戏设定</x:v>
      </x:c>
      <x:c r="K552" s="2" t="str"/>
      <x:c r="L552" s="2" t="str">
        <x:v>孫桓</x:v>
      </x:c>
      <x:c r="M552" s="2" t="str">
        <x:v>san14-candidate-0544</x:v>
      </x:c>
      <x:c r="N552" s="2" t="str">
        <x:v>孫桓</x:v>
      </x:c>
      <x:c r="O552" s="2" t="str">
        <x:v>ソンカン</x:v>
      </x:c>
    </x:row>
    <x:row r="553" ht="23" customHeight="1">
      <x:c r="A553" s="13" t="n">
        <x:v>545</x:v>
      </x:c>
      <x:c r="B553" s="2" t="str">
        <x:v>孙观</x:v>
      </x:c>
      <x:c r="C553" s="2" t="str">
        <x:v>孫觀</x:v>
      </x:c>
      <x:c r="D553" s="2" t="str"/>
      <x:c r="E553" s="13" t="n">
        <x:v>166</x:v>
      </x:c>
      <x:c r="F553" s="13" t="n">
        <x:v>184</x:v>
      </x:c>
      <x:c r="G553" s="13" t="n">
        <x:v>217</x:v>
      </x:c>
      <x:c r="H553" s="2" t="str">
        <x:f>IF(OR($E$4="",NOT(ISNUMBER($E$4)),$E$4&lt;1,$E$4&gt;400),"参考年待填",IF(OR(E553="",F553="",G553=""),"年代待核",IF($E$4&lt;E553,"未出生",IF($E$4&lt;F553,"未登场",IF($E$4&gt;G553,"已过卒年",IF($E$4=G553,"卒年边界待核","年表可登场"))))))</x:f>
        <x:v>已过卒年</x:v>
      </x:c>
      <x:c r="I553" s="12"/>
      <x:c r="J553" s="2" t="str">
        <x:v>SAN14游戏设定</x:v>
      </x:c>
      <x:c r="K553" s="2" t="str"/>
      <x:c r="L553" s="2" t="str">
        <x:v>孫觀</x:v>
      </x:c>
      <x:c r="M553" s="2" t="str">
        <x:v>san14-candidate-0545</x:v>
      </x:c>
      <x:c r="N553" s="2" t="str">
        <x:v>孫観</x:v>
      </x:c>
      <x:c r="O553" s="2" t="str">
        <x:v>ソンカン</x:v>
      </x:c>
    </x:row>
    <x:row r="554" ht="23" customHeight="1">
      <x:c r="A554" s="13" t="n">
        <x:v>546</x:v>
      </x:c>
      <x:c r="B554" s="2" t="str">
        <x:v>孙奂</x:v>
      </x:c>
      <x:c r="C554" s="2" t="str">
        <x:v>孫奐</x:v>
      </x:c>
      <x:c r="D554" s="2" t="str"/>
      <x:c r="E554" s="13" t="n">
        <x:v>195</x:v>
      </x:c>
      <x:c r="F554" s="13" t="n">
        <x:v>209</x:v>
      </x:c>
      <x:c r="G554" s="13" t="n">
        <x:v>234</x:v>
      </x:c>
      <x:c r="H554" s="2" t="str">
        <x:f>IF(OR($E$4="",NOT(ISNUMBER($E$4)),$E$4&lt;1,$E$4&gt;400),"参考年待填",IF(OR(E554="",F554="",G554=""),"年代待核",IF($E$4&lt;E554,"未出生",IF($E$4&lt;F554,"未登场",IF($E$4&gt;G554,"已过卒年",IF($E$4=G554,"卒年边界待核","年表可登场"))))))</x:f>
        <x:v>年表可登场</x:v>
      </x:c>
      <x:c r="I554" s="12"/>
      <x:c r="J554" s="2" t="str">
        <x:v>SAN14游戏设定</x:v>
      </x:c>
      <x:c r="K554" s="2" t="str"/>
      <x:c r="L554" s="2" t="str">
        <x:v>孫奐</x:v>
      </x:c>
      <x:c r="M554" s="2" t="str">
        <x:v>san14-candidate-0546</x:v>
      </x:c>
      <x:c r="N554" s="2" t="str">
        <x:v>孫奐</x:v>
      </x:c>
      <x:c r="O554" s="2" t="str">
        <x:v>ソンカン</x:v>
      </x:c>
    </x:row>
    <x:row r="555" ht="23" customHeight="1">
      <x:c r="A555" s="13" t="n">
        <x:v>547</x:v>
      </x:c>
      <x:c r="B555" s="2" t="str">
        <x:v>孙冀</x:v>
      </x:c>
      <x:c r="C555" s="2" t="str">
        <x:v>孫冀</x:v>
      </x:c>
      <x:c r="D555" s="2" t="str"/>
      <x:c r="E555" s="13" t="n">
        <x:v>227</x:v>
      </x:c>
      <x:c r="F555" s="13" t="n">
        <x:v>246</x:v>
      </x:c>
      <x:c r="G555" s="13" t="n">
        <x:v>278</x:v>
      </x:c>
      <x:c r="H555" s="2" t="str">
        <x:f>IF(OR($E$4="",NOT(ISNUMBER($E$4)),$E$4&lt;1,$E$4&gt;400),"参考年待填",IF(OR(E555="",F555="",G555=""),"年代待核",IF($E$4&lt;E555,"未出生",IF($E$4&lt;F555,"未登场",IF($E$4&gt;G555,"已过卒年",IF($E$4=G555,"卒年边界待核","年表可登场"))))))</x:f>
        <x:v>未登场</x:v>
      </x:c>
      <x:c r="I555" s="12"/>
      <x:c r="J555" s="2" t="str">
        <x:v>SAN14游戏设定</x:v>
      </x:c>
      <x:c r="K555" s="2" t="str"/>
      <x:c r="L555" s="2" t="str">
        <x:v>孫冀</x:v>
      </x:c>
      <x:c r="M555" s="2" t="str">
        <x:v>san14-candidate-0547</x:v>
      </x:c>
      <x:c r="N555" s="2" t="str">
        <x:v>孫冀</x:v>
      </x:c>
      <x:c r="O555" s="2" t="str">
        <x:v>ソンキ</x:v>
      </x:c>
    </x:row>
    <x:row r="556" ht="23" customHeight="1">
      <x:c r="A556" s="13" t="n">
        <x:v>548</x:v>
      </x:c>
      <x:c r="B556" s="2" t="str">
        <x:v>孙休</x:v>
      </x:c>
      <x:c r="C556" s="2" t="str">
        <x:v>孫休</x:v>
      </x:c>
      <x:c r="D556" s="2" t="str"/>
      <x:c r="E556" s="13" t="n">
        <x:v>235</x:v>
      </x:c>
      <x:c r="F556" s="13" t="n">
        <x:v>249</x:v>
      </x:c>
      <x:c r="G556" s="13" t="n">
        <x:v>264</x:v>
      </x:c>
      <x:c r="H556" s="2" t="str">
        <x:f>IF(OR($E$4="",NOT(ISNUMBER($E$4)),$E$4&lt;1,$E$4&gt;400),"参考年待填",IF(OR(E556="",F556="",G556=""),"年代待核",IF($E$4&lt;E556,"未出生",IF($E$4&lt;F556,"未登场",IF($E$4&gt;G556,"已过卒年",IF($E$4=G556,"卒年边界待核","年表可登场"))))))</x:f>
        <x:v>未出生</x:v>
      </x:c>
      <x:c r="I556" s="12"/>
      <x:c r="J556" s="2" t="str">
        <x:v>SAN14游戏设定</x:v>
      </x:c>
      <x:c r="K556" s="2" t="str"/>
      <x:c r="L556" s="2" t="str">
        <x:v>孫休</x:v>
      </x:c>
      <x:c r="M556" s="2" t="str">
        <x:v>san14-candidate-0548</x:v>
      </x:c>
      <x:c r="N556" s="2" t="str">
        <x:v>孫休</x:v>
      </x:c>
      <x:c r="O556" s="2" t="str">
        <x:v>ソンキュウ</x:v>
      </x:c>
    </x:row>
    <x:row r="557" ht="23" customHeight="1">
      <x:c r="A557" s="13" t="n">
        <x:v>549</x:v>
      </x:c>
      <x:c r="B557" s="2" t="str">
        <x:v>孙匡</x:v>
      </x:c>
      <x:c r="C557" s="2" t="str">
        <x:v>孫匡</x:v>
      </x:c>
      <x:c r="D557" s="2" t="str"/>
      <x:c r="E557" s="13" t="n">
        <x:v>186</x:v>
      </x:c>
      <x:c r="F557" s="13" t="n">
        <x:v>200</x:v>
      </x:c>
      <x:c r="G557" s="13" t="n">
        <x:v>207</x:v>
      </x:c>
      <x:c r="H557" s="2" t="str">
        <x:f>IF(OR($E$4="",NOT(ISNUMBER($E$4)),$E$4&lt;1,$E$4&gt;400),"参考年待填",IF(OR(E557="",F557="",G557=""),"年代待核",IF($E$4&lt;E557,"未出生",IF($E$4&lt;F557,"未登场",IF($E$4&gt;G557,"已过卒年",IF($E$4=G557,"卒年边界待核","年表可登场"))))))</x:f>
        <x:v>已过卒年</x:v>
      </x:c>
      <x:c r="I557" s="12"/>
      <x:c r="J557" s="2" t="str">
        <x:v>SAN14游戏设定</x:v>
      </x:c>
      <x:c r="K557" s="2" t="str"/>
      <x:c r="L557" s="2" t="str">
        <x:v>孫匡</x:v>
      </x:c>
      <x:c r="M557" s="2" t="str">
        <x:v>san14-candidate-0549</x:v>
      </x:c>
      <x:c r="N557" s="2" t="str">
        <x:v>孫匡</x:v>
      </x:c>
      <x:c r="O557" s="2" t="str">
        <x:v>ソンキョウ</x:v>
      </x:c>
    </x:row>
    <x:row r="558" ht="23" customHeight="1">
      <x:c r="A558" s="13" t="n">
        <x:v>550</x:v>
      </x:c>
      <x:c r="B558" s="2" t="str">
        <x:v>孙歆</x:v>
      </x:c>
      <x:c r="C558" s="2" t="str">
        <x:v>孫歆</x:v>
      </x:c>
      <x:c r="D558" s="2" t="str"/>
      <x:c r="E558" s="13" t="n">
        <x:v>235</x:v>
      </x:c>
      <x:c r="F558" s="13" t="n">
        <x:v>249</x:v>
      </x:c>
      <x:c r="G558" s="13" t="n">
        <x:v>280</x:v>
      </x:c>
      <x:c r="H558" s="2" t="str">
        <x:f>IF(OR($E$4="",NOT(ISNUMBER($E$4)),$E$4&lt;1,$E$4&gt;400),"参考年待填",IF(OR(E558="",F558="",G558=""),"年代待核",IF($E$4&lt;E558,"未出生",IF($E$4&lt;F558,"未登场",IF($E$4&gt;G558,"已过卒年",IF($E$4=G558,"卒年边界待核","年表可登场"))))))</x:f>
        <x:v>未出生</x:v>
      </x:c>
      <x:c r="I558" s="12"/>
      <x:c r="J558" s="2" t="str">
        <x:v>SAN14游戏设定</x:v>
      </x:c>
      <x:c r="K558" s="2" t="str"/>
      <x:c r="L558" s="2" t="str">
        <x:v>孫歆</x:v>
      </x:c>
      <x:c r="M558" s="2" t="str">
        <x:v>san14-candidate-0550</x:v>
      </x:c>
      <x:c r="N558" s="2" t="str">
        <x:v>孫キン</x:v>
      </x:c>
      <x:c r="O558" s="2" t="str">
        <x:v>ソンキン</x:v>
      </x:c>
    </x:row>
    <x:row r="559" ht="23" customHeight="1">
      <x:c r="A559" s="13" t="n">
        <x:v>551</x:v>
      </x:c>
      <x:c r="B559" s="2" t="str">
        <x:v>孙坚</x:v>
      </x:c>
      <x:c r="C559" s="2" t="str">
        <x:v>孫堅</x:v>
      </x:c>
      <x:c r="D559" s="2" t="str"/>
      <x:c r="E559" s="13" t="n">
        <x:v>156</x:v>
      </x:c>
      <x:c r="F559" s="13" t="n">
        <x:v>184</x:v>
      </x:c>
      <x:c r="G559" s="13" t="n">
        <x:v>192</x:v>
      </x:c>
      <x:c r="H559" s="2" t="str">
        <x:f>IF(OR($E$4="",NOT(ISNUMBER($E$4)),$E$4&lt;1,$E$4&gt;400),"参考年待填",IF(OR(E559="",F559="",G559=""),"年代待核",IF($E$4&lt;E559,"未出生",IF($E$4&lt;F559,"未登场",IF($E$4&gt;G559,"已过卒年",IF($E$4=G559,"卒年边界待核","年表可登场"))))))</x:f>
        <x:v>已过卒年</x:v>
      </x:c>
      <x:c r="I559" s="12"/>
      <x:c r="J559" s="2" t="str">
        <x:v>SAN14游戏设定</x:v>
      </x:c>
      <x:c r="K559" s="2" t="str"/>
      <x:c r="L559" s="2" t="str">
        <x:v>孫堅</x:v>
      </x:c>
      <x:c r="M559" s="2" t="str">
        <x:v>san14-candidate-0551</x:v>
      </x:c>
      <x:c r="N559" s="2" t="str">
        <x:v>孫堅</x:v>
      </x:c>
      <x:c r="O559" s="2" t="str">
        <x:v>ソンケン</x:v>
      </x:c>
    </x:row>
    <x:row r="560" ht="23" customHeight="1">
      <x:c r="A560" s="13" t="n">
        <x:v>552</x:v>
      </x:c>
      <x:c r="B560" s="2" t="str">
        <x:v>孙乾</x:v>
      </x:c>
      <x:c r="C560" s="2" t="str">
        <x:v>孫乾</x:v>
      </x:c>
      <x:c r="D560" s="2" t="str"/>
      <x:c r="E560" s="13" t="n">
        <x:v>165</x:v>
      </x:c>
      <x:c r="F560" s="13" t="n">
        <x:v>184</x:v>
      </x:c>
      <x:c r="G560" s="13" t="n">
        <x:v>215</x:v>
      </x:c>
      <x:c r="H560" s="2" t="str">
        <x:f>IF(OR($E$4="",NOT(ISNUMBER($E$4)),$E$4&lt;1,$E$4&gt;400),"参考年待填",IF(OR(E560="",F560="",G560=""),"年代待核",IF($E$4&lt;E560,"未出生",IF($E$4&lt;F560,"未登场",IF($E$4&gt;G560,"已过卒年",IF($E$4=G560,"卒年边界待核","年表可登场"))))))</x:f>
        <x:v>已过卒年</x:v>
      </x:c>
      <x:c r="I560" s="12"/>
      <x:c r="J560" s="2" t="str">
        <x:v>SAN14游戏设定</x:v>
      </x:c>
      <x:c r="K560" s="2" t="str"/>
      <x:c r="L560" s="2" t="str">
        <x:v>孫乾</x:v>
      </x:c>
      <x:c r="M560" s="2" t="str">
        <x:v>san14-candidate-0552</x:v>
      </x:c>
      <x:c r="N560" s="2" t="str">
        <x:v>孫乾</x:v>
      </x:c>
      <x:c r="O560" s="2" t="str">
        <x:v>ソンケン</x:v>
      </x:c>
    </x:row>
    <x:row r="561" ht="23" customHeight="1">
      <x:c r="A561" s="13" t="n">
        <x:v>553</x:v>
      </x:c>
      <x:c r="B561" s="2" t="str">
        <x:v>孙权</x:v>
      </x:c>
      <x:c r="C561" s="2" t="str">
        <x:v>孫權</x:v>
      </x:c>
      <x:c r="D561" s="2" t="str"/>
      <x:c r="E561" s="13" t="n">
        <x:v>182</x:v>
      </x:c>
      <x:c r="F561" s="13" t="n">
        <x:v>196</x:v>
      </x:c>
      <x:c r="G561" s="13" t="n">
        <x:v>252</x:v>
      </x:c>
      <x:c r="H561" s="2" t="str">
        <x:f>IF(OR($E$4="",NOT(ISNUMBER($E$4)),$E$4&lt;1,$E$4&gt;400),"参考年待填",IF(OR(E561="",F561="",G561=""),"年代待核",IF($E$4&lt;E561,"未出生",IF($E$4&lt;F561,"未登场",IF($E$4&gt;G561,"已过卒年",IF($E$4=G561,"卒年边界待核","年表可登场"))))))</x:f>
        <x:v>年表可登场</x:v>
      </x:c>
      <x:c r="I561" s="12"/>
      <x:c r="J561" s="2" t="str">
        <x:v>SAN14游戏设定</x:v>
      </x:c>
      <x:c r="K561" s="2" t="str"/>
      <x:c r="L561" s="2" t="str">
        <x:v>孫權</x:v>
      </x:c>
      <x:c r="M561" s="2" t="str">
        <x:v>san14-candidate-0553</x:v>
      </x:c>
      <x:c r="N561" s="2" t="str">
        <x:v>孫権</x:v>
      </x:c>
      <x:c r="O561" s="2" t="str">
        <x:v>ソンケン</x:v>
      </x:c>
    </x:row>
    <x:row r="562" ht="23" customHeight="1">
      <x:c r="A562" s="13" t="n">
        <x:v>554</x:v>
      </x:c>
      <x:c r="B562" s="2" t="str">
        <x:v>孙皓</x:v>
      </x:c>
      <x:c r="C562" s="2" t="str">
        <x:v>孫皓</x:v>
      </x:c>
      <x:c r="D562" s="2" t="str"/>
      <x:c r="E562" s="13" t="n">
        <x:v>242</x:v>
      </x:c>
      <x:c r="F562" s="13" t="n">
        <x:v>253</x:v>
      </x:c>
      <x:c r="G562" s="13" t="n">
        <x:v>284</x:v>
      </x:c>
      <x:c r="H562" s="2" t="str">
        <x:f>IF(OR($E$4="",NOT(ISNUMBER($E$4)),$E$4&lt;1,$E$4&gt;400),"参考年待填",IF(OR(E562="",F562="",G562=""),"年代待核",IF($E$4&lt;E562,"未出生",IF($E$4&lt;F562,"未登场",IF($E$4&gt;G562,"已过卒年",IF($E$4=G562,"卒年边界待核","年表可登场"))))))</x:f>
        <x:v>未出生</x:v>
      </x:c>
      <x:c r="I562" s="12"/>
      <x:c r="J562" s="2" t="str">
        <x:v>SAN14游戏设定</x:v>
      </x:c>
      <x:c r="K562" s="2" t="str"/>
      <x:c r="L562" s="2" t="str">
        <x:v>孫皓</x:v>
      </x:c>
      <x:c r="M562" s="2" t="str">
        <x:v>san14-candidate-0554</x:v>
      </x:c>
      <x:c r="N562" s="2" t="str">
        <x:v>孫晧</x:v>
      </x:c>
      <x:c r="O562" s="2" t="str">
        <x:v>ソンコウ</x:v>
      </x:c>
    </x:row>
    <x:row r="563" ht="23" customHeight="1">
      <x:c r="A563" s="13" t="n">
        <x:v>555</x:v>
      </x:c>
      <x:c r="B563" s="2" t="str">
        <x:v>孙皎</x:v>
      </x:c>
      <x:c r="C563" s="2" t="str">
        <x:v>孫皎</x:v>
      </x:c>
      <x:c r="D563" s="2" t="str"/>
      <x:c r="E563" s="13" t="n">
        <x:v>181</x:v>
      </x:c>
      <x:c r="F563" s="13" t="n">
        <x:v>200</x:v>
      </x:c>
      <x:c r="G563" s="13" t="n">
        <x:v>219</x:v>
      </x:c>
      <x:c r="H563" s="2" t="str">
        <x:f>IF(OR($E$4="",NOT(ISNUMBER($E$4)),$E$4&lt;1,$E$4&gt;400),"参考年待填",IF(OR(E563="",F563="",G563=""),"年代待核",IF($E$4&lt;E563,"未出生",IF($E$4&lt;F563,"未登场",IF($E$4&gt;G563,"已过卒年",IF($E$4=G563,"卒年边界待核","年表可登场"))))))</x:f>
        <x:v>已过卒年</x:v>
      </x:c>
      <x:c r="I563" s="12"/>
      <x:c r="J563" s="2" t="str">
        <x:v>SAN14游戏设定</x:v>
      </x:c>
      <x:c r="K563" s="2" t="str"/>
      <x:c r="L563" s="2" t="str">
        <x:v>孫皎</x:v>
      </x:c>
      <x:c r="M563" s="2" t="str">
        <x:v>san14-candidate-0555</x:v>
      </x:c>
      <x:c r="N563" s="2" t="str">
        <x:v>孫皎</x:v>
      </x:c>
      <x:c r="O563" s="2" t="str">
        <x:v>ソンコウ</x:v>
      </x:c>
    </x:row>
    <x:row r="564" ht="23" customHeight="1">
      <x:c r="A564" s="13" t="n">
        <x:v>556</x:v>
      </x:c>
      <x:c r="B564" s="2" t="str">
        <x:v>孙弘</x:v>
      </x:c>
      <x:c r="C564" s="2" t="str">
        <x:v>孫弘</x:v>
      </x:c>
      <x:c r="D564" s="2" t="str"/>
      <x:c r="E564" s="13" t="n">
        <x:v>208</x:v>
      </x:c>
      <x:c r="F564" s="13" t="n">
        <x:v>227</x:v>
      </x:c>
      <x:c r="G564" s="13" t="n">
        <x:v>252</x:v>
      </x:c>
      <x:c r="H564" s="2" t="str">
        <x:f>IF(OR($E$4="",NOT(ISNUMBER($E$4)),$E$4&lt;1,$E$4&gt;400),"参考年待填",IF(OR(E564="",F564="",G564=""),"年代待核",IF($E$4&lt;E564,"未出生",IF($E$4&lt;F564,"未登场",IF($E$4&gt;G564,"已过卒年",IF($E$4=G564,"卒年边界待核","年表可登场"))))))</x:f>
        <x:v>年表可登场</x:v>
      </x:c>
      <x:c r="I564" s="12"/>
      <x:c r="J564" s="2" t="str">
        <x:v>SAN14游戏设定</x:v>
      </x:c>
      <x:c r="K564" s="2" t="str"/>
      <x:c r="L564" s="2" t="str">
        <x:v>孫弘</x:v>
      </x:c>
      <x:c r="M564" s="2" t="str">
        <x:v>san14-candidate-0556</x:v>
      </x:c>
      <x:c r="N564" s="2" t="str">
        <x:v>孫弘</x:v>
      </x:c>
      <x:c r="O564" s="2" t="str">
        <x:v>ソンコウ</x:v>
      </x:c>
    </x:row>
    <x:row r="565" ht="23" customHeight="1">
      <x:c r="A565" s="13" t="n">
        <x:v>557</x:v>
      </x:c>
      <x:c r="B565" s="2" t="str">
        <x:v>孙策</x:v>
      </x:c>
      <x:c r="C565" s="2" t="str">
        <x:v>孫策</x:v>
      </x:c>
      <x:c r="D565" s="2" t="str"/>
      <x:c r="E565" s="13" t="n">
        <x:v>175</x:v>
      </x:c>
      <x:c r="F565" s="13" t="n">
        <x:v>189</x:v>
      </x:c>
      <x:c r="G565" s="13" t="n">
        <x:v>200</x:v>
      </x:c>
      <x:c r="H565" s="2" t="str">
        <x:f>IF(OR($E$4="",NOT(ISNUMBER($E$4)),$E$4&lt;1,$E$4&gt;400),"参考年待填",IF(OR(E565="",F565="",G565=""),"年代待核",IF($E$4&lt;E565,"未出生",IF($E$4&lt;F565,"未登场",IF($E$4&gt;G565,"已过卒年",IF($E$4=G565,"卒年边界待核","年表可登场"))))))</x:f>
        <x:v>已过卒年</x:v>
      </x:c>
      <x:c r="I565" s="12"/>
      <x:c r="J565" s="2" t="str">
        <x:v>SAN14游戏设定</x:v>
      </x:c>
      <x:c r="K565" s="2" t="str"/>
      <x:c r="L565" s="2" t="str">
        <x:v>孫策</x:v>
      </x:c>
      <x:c r="M565" s="2" t="str">
        <x:v>san14-candidate-0557</x:v>
      </x:c>
      <x:c r="N565" s="2" t="str">
        <x:v>孫策</x:v>
      </x:c>
      <x:c r="O565" s="2" t="str">
        <x:v>ソンサク</x:v>
      </x:c>
    </x:row>
    <x:row r="566" ht="23" customHeight="1">
      <x:c r="A566" s="13" t="n">
        <x:v>558</x:v>
      </x:c>
      <x:c r="B566" s="2" t="str">
        <x:v>孙氏</x:v>
      </x:c>
      <x:c r="C566" s="2" t="str">
        <x:v>孫氏</x:v>
      </x:c>
      <x:c r="D566" s="2" t="str"/>
      <x:c r="E566" s="13" t="n">
        <x:v>188</x:v>
      </x:c>
      <x:c r="F566" s="13" t="n">
        <x:v>203</x:v>
      </x:c>
      <x:c r="G566" s="13" t="n">
        <x:v>250</x:v>
      </x:c>
      <x:c r="H566" s="2" t="str">
        <x:f>IF(OR($E$4="",NOT(ISNUMBER($E$4)),$E$4&lt;1,$E$4&gt;400),"参考年待填",IF(OR(E566="",F566="",G566=""),"年代待核",IF($E$4&lt;E566,"未出生",IF($E$4&lt;F566,"未登场",IF($E$4&gt;G566,"已过卒年",IF($E$4=G566,"卒年边界待核","年表可登场"))))))</x:f>
        <x:v>年表可登场</x:v>
      </x:c>
      <x:c r="I566" s="12"/>
      <x:c r="J566" s="2" t="str">
        <x:v>SAN14游戏设定</x:v>
      </x:c>
      <x:c r="K566" s="2" t="str"/>
      <x:c r="L566" s="2" t="str">
        <x:v>孫氏</x:v>
      </x:c>
      <x:c r="M566" s="2" t="str">
        <x:v>san14-candidate-0558</x:v>
      </x:c>
      <x:c r="N566" s="2" t="str">
        <x:v>孫氏</x:v>
      </x:c>
      <x:c r="O566" s="2" t="str">
        <x:v>ソンシ</x:v>
      </x:c>
    </x:row>
    <x:row r="567" ht="23" customHeight="1">
      <x:c r="A567" s="13" t="n">
        <x:v>559</x:v>
      </x:c>
      <x:c r="B567" s="2" t="str">
        <x:v>孙资</x:v>
      </x:c>
      <x:c r="C567" s="2" t="str">
        <x:v>孫資</x:v>
      </x:c>
      <x:c r="D567" s="2" t="str"/>
      <x:c r="E567" s="13" t="n">
        <x:v>174</x:v>
      </x:c>
      <x:c r="F567" s="13" t="n">
        <x:v>196</x:v>
      </x:c>
      <x:c r="G567" s="13" t="n">
        <x:v>251</x:v>
      </x:c>
      <x:c r="H567" s="2" t="str">
        <x:f>IF(OR($E$4="",NOT(ISNUMBER($E$4)),$E$4&lt;1,$E$4&gt;400),"参考年待填",IF(OR(E567="",F567="",G567=""),"年代待核",IF($E$4&lt;E567,"未出生",IF($E$4&lt;F567,"未登场",IF($E$4&gt;G567,"已过卒年",IF($E$4=G567,"卒年边界待核","年表可登场"))))))</x:f>
        <x:v>年表可登场</x:v>
      </x:c>
      <x:c r="I567" s="12"/>
      <x:c r="J567" s="2" t="str">
        <x:v>SAN14游戏设定</x:v>
      </x:c>
      <x:c r="K567" s="2" t="str"/>
      <x:c r="L567" s="2" t="str">
        <x:v>孫資</x:v>
      </x:c>
      <x:c r="M567" s="2" t="str">
        <x:v>san14-candidate-0559</x:v>
      </x:c>
      <x:c r="N567" s="2" t="str">
        <x:v>孫資</x:v>
      </x:c>
      <x:c r="O567" s="2" t="str">
        <x:v>ソンシ</x:v>
      </x:c>
    </x:row>
    <x:row r="568" ht="23" customHeight="1">
      <x:c r="A568" s="13" t="n">
        <x:v>560</x:v>
      </x:c>
      <x:c r="B568" s="2" t="str">
        <x:v>孙秀</x:v>
      </x:c>
      <x:c r="C568" s="2" t="str">
        <x:v>孫秀</x:v>
      </x:c>
      <x:c r="D568" s="2" t="str"/>
      <x:c r="E568" s="13" t="n">
        <x:v>235</x:v>
      </x:c>
      <x:c r="F568" s="13" t="n">
        <x:v>249</x:v>
      </x:c>
      <x:c r="G568" s="13" t="n">
        <x:v>299</x:v>
      </x:c>
      <x:c r="H568" s="2" t="str">
        <x:f>IF(OR($E$4="",NOT(ISNUMBER($E$4)),$E$4&lt;1,$E$4&gt;400),"参考年待填",IF(OR(E568="",F568="",G568=""),"年代待核",IF($E$4&lt;E568,"未出生",IF($E$4&lt;F568,"未登场",IF($E$4&gt;G568,"已过卒年",IF($E$4=G568,"卒年边界待核","年表可登场"))))))</x:f>
        <x:v>未出生</x:v>
      </x:c>
      <x:c r="I568" s="12"/>
      <x:c r="J568" s="2" t="str">
        <x:v>SAN14游戏设定</x:v>
      </x:c>
      <x:c r="K568" s="2" t="str"/>
      <x:c r="L568" s="2" t="str">
        <x:v>孫秀</x:v>
      </x:c>
      <x:c r="M568" s="2" t="str">
        <x:v>san14-candidate-0560</x:v>
      </x:c>
      <x:c r="N568" s="2" t="str">
        <x:v>孫秀</x:v>
      </x:c>
      <x:c r="O568" s="2" t="str">
        <x:v>ソンシュウ</x:v>
      </x:c>
    </x:row>
    <x:row r="569" ht="23" customHeight="1">
      <x:c r="A569" s="13" t="n">
        <x:v>561</x:v>
      </x:c>
      <x:c r="B569" s="2" t="str">
        <x:v>孙峻</x:v>
      </x:c>
      <x:c r="C569" s="2" t="str">
        <x:v>孫峻</x:v>
      </x:c>
      <x:c r="D569" s="2" t="str"/>
      <x:c r="E569" s="13" t="n">
        <x:v>219</x:v>
      </x:c>
      <x:c r="F569" s="13" t="n">
        <x:v>238</x:v>
      </x:c>
      <x:c r="G569" s="13" t="n">
        <x:v>256</x:v>
      </x:c>
      <x:c r="H569" s="2" t="str">
        <x:f>IF(OR($E$4="",NOT(ISNUMBER($E$4)),$E$4&lt;1,$E$4&gt;400),"参考年待填",IF(OR(E569="",F569="",G569=""),"年代待核",IF($E$4&lt;E569,"未出生",IF($E$4&lt;F569,"未登场",IF($E$4&gt;G569,"已过卒年",IF($E$4=G569,"卒年边界待核","年表可登场"))))))</x:f>
        <x:v>未登场</x:v>
      </x:c>
      <x:c r="I569" s="12"/>
      <x:c r="J569" s="2" t="str">
        <x:v>SAN14游戏设定</x:v>
      </x:c>
      <x:c r="K569" s="2" t="str"/>
      <x:c r="L569" s="2" t="str">
        <x:v>孫峻</x:v>
      </x:c>
      <x:c r="M569" s="2" t="str">
        <x:v>san14-candidate-0561</x:v>
      </x:c>
      <x:c r="N569" s="2" t="str">
        <x:v>孫峻</x:v>
      </x:c>
      <x:c r="O569" s="2" t="str">
        <x:v>ソンシュン</x:v>
      </x:c>
    </x:row>
    <x:row r="570" ht="23" customHeight="1">
      <x:c r="A570" s="13" t="n">
        <x:v>562</x:v>
      </x:c>
      <x:c r="B570" s="2" t="str">
        <x:v>孙韶</x:v>
      </x:c>
      <x:c r="C570" s="2" t="str">
        <x:v>孫韶</x:v>
      </x:c>
      <x:c r="D570" s="2" t="str"/>
      <x:c r="E570" s="13" t="n">
        <x:v>188</x:v>
      </x:c>
      <x:c r="F570" s="13" t="n">
        <x:v>207</x:v>
      </x:c>
      <x:c r="G570" s="13" t="n">
        <x:v>241</x:v>
      </x:c>
      <x:c r="H570" s="2" t="str">
        <x:f>IF(OR($E$4="",NOT(ISNUMBER($E$4)),$E$4&lt;1,$E$4&gt;400),"参考年待填",IF(OR(E570="",F570="",G570=""),"年代待核",IF($E$4&lt;E570,"未出生",IF($E$4&lt;F570,"未登场",IF($E$4&gt;G570,"已过卒年",IF($E$4=G570,"卒年边界待核","年表可登场"))))))</x:f>
        <x:v>年表可登场</x:v>
      </x:c>
      <x:c r="I570" s="12"/>
      <x:c r="J570" s="2" t="str">
        <x:v>SAN14游戏设定</x:v>
      </x:c>
      <x:c r="K570" s="2" t="str"/>
      <x:c r="L570" s="2" t="str">
        <x:v>孫韶</x:v>
      </x:c>
      <x:c r="M570" s="2" t="str">
        <x:v>san14-candidate-0562</x:v>
      </x:c>
      <x:c r="N570" s="2" t="str">
        <x:v>孫韶</x:v>
      </x:c>
      <x:c r="O570" s="2" t="str">
        <x:v>ソンショウ</x:v>
      </x:c>
    </x:row>
    <x:row r="571" ht="23" customHeight="1">
      <x:c r="A571" s="13" t="n">
        <x:v>563</x:v>
      </x:c>
      <x:c r="B571" s="2" t="str">
        <x:v>孙邵</x:v>
      </x:c>
      <x:c r="C571" s="2" t="str">
        <x:v>孫邵</x:v>
      </x:c>
      <x:c r="D571" s="2" t="str"/>
      <x:c r="E571" s="13" t="n">
        <x:v>163</x:v>
      </x:c>
      <x:c r="F571" s="13" t="n">
        <x:v>190</x:v>
      </x:c>
      <x:c r="G571" s="13" t="n">
        <x:v>225</x:v>
      </x:c>
      <x:c r="H571" s="2" t="str">
        <x:f>IF(OR($E$4="",NOT(ISNUMBER($E$4)),$E$4&lt;1,$E$4&gt;400),"参考年待填",IF(OR(E571="",F571="",G571=""),"年代待核",IF($E$4&lt;E571,"未出生",IF($E$4&lt;F571,"未登场",IF($E$4&gt;G571,"已过卒年",IF($E$4=G571,"卒年边界待核","年表可登场"))))))</x:f>
        <x:v>已过卒年</x:v>
      </x:c>
      <x:c r="I571" s="12"/>
      <x:c r="J571" s="2" t="str">
        <x:v>SAN14游戏设定</x:v>
      </x:c>
      <x:c r="K571" s="2" t="str"/>
      <x:c r="L571" s="2" t="str">
        <x:v>孫邵</x:v>
      </x:c>
      <x:c r="M571" s="2" t="str">
        <x:v>san14-candidate-0563</x:v>
      </x:c>
      <x:c r="N571" s="2" t="str">
        <x:v>孫邵</x:v>
      </x:c>
      <x:c r="O571" s="2" t="str">
        <x:v>ソンショウ</x:v>
      </x:c>
    </x:row>
    <x:row r="572" ht="23" customHeight="1">
      <x:c r="A572" s="13" t="n">
        <x:v>564</x:v>
      </x:c>
      <x:c r="B572" s="2" t="str">
        <x:v>孙松</x:v>
      </x:c>
      <x:c r="C572" s="2" t="str">
        <x:v>孫松</x:v>
      </x:c>
      <x:c r="D572" s="2" t="str"/>
      <x:c r="E572" s="13" t="n">
        <x:v>203</x:v>
      </x:c>
      <x:c r="F572" s="13" t="n">
        <x:v>217</x:v>
      </x:c>
      <x:c r="G572" s="13" t="n">
        <x:v>231</x:v>
      </x:c>
      <x:c r="H572" s="2" t="str">
        <x:f>IF(OR($E$4="",NOT(ISNUMBER($E$4)),$E$4&lt;1,$E$4&gt;400),"参考年待填",IF(OR(E572="",F572="",G572=""),"年代待核",IF($E$4&lt;E572,"未出生",IF($E$4&lt;F572,"未登场",IF($E$4&gt;G572,"已过卒年",IF($E$4=G572,"卒年边界待核","年表可登场"))))))</x:f>
        <x:v>年表可登场</x:v>
      </x:c>
      <x:c r="I572" s="12"/>
      <x:c r="J572" s="2" t="str">
        <x:v>SAN14游戏设定</x:v>
      </x:c>
      <x:c r="K572" s="2" t="str"/>
      <x:c r="L572" s="2" t="str">
        <x:v>孫松</x:v>
      </x:c>
      <x:c r="M572" s="2" t="str">
        <x:v>san14-candidate-0564</x:v>
      </x:c>
      <x:c r="N572" s="2" t="str">
        <x:v>孫松</x:v>
      </x:c>
      <x:c r="O572" s="2" t="str">
        <x:v>ソンショウ</x:v>
      </x:c>
    </x:row>
    <x:row r="573" ht="23" customHeight="1">
      <x:c r="A573" s="13" t="n">
        <x:v>565</x:v>
      </x:c>
      <x:c r="B573" s="2" t="str">
        <x:v>孙尚香</x:v>
      </x:c>
      <x:c r="C573" s="2" t="str">
        <x:v>孫尚香</x:v>
      </x:c>
      <x:c r="D573" s="2" t="str"/>
      <x:c r="E573" s="13" t="n">
        <x:v>193</x:v>
      </x:c>
      <x:c r="F573" s="13" t="n">
        <x:v>207</x:v>
      </x:c>
      <x:c r="G573" s="13" t="n">
        <x:v>222</x:v>
      </x:c>
      <x:c r="H573" s="2" t="str">
        <x:f>IF(OR($E$4="",NOT(ISNUMBER($E$4)),$E$4&lt;1,$E$4&gt;400),"参考年待填",IF(OR(E573="",F573="",G573=""),"年代待核",IF($E$4&lt;E573,"未出生",IF($E$4&lt;F573,"未登场",IF($E$4&gt;G573,"已过卒年",IF($E$4=G573,"卒年边界待核","年表可登场"))))))</x:f>
        <x:v>已过卒年</x:v>
      </x:c>
      <x:c r="I573" s="12"/>
      <x:c r="J573" s="2" t="str">
        <x:v>SAN14游戏设定</x:v>
      </x:c>
      <x:c r="K573" s="2" t="str"/>
      <x:c r="L573" s="2" t="str">
        <x:v>孫尚香</x:v>
      </x:c>
      <x:c r="M573" s="2" t="str">
        <x:v>san14-candidate-0565</x:v>
      </x:c>
      <x:c r="N573" s="2" t="str">
        <x:v>孫尚香</x:v>
      </x:c>
      <x:c r="O573" s="2" t="str">
        <x:v>ソンショウコウ</x:v>
      </x:c>
    </x:row>
    <x:row r="574" ht="23" customHeight="1">
      <x:c r="A574" s="13" t="n">
        <x:v>566</x:v>
      </x:c>
      <x:c r="B574" s="2" t="str">
        <x:v>孙震</x:v>
      </x:c>
      <x:c r="C574" s="2" t="str">
        <x:v>孫震</x:v>
      </x:c>
      <x:c r="D574" s="2" t="str"/>
      <x:c r="E574" s="13" t="n">
        <x:v>234</x:v>
      </x:c>
      <x:c r="F574" s="13" t="n">
        <x:v>253</x:v>
      </x:c>
      <x:c r="G574" s="13" t="n">
        <x:v>280</x:v>
      </x:c>
      <x:c r="H574" s="2" t="str">
        <x:f>IF(OR($E$4="",NOT(ISNUMBER($E$4)),$E$4&lt;1,$E$4&gt;400),"参考年待填",IF(OR(E574="",F574="",G574=""),"年代待核",IF($E$4&lt;E574,"未出生",IF($E$4&lt;F574,"未登场",IF($E$4&gt;G574,"已过卒年",IF($E$4=G574,"卒年边界待核","年表可登场"))))))</x:f>
        <x:v>未出生</x:v>
      </x:c>
      <x:c r="I574" s="12"/>
      <x:c r="J574" s="2" t="str">
        <x:v>SAN14游戏设定</x:v>
      </x:c>
      <x:c r="K574" s="2" t="str"/>
      <x:c r="L574" s="2" t="str">
        <x:v>孫震</x:v>
      </x:c>
      <x:c r="M574" s="2" t="str">
        <x:v>san14-candidate-0566</x:v>
      </x:c>
      <x:c r="N574" s="2" t="str">
        <x:v>孫震</x:v>
      </x:c>
      <x:c r="O574" s="2" t="str">
        <x:v>ソンシン</x:v>
      </x:c>
    </x:row>
    <x:row r="575" ht="23" customHeight="1">
      <x:c r="A575" s="13" t="n">
        <x:v>567</x:v>
      </x:c>
      <x:c r="B575" s="2" t="str">
        <x:v>孙静</x:v>
      </x:c>
      <x:c r="C575" s="2" t="str">
        <x:v>孫靜</x:v>
      </x:c>
      <x:c r="D575" s="2" t="str"/>
      <x:c r="E575" s="13" t="n">
        <x:v>160</x:v>
      </x:c>
      <x:c r="F575" s="13" t="n">
        <x:v>184</x:v>
      </x:c>
      <x:c r="G575" s="13" t="n">
        <x:v>206</x:v>
      </x:c>
      <x:c r="H575" s="2" t="str">
        <x:f>IF(OR($E$4="",NOT(ISNUMBER($E$4)),$E$4&lt;1,$E$4&gt;400),"参考年待填",IF(OR(E575="",F575="",G575=""),"年代待核",IF($E$4&lt;E575,"未出生",IF($E$4&lt;F575,"未登场",IF($E$4&gt;G575,"已过卒年",IF($E$4=G575,"卒年边界待核","年表可登场"))))))</x:f>
        <x:v>已过卒年</x:v>
      </x:c>
      <x:c r="I575" s="12"/>
      <x:c r="J575" s="2" t="str">
        <x:v>SAN14游戏设定</x:v>
      </x:c>
      <x:c r="K575" s="2" t="str"/>
      <x:c r="L575" s="2" t="str">
        <x:v>孫靜</x:v>
      </x:c>
      <x:c r="M575" s="2" t="str">
        <x:v>san14-candidate-0567</x:v>
      </x:c>
      <x:c r="N575" s="2" t="str">
        <x:v>孫静</x:v>
      </x:c>
      <x:c r="O575" s="2" t="str">
        <x:v>ソンセイ</x:v>
      </x:c>
    </x:row>
    <x:row r="576" ht="23" customHeight="1">
      <x:c r="A576" s="13" t="n">
        <x:v>568</x:v>
      </x:c>
      <x:c r="B576" s="2" t="str">
        <x:v>孙仲</x:v>
      </x:c>
      <x:c r="C576" s="2" t="str">
        <x:v>孫仲</x:v>
      </x:c>
      <x:c r="D576" s="2" t="str"/>
      <x:c r="E576" s="13" t="n">
        <x:v>154</x:v>
      </x:c>
      <x:c r="F576" s="13" t="n">
        <x:v>184</x:v>
      </x:c>
      <x:c r="G576" s="13" t="n">
        <x:v>184</x:v>
      </x:c>
      <x:c r="H576" s="2" t="str">
        <x:f>IF(OR($E$4="",NOT(ISNUMBER($E$4)),$E$4&lt;1,$E$4&gt;400),"参考年待填",IF(OR(E576="",F576="",G576=""),"年代待核",IF($E$4&lt;E576,"未出生",IF($E$4&lt;F576,"未登场",IF($E$4&gt;G576,"已过卒年",IF($E$4=G576,"卒年边界待核","年表可登场"))))))</x:f>
        <x:v>已过卒年</x:v>
      </x:c>
      <x:c r="I576" s="12"/>
      <x:c r="J576" s="2" t="str">
        <x:v>SAN14游戏设定</x:v>
      </x:c>
      <x:c r="K576" s="2" t="str"/>
      <x:c r="L576" s="2" t="str">
        <x:v>孫仲</x:v>
      </x:c>
      <x:c r="M576" s="2" t="str">
        <x:v>san14-candidate-0568</x:v>
      </x:c>
      <x:c r="N576" s="2" t="str">
        <x:v>孫仲</x:v>
      </x:c>
      <x:c r="O576" s="2" t="str">
        <x:v>ソンチュウ</x:v>
      </x:c>
    </x:row>
    <x:row r="577" ht="23" customHeight="1">
      <x:c r="A577" s="13" t="n">
        <x:v>569</x:v>
      </x:c>
      <x:c r="B577" s="2" t="str">
        <x:v>孙𬘭</x:v>
      </x:c>
      <x:c r="C577" s="2" t="str">
        <x:v>孫綝</x:v>
      </x:c>
      <x:c r="D577" s="2" t="str"/>
      <x:c r="E577" s="13" t="n">
        <x:v>231</x:v>
      </x:c>
      <x:c r="F577" s="13" t="n">
        <x:v>250</x:v>
      </x:c>
      <x:c r="G577" s="13" t="n">
        <x:v>258</x:v>
      </x:c>
      <x:c r="H577" s="2" t="str">
        <x:f>IF(OR($E$4="",NOT(ISNUMBER($E$4)),$E$4&lt;1,$E$4&gt;400),"参考年待填",IF(OR(E577="",F577="",G577=""),"年代待核",IF($E$4&lt;E577,"未出生",IF($E$4&lt;F577,"未登场",IF($E$4&gt;G577,"已过卒年",IF($E$4=G577,"卒年边界待核","年表可登场"))))))</x:f>
        <x:v>未出生</x:v>
      </x:c>
      <x:c r="I577" s="12"/>
      <x:c r="J577" s="2" t="str">
        <x:v>SAN14游戏设定</x:v>
      </x:c>
      <x:c r="K577" s="2" t="str"/>
      <x:c r="L577" s="2" t="str">
        <x:v>孫綝</x:v>
      </x:c>
      <x:c r="M577" s="2" t="str">
        <x:v>san14-candidate-0569</x:v>
      </x:c>
      <x:c r="N577" s="2" t="str">
        <x:v>孫チン</x:v>
      </x:c>
      <x:c r="O577" s="2" t="str">
        <x:v>ソンチン</x:v>
      </x:c>
    </x:row>
    <x:row r="578" ht="23" customHeight="1">
      <x:c r="A578" s="13" t="n">
        <x:v>570</x:v>
      </x:c>
      <x:c r="B578" s="2" t="str">
        <x:v>孙登</x:v>
      </x:c>
      <x:c r="C578" s="2" t="str">
        <x:v>孫登</x:v>
      </x:c>
      <x:c r="D578" s="2" t="str"/>
      <x:c r="E578" s="13" t="n">
        <x:v>209</x:v>
      </x:c>
      <x:c r="F578" s="13" t="n">
        <x:v>223</x:v>
      </x:c>
      <x:c r="G578" s="13" t="n">
        <x:v>241</x:v>
      </x:c>
      <x:c r="H578" s="2" t="str">
        <x:f>IF(OR($E$4="",NOT(ISNUMBER($E$4)),$E$4&lt;1,$E$4&gt;400),"参考年待填",IF(OR(E578="",F578="",G578=""),"年代待核",IF($E$4&lt;E578,"未出生",IF($E$4&lt;F578,"未登场",IF($E$4&gt;G578,"已过卒年",IF($E$4=G578,"卒年边界待核","年表可登场"))))))</x:f>
        <x:v>年表可登场</x:v>
      </x:c>
      <x:c r="I578" s="12"/>
      <x:c r="J578" s="2" t="str">
        <x:v>SAN14游戏设定</x:v>
      </x:c>
      <x:c r="K578" s="2" t="str"/>
      <x:c r="L578" s="2" t="str">
        <x:v>孫登</x:v>
      </x:c>
      <x:c r="M578" s="2" t="str">
        <x:v>san14-candidate-0570</x:v>
      </x:c>
      <x:c r="N578" s="2" t="str">
        <x:v>孫登</x:v>
      </x:c>
      <x:c r="O578" s="2" t="str">
        <x:v>ソントウ</x:v>
      </x:c>
    </x:row>
    <x:row r="579" ht="23" customHeight="1">
      <x:c r="A579" s="13" t="n">
        <x:v>571</x:v>
      </x:c>
      <x:c r="B579" s="2" t="str">
        <x:v>孙霸</x:v>
      </x:c>
      <x:c r="C579" s="2" t="str">
        <x:v>孫霸</x:v>
      </x:c>
      <x:c r="D579" s="2" t="str"/>
      <x:c r="E579" s="13" t="n">
        <x:v>227</x:v>
      </x:c>
      <x:c r="F579" s="13" t="n">
        <x:v>241</x:v>
      </x:c>
      <x:c r="G579" s="13" t="n">
        <x:v>250</x:v>
      </x:c>
      <x:c r="H579" s="2" t="str">
        <x:f>IF(OR($E$4="",NOT(ISNUMBER($E$4)),$E$4&lt;1,$E$4&gt;400),"参考年待填",IF(OR(E579="",F579="",G579=""),"年代待核",IF($E$4&lt;E579,"未出生",IF($E$4&lt;F579,"未登场",IF($E$4&gt;G579,"已过卒年",IF($E$4=G579,"卒年边界待核","年表可登场"))))))</x:f>
        <x:v>未登场</x:v>
      </x:c>
      <x:c r="I579" s="12"/>
      <x:c r="J579" s="2" t="str">
        <x:v>SAN14游戏设定</x:v>
      </x:c>
      <x:c r="K579" s="2" t="str"/>
      <x:c r="L579" s="2" t="str">
        <x:v>孫霸</x:v>
      </x:c>
      <x:c r="M579" s="2" t="str">
        <x:v>san14-candidate-0571</x:v>
      </x:c>
      <x:c r="N579" s="2" t="str">
        <x:v>孫覇</x:v>
      </x:c>
      <x:c r="O579" s="2" t="str">
        <x:v>ソンハ</x:v>
      </x:c>
    </x:row>
    <x:row r="580" ht="23" customHeight="1">
      <x:c r="A580" s="13" t="n">
        <x:v>572</x:v>
      </x:c>
      <x:c r="B580" s="2" t="str">
        <x:v>孙贲</x:v>
      </x:c>
      <x:c r="C580" s="2" t="str">
        <x:v>孫賁</x:v>
      </x:c>
      <x:c r="D580" s="2" t="str"/>
      <x:c r="E580" s="13" t="n">
        <x:v>163</x:v>
      </x:c>
      <x:c r="F580" s="13" t="n">
        <x:v>184</x:v>
      </x:c>
      <x:c r="G580" s="13" t="n">
        <x:v>210</x:v>
      </x:c>
      <x:c r="H580" s="2" t="str">
        <x:f>IF(OR($E$4="",NOT(ISNUMBER($E$4)),$E$4&lt;1,$E$4&gt;400),"参考年待填",IF(OR(E580="",F580="",G580=""),"年代待核",IF($E$4&lt;E580,"未出生",IF($E$4&lt;F580,"未登场",IF($E$4&gt;G580,"已过卒年",IF($E$4=G580,"卒年边界待核","年表可登场"))))))</x:f>
        <x:v>已过卒年</x:v>
      </x:c>
      <x:c r="I580" s="12"/>
      <x:c r="J580" s="2" t="str">
        <x:v>SAN14游戏设定</x:v>
      </x:c>
      <x:c r="K580" s="2" t="str"/>
      <x:c r="L580" s="2" t="str">
        <x:v>孫賁</x:v>
      </x:c>
      <x:c r="M580" s="2" t="str">
        <x:v>san14-candidate-0572</x:v>
      </x:c>
      <x:c r="N580" s="2" t="str">
        <x:v>孫賁</x:v>
      </x:c>
      <x:c r="O580" s="2" t="str">
        <x:v>ソンフン</x:v>
      </x:c>
    </x:row>
    <x:row r="581" ht="23" customHeight="1">
      <x:c r="A581" s="13" t="n">
        <x:v>573</x:v>
      </x:c>
      <x:c r="B581" s="2" t="str">
        <x:v>孙奋</x:v>
      </x:c>
      <x:c r="C581" s="2" t="str">
        <x:v>孫奮</x:v>
      </x:c>
      <x:c r="D581" s="2" t="str"/>
      <x:c r="E581" s="13" t="n">
        <x:v>231</x:v>
      </x:c>
      <x:c r="F581" s="13" t="n">
        <x:v>245</x:v>
      </x:c>
      <x:c r="G581" s="13" t="n">
        <x:v>270</x:v>
      </x:c>
      <x:c r="H581" s="2" t="str">
        <x:f>IF(OR($E$4="",NOT(ISNUMBER($E$4)),$E$4&lt;1,$E$4&gt;400),"参考年待填",IF(OR(E581="",F581="",G581=""),"年代待核",IF($E$4&lt;E581,"未出生",IF($E$4&lt;F581,"未登场",IF($E$4&gt;G581,"已过卒年",IF($E$4=G581,"卒年边界待核","年表可登场"))))))</x:f>
        <x:v>未出生</x:v>
      </x:c>
      <x:c r="I581" s="12"/>
      <x:c r="J581" s="2" t="str">
        <x:v>SAN14游戏设定</x:v>
      </x:c>
      <x:c r="K581" s="2" t="str"/>
      <x:c r="L581" s="2" t="str">
        <x:v>孫奮</x:v>
      </x:c>
      <x:c r="M581" s="2" t="str">
        <x:v>san14-candidate-0573</x:v>
      </x:c>
      <x:c r="N581" s="2" t="str">
        <x:v>孫奮</x:v>
      </x:c>
      <x:c r="O581" s="2" t="str">
        <x:v>ソンフン</x:v>
      </x:c>
    </x:row>
    <x:row r="582" ht="23" customHeight="1">
      <x:c r="A582" s="13" t="n">
        <x:v>574</x:v>
      </x:c>
      <x:c r="B582" s="2" t="str">
        <x:v>孙辅</x:v>
      </x:c>
      <x:c r="C582" s="2" t="str">
        <x:v>孫輔</x:v>
      </x:c>
      <x:c r="D582" s="2" t="str"/>
      <x:c r="E582" s="13" t="n">
        <x:v>173</x:v>
      </x:c>
      <x:c r="F582" s="13" t="n">
        <x:v>194</x:v>
      </x:c>
      <x:c r="G582" s="13" t="n">
        <x:v>207</x:v>
      </x:c>
      <x:c r="H582" s="2" t="str">
        <x:f>IF(OR($E$4="",NOT(ISNUMBER($E$4)),$E$4&lt;1,$E$4&gt;400),"参考年待填",IF(OR(E582="",F582="",G582=""),"年代待核",IF($E$4&lt;E582,"未出生",IF($E$4&lt;F582,"未登场",IF($E$4&gt;G582,"已过卒年",IF($E$4=G582,"卒年边界待核","年表可登场"))))))</x:f>
        <x:v>已过卒年</x:v>
      </x:c>
      <x:c r="I582" s="12"/>
      <x:c r="J582" s="2" t="str">
        <x:v>SAN14游戏设定</x:v>
      </x:c>
      <x:c r="K582" s="2" t="str"/>
      <x:c r="L582" s="2" t="str">
        <x:v>孫輔</x:v>
      </x:c>
      <x:c r="M582" s="2" t="str">
        <x:v>san14-candidate-0574</x:v>
      </x:c>
      <x:c r="N582" s="2" t="str">
        <x:v>孫輔</x:v>
      </x:c>
      <x:c r="O582" s="2" t="str">
        <x:v>ソンホ</x:v>
      </x:c>
    </x:row>
    <x:row r="583" ht="23" customHeight="1">
      <x:c r="A583" s="13" t="n">
        <x:v>575</x:v>
      </x:c>
      <x:c r="B583" s="2" t="str">
        <x:v>孙瑜</x:v>
      </x:c>
      <x:c r="C583" s="2" t="str">
        <x:v>孫瑜</x:v>
      </x:c>
      <x:c r="D583" s="2" t="str"/>
      <x:c r="E583" s="13" t="n">
        <x:v>177</x:v>
      </x:c>
      <x:c r="F583" s="13" t="n">
        <x:v>191</x:v>
      </x:c>
      <x:c r="G583" s="13" t="n">
        <x:v>215</x:v>
      </x:c>
      <x:c r="H583" s="2" t="str">
        <x:f>IF(OR($E$4="",NOT(ISNUMBER($E$4)),$E$4&lt;1,$E$4&gt;400),"参考年待填",IF(OR(E583="",F583="",G583=""),"年代待核",IF($E$4&lt;E583,"未出生",IF($E$4&lt;F583,"未登场",IF($E$4&gt;G583,"已过卒年",IF($E$4=G583,"卒年边界待核","年表可登场"))))))</x:f>
        <x:v>已过卒年</x:v>
      </x:c>
      <x:c r="I583" s="12"/>
      <x:c r="J583" s="2" t="str">
        <x:v>SAN14游戏设定</x:v>
      </x:c>
      <x:c r="K583" s="2" t="str"/>
      <x:c r="L583" s="2" t="str">
        <x:v>孫瑜</x:v>
      </x:c>
      <x:c r="M583" s="2" t="str">
        <x:v>san14-candidate-0575</x:v>
      </x:c>
      <x:c r="N583" s="2" t="str">
        <x:v>孫瑜</x:v>
      </x:c>
      <x:c r="O583" s="2" t="str">
        <x:v>ソンユ</x:v>
      </x:c>
    </x:row>
    <x:row r="584" ht="23" customHeight="1">
      <x:c r="A584" s="13" t="n">
        <x:v>576</x:v>
      </x:c>
      <x:c r="B584" s="2" t="str">
        <x:v>孙翊</x:v>
      </x:c>
      <x:c r="C584" s="2" t="str">
        <x:v>孫翊</x:v>
      </x:c>
      <x:c r="D584" s="2" t="str"/>
      <x:c r="E584" s="13" t="n">
        <x:v>184</x:v>
      </x:c>
      <x:c r="F584" s="13" t="n">
        <x:v>198</x:v>
      </x:c>
      <x:c r="G584" s="13" t="n">
        <x:v>204</x:v>
      </x:c>
      <x:c r="H584" s="2" t="str">
        <x:f>IF(OR($E$4="",NOT(ISNUMBER($E$4)),$E$4&lt;1,$E$4&gt;400),"参考年待填",IF(OR(E584="",F584="",G584=""),"年代待核",IF($E$4&lt;E584,"未出生",IF($E$4&lt;F584,"未登场",IF($E$4&gt;G584,"已过卒年",IF($E$4=G584,"卒年边界待核","年表可登场"))))))</x:f>
        <x:v>已过卒年</x:v>
      </x:c>
      <x:c r="I584" s="12"/>
      <x:c r="J584" s="2" t="str">
        <x:v>SAN14游戏设定</x:v>
      </x:c>
      <x:c r="K584" s="2" t="str"/>
      <x:c r="L584" s="2" t="str">
        <x:v>孫翊</x:v>
      </x:c>
      <x:c r="M584" s="2" t="str">
        <x:v>san14-candidate-0576</x:v>
      </x:c>
      <x:c r="N584" s="2" t="str">
        <x:v>孫翊</x:v>
      </x:c>
      <x:c r="O584" s="2" t="str">
        <x:v>ソンヨク</x:v>
      </x:c>
    </x:row>
    <x:row r="585" ht="23" customHeight="1">
      <x:c r="A585" s="13" t="n">
        <x:v>577</x:v>
      </x:c>
      <x:c r="B585" s="2" t="str">
        <x:v>孙虑</x:v>
      </x:c>
      <x:c r="C585" s="2" t="str">
        <x:v>孫慮</x:v>
      </x:c>
      <x:c r="D585" s="2" t="str"/>
      <x:c r="E585" s="13" t="n">
        <x:v>213</x:v>
      </x:c>
      <x:c r="F585" s="13" t="n">
        <x:v>227</x:v>
      </x:c>
      <x:c r="G585" s="13" t="n">
        <x:v>232</x:v>
      </x:c>
      <x:c r="H585" s="2" t="str">
        <x:f>IF(OR($E$4="",NOT(ISNUMBER($E$4)),$E$4&lt;1,$E$4&gt;400),"参考年待填",IF(OR(E585="",F585="",G585=""),"年代待核",IF($E$4&lt;E585,"未出生",IF($E$4&lt;F585,"未登场",IF($E$4&gt;G585,"已过卒年",IF($E$4=G585,"卒年边界待核","年表可登场"))))))</x:f>
        <x:v>年表可登场</x:v>
      </x:c>
      <x:c r="I585" s="12"/>
      <x:c r="J585" s="2" t="str">
        <x:v>SAN14游戏设定</x:v>
      </x:c>
      <x:c r="K585" s="2" t="str"/>
      <x:c r="L585" s="2" t="str">
        <x:v>孫慮</x:v>
      </x:c>
      <x:c r="M585" s="2" t="str">
        <x:v>san14-candidate-0577</x:v>
      </x:c>
      <x:c r="N585" s="2" t="str">
        <x:v>孫慮</x:v>
      </x:c>
      <x:c r="O585" s="2" t="str">
        <x:v>ソンリョ</x:v>
      </x:c>
    </x:row>
    <x:row r="586" ht="23" customHeight="1">
      <x:c r="A586" s="13" t="n">
        <x:v>578</x:v>
      </x:c>
      <x:c r="B586" s="2" t="str">
        <x:v>孙亮</x:v>
      </x:c>
      <x:c r="C586" s="2" t="str">
        <x:v>孫亮</x:v>
      </x:c>
      <x:c r="D586" s="2" t="str"/>
      <x:c r="E586" s="13" t="n">
        <x:v>243</x:v>
      </x:c>
      <x:c r="F586" s="13" t="n">
        <x:v>253</x:v>
      </x:c>
      <x:c r="G586" s="13" t="n">
        <x:v>260</x:v>
      </x:c>
      <x:c r="H586" s="2" t="str">
        <x:f>IF(OR($E$4="",NOT(ISNUMBER($E$4)),$E$4&lt;1,$E$4&gt;400),"参考年待填",IF(OR(E586="",F586="",G586=""),"年代待核",IF($E$4&lt;E586,"未出生",IF($E$4&lt;F586,"未登场",IF($E$4&gt;G586,"已过卒年",IF($E$4=G586,"卒年边界待核","年表可登场"))))))</x:f>
        <x:v>未出生</x:v>
      </x:c>
      <x:c r="I586" s="12"/>
      <x:c r="J586" s="2" t="str">
        <x:v>SAN14游戏设定</x:v>
      </x:c>
      <x:c r="K586" s="2" t="str"/>
      <x:c r="L586" s="2" t="str">
        <x:v>孫亮</x:v>
      </x:c>
      <x:c r="M586" s="2" t="str">
        <x:v>san14-candidate-0578</x:v>
      </x:c>
      <x:c r="N586" s="2" t="str">
        <x:v>孫亮</x:v>
      </x:c>
      <x:c r="O586" s="2" t="str">
        <x:v>ソンリョウ</x:v>
      </x:c>
    </x:row>
    <x:row r="587" ht="23" customHeight="1">
      <x:c r="A587" s="13" t="n">
        <x:v>579</x:v>
      </x:c>
      <x:c r="B587" s="2" t="str">
        <x:v>孙礼</x:v>
      </x:c>
      <x:c r="C587" s="2" t="str">
        <x:v>孫禮</x:v>
      </x:c>
      <x:c r="D587" s="2" t="str"/>
      <x:c r="E587" s="13" t="n">
        <x:v>180</x:v>
      </x:c>
      <x:c r="F587" s="13" t="n">
        <x:v>204</x:v>
      </x:c>
      <x:c r="G587" s="13" t="n">
        <x:v>250</x:v>
      </x:c>
      <x:c r="H587" s="2" t="str">
        <x:f>IF(OR($E$4="",NOT(ISNUMBER($E$4)),$E$4&lt;1,$E$4&gt;400),"参考年待填",IF(OR(E587="",F587="",G587=""),"年代待核",IF($E$4&lt;E587,"未出生",IF($E$4&lt;F587,"未登场",IF($E$4&gt;G587,"已过卒年",IF($E$4=G587,"卒年边界待核","年表可登场"))))))</x:f>
        <x:v>年表可登场</x:v>
      </x:c>
      <x:c r="I587" s="12"/>
      <x:c r="J587" s="2" t="str">
        <x:v>SAN14游戏设定</x:v>
      </x:c>
      <x:c r="K587" s="2" t="str"/>
      <x:c r="L587" s="2" t="str">
        <x:v>孫禮</x:v>
      </x:c>
      <x:c r="M587" s="2" t="str">
        <x:v>san14-candidate-0579</x:v>
      </x:c>
      <x:c r="N587" s="2" t="str">
        <x:v>孫礼</x:v>
      </x:c>
      <x:c r="O587" s="2" t="str">
        <x:v>ソンレイ</x:v>
      </x:c>
    </x:row>
    <x:row r="588" ht="23" customHeight="1">
      <x:c r="A588" s="13" t="n">
        <x:v>580</x:v>
      </x:c>
      <x:c r="B588" s="2" t="str">
        <x:v>孙鲁育</x:v>
      </x:c>
      <x:c r="C588" s="2" t="str">
        <x:v>孫魯育</x:v>
      </x:c>
      <x:c r="D588" s="2" t="str"/>
      <x:c r="E588" s="13" t="n">
        <x:v>204</x:v>
      </x:c>
      <x:c r="F588" s="13" t="n">
        <x:v>218</x:v>
      </x:c>
      <x:c r="G588" s="13" t="n">
        <x:v>255</x:v>
      </x:c>
      <x:c r="H588" s="2" t="str">
        <x:f>IF(OR($E$4="",NOT(ISNUMBER($E$4)),$E$4&lt;1,$E$4&gt;400),"参考年待填",IF(OR(E588="",F588="",G588=""),"年代待核",IF($E$4&lt;E588,"未出生",IF($E$4&lt;F588,"未登场",IF($E$4&gt;G588,"已过卒年",IF($E$4=G588,"卒年边界待核","年表可登场"))))))</x:f>
        <x:v>年表可登场</x:v>
      </x:c>
      <x:c r="I588" s="12"/>
      <x:c r="J588" s="2" t="str">
        <x:v>SAN14游戏设定</x:v>
      </x:c>
      <x:c r="K588" s="2" t="str"/>
      <x:c r="L588" s="2" t="str">
        <x:v>孫魯育</x:v>
      </x:c>
      <x:c r="M588" s="2" t="str">
        <x:v>san14-candidate-0580</x:v>
      </x:c>
      <x:c r="N588" s="2" t="str">
        <x:v>孫魯育</x:v>
      </x:c>
      <x:c r="O588" s="2" t="str">
        <x:v>ソンロイク</x:v>
      </x:c>
    </x:row>
    <x:row r="589" ht="23" customHeight="1">
      <x:c r="A589" s="13" t="n">
        <x:v>581</x:v>
      </x:c>
      <x:c r="B589" s="2" t="str">
        <x:v>孙朗</x:v>
      </x:c>
      <x:c r="C589" s="2" t="str">
        <x:v>孫朗</x:v>
      </x:c>
      <x:c r="D589" s="2" t="str"/>
      <x:c r="E589" s="13" t="n">
        <x:v>187</x:v>
      </x:c>
      <x:c r="F589" s="13" t="n">
        <x:v>201</x:v>
      </x:c>
      <x:c r="G589" s="13" t="n">
        <x:v>226</x:v>
      </x:c>
      <x:c r="H589" s="2" t="str">
        <x:f>IF(OR($E$4="",NOT(ISNUMBER($E$4)),$E$4&lt;1,$E$4&gt;400),"参考年待填",IF(OR(E589="",F589="",G589=""),"年代待核",IF($E$4&lt;E589,"未出生",IF($E$4&lt;F589,"未登场",IF($E$4&gt;G589,"已过卒年",IF($E$4=G589,"卒年边界待核","年表可登场"))))))</x:f>
        <x:v>已过卒年</x:v>
      </x:c>
      <x:c r="I589" s="12"/>
      <x:c r="J589" s="2" t="str">
        <x:v>SAN14游戏设定</x:v>
      </x:c>
      <x:c r="K589" s="2" t="str"/>
      <x:c r="L589" s="2" t="str">
        <x:v>孫朗</x:v>
      </x:c>
      <x:c r="M589" s="2" t="str">
        <x:v>san14-candidate-0581</x:v>
      </x:c>
      <x:c r="N589" s="2" t="str">
        <x:v>孫朗</x:v>
      </x:c>
      <x:c r="O589" s="2" t="str">
        <x:v>ソンロウ</x:v>
      </x:c>
    </x:row>
    <x:row r="590" ht="23" customHeight="1">
      <x:c r="A590" s="13" t="n">
        <x:v>582</x:v>
      </x:c>
      <x:c r="B590" s="2" t="str">
        <x:v>孙鲁班</x:v>
      </x:c>
      <x:c r="C590" s="2" t="str">
        <x:v>孫魯班</x:v>
      </x:c>
      <x:c r="D590" s="2" t="str"/>
      <x:c r="E590" s="13" t="n">
        <x:v>202</x:v>
      </x:c>
      <x:c r="F590" s="13" t="n">
        <x:v>216</x:v>
      </x:c>
      <x:c r="G590" s="13" t="n">
        <x:v>263</x:v>
      </x:c>
      <x:c r="H590" s="2" t="str">
        <x:f>IF(OR($E$4="",NOT(ISNUMBER($E$4)),$E$4&lt;1,$E$4&gt;400),"参考年待填",IF(OR(E590="",F590="",G590=""),"年代待核",IF($E$4&lt;E590,"未出生",IF($E$4&lt;F590,"未登场",IF($E$4&gt;G590,"已过卒年",IF($E$4=G590,"卒年边界待核","年表可登场"))))))</x:f>
        <x:v>年表可登场</x:v>
      </x:c>
      <x:c r="I590" s="12"/>
      <x:c r="J590" s="2" t="str">
        <x:v>SAN14游戏设定</x:v>
      </x:c>
      <x:c r="K590" s="2" t="str"/>
      <x:c r="L590" s="2" t="str">
        <x:v>孫魯班</x:v>
      </x:c>
      <x:c r="M590" s="2" t="str">
        <x:v>san14-candidate-0582</x:v>
      </x:c>
      <x:c r="N590" s="2" t="str">
        <x:v>孫魯班</x:v>
      </x:c>
      <x:c r="O590" s="2" t="str">
        <x:v>ソンロハン</x:v>
      </x:c>
    </x:row>
    <x:row r="591" ht="23" customHeight="1">
      <x:c r="A591" s="13" t="n">
        <x:v>583</x:v>
      </x:c>
      <x:c r="B591" s="2" t="str">
        <x:v>戴员</x:v>
      </x:c>
      <x:c r="C591" s="2" t="str">
        <x:v>戴員</x:v>
      </x:c>
      <x:c r="D591" s="2" t="str"/>
      <x:c r="E591" s="13" t="n">
        <x:v>166</x:v>
      </x:c>
      <x:c r="F591" s="13" t="n">
        <x:v>192</x:v>
      </x:c>
      <x:c r="G591" s="13" t="n">
        <x:v>204</x:v>
      </x:c>
      <x:c r="H591" s="2" t="str">
        <x:f>IF(OR($E$4="",NOT(ISNUMBER($E$4)),$E$4&lt;1,$E$4&gt;400),"参考年待填",IF(OR(E591="",F591="",G591=""),"年代待核",IF($E$4&lt;E591,"未出生",IF($E$4&lt;F591,"未登场",IF($E$4&gt;G591,"已过卒年",IF($E$4=G591,"卒年边界待核","年表可登场"))))))</x:f>
        <x:v>已过卒年</x:v>
      </x:c>
      <x:c r="I591" s="12"/>
      <x:c r="J591" s="2" t="str">
        <x:v>SAN14游戏设定</x:v>
      </x:c>
      <x:c r="K591" s="2" t="str"/>
      <x:c r="L591" s="2" t="str">
        <x:v>戴員</x:v>
      </x:c>
      <x:c r="M591" s="2" t="str">
        <x:v>san14-candidate-0583</x:v>
      </x:c>
      <x:c r="N591" s="2" t="str">
        <x:v>戴員</x:v>
      </x:c>
      <x:c r="O591" s="2" t="str">
        <x:v>タイウン</x:v>
      </x:c>
    </x:row>
    <x:row r="592" ht="23" customHeight="1">
      <x:c r="A592" s="13" t="n">
        <x:v>584</x:v>
      </x:c>
      <x:c r="B592" s="2" t="str">
        <x:v>大乔</x:v>
      </x:c>
      <x:c r="C592" s="2" t="str">
        <x:v>大喬</x:v>
      </x:c>
      <x:c r="D592" s="2" t="str"/>
      <x:c r="E592" s="13" t="n">
        <x:v>177</x:v>
      </x:c>
      <x:c r="F592" s="13" t="n">
        <x:v>194</x:v>
      </x:c>
      <x:c r="G592" s="13" t="n">
        <x:v>210</x:v>
      </x:c>
      <x:c r="H592" s="2" t="str">
        <x:f>IF(OR($E$4="",NOT(ISNUMBER($E$4)),$E$4&lt;1,$E$4&gt;400),"参考年待填",IF(OR(E592="",F592="",G592=""),"年代待核",IF($E$4&lt;E592,"未出生",IF($E$4&lt;F592,"未登场",IF($E$4&gt;G592,"已过卒年",IF($E$4=G592,"卒年边界待核","年表可登场"))))))</x:f>
        <x:v>已过卒年</x:v>
      </x:c>
      <x:c r="I592" s="12"/>
      <x:c r="J592" s="2" t="str">
        <x:v>SAN14游戏设定</x:v>
      </x:c>
      <x:c r="K592" s="2" t="str"/>
      <x:c r="L592" s="2" t="str">
        <x:v>大喬</x:v>
      </x:c>
      <x:c r="M592" s="2" t="str">
        <x:v>san14-candidate-0584</x:v>
      </x:c>
      <x:c r="N592" s="2" t="str">
        <x:v>大喬</x:v>
      </x:c>
      <x:c r="O592" s="2" t="str">
        <x:v>ダイキョウ</x:v>
      </x:c>
    </x:row>
    <x:row r="593" ht="23" customHeight="1">
      <x:c r="A593" s="13" t="n">
        <x:v>585</x:v>
      </x:c>
      <x:c r="B593" s="2" t="str">
        <x:v>太史享</x:v>
      </x:c>
      <x:c r="C593" s="2" t="str">
        <x:v>太史享</x:v>
      </x:c>
      <x:c r="D593" s="2" t="str"/>
      <x:c r="E593" s="13" t="n">
        <x:v>189</x:v>
      </x:c>
      <x:c r="F593" s="13" t="n">
        <x:v>207</x:v>
      </x:c>
      <x:c r="G593" s="13" t="n">
        <x:v>246</x:v>
      </x:c>
      <x:c r="H593" s="2" t="str">
        <x:f>IF(OR($E$4="",NOT(ISNUMBER($E$4)),$E$4&lt;1,$E$4&gt;400),"参考年待填",IF(OR(E593="",F593="",G593=""),"年代待核",IF($E$4&lt;E593,"未出生",IF($E$4&lt;F593,"未登场",IF($E$4&gt;G593,"已过卒年",IF($E$4=G593,"卒年边界待核","年表可登场"))))))</x:f>
        <x:v>年表可登场</x:v>
      </x:c>
      <x:c r="I593" s="12"/>
      <x:c r="J593" s="2" t="str">
        <x:v>SAN14游戏设定</x:v>
      </x:c>
      <x:c r="K593" s="2" t="str"/>
      <x:c r="L593" s="2" t="str">
        <x:v>太史享</x:v>
      </x:c>
      <x:c r="M593" s="2" t="str">
        <x:v>san14-candidate-0585</x:v>
      </x:c>
      <x:c r="N593" s="2" t="str">
        <x:v>太史享</x:v>
      </x:c>
      <x:c r="O593" s="2" t="str">
        <x:v>タイシキョウ</x:v>
      </x:c>
    </x:row>
    <x:row r="594" ht="23" customHeight="1">
      <x:c r="A594" s="13" t="n">
        <x:v>586</x:v>
      </x:c>
      <x:c r="B594" s="2" t="str">
        <x:v>太史慈</x:v>
      </x:c>
      <x:c r="C594" s="2" t="str">
        <x:v>太史慈</x:v>
      </x:c>
      <x:c r="D594" s="2" t="str"/>
      <x:c r="E594" s="13" t="n">
        <x:v>166</x:v>
      </x:c>
      <x:c r="F594" s="13" t="n">
        <x:v>185</x:v>
      </x:c>
      <x:c r="G594" s="13" t="n">
        <x:v>209</x:v>
      </x:c>
      <x:c r="H594" s="2" t="str">
        <x:f>IF(OR($E$4="",NOT(ISNUMBER($E$4)),$E$4&lt;1,$E$4&gt;400),"参考年待填",IF(OR(E594="",F594="",G594=""),"年代待核",IF($E$4&lt;E594,"未出生",IF($E$4&lt;F594,"未登场",IF($E$4&gt;G594,"已过卒年",IF($E$4=G594,"卒年边界待核","年表可登场"))))))</x:f>
        <x:v>已过卒年</x:v>
      </x:c>
      <x:c r="I594" s="12"/>
      <x:c r="J594" s="2" t="str">
        <x:v>SAN14游戏设定</x:v>
      </x:c>
      <x:c r="K594" s="2" t="str"/>
      <x:c r="L594" s="2" t="str">
        <x:v>太史慈</x:v>
      </x:c>
      <x:c r="M594" s="2" t="str">
        <x:v>san14-candidate-0586</x:v>
      </x:c>
      <x:c r="N594" s="2" t="str">
        <x:v>太史慈</x:v>
      </x:c>
      <x:c r="O594" s="2" t="str">
        <x:v>タイシジ</x:v>
      </x:c>
    </x:row>
    <x:row r="595" ht="23" customHeight="1">
      <x:c r="A595" s="13" t="n">
        <x:v>587</x:v>
      </x:c>
      <x:c r="B595" s="2" t="str">
        <x:v>带来洞主</x:v>
      </x:c>
      <x:c r="C595" s="2" t="str">
        <x:v>帶來洞主</x:v>
      </x:c>
      <x:c r="D595" s="2" t="str"/>
      <x:c r="E595" s="13" t="n">
        <x:v>195</x:v>
      </x:c>
      <x:c r="F595" s="13" t="n">
        <x:v>217</x:v>
      </x:c>
      <x:c r="G595" s="13" t="n">
        <x:v>249</x:v>
      </x:c>
      <x:c r="H595" s="2" t="str">
        <x:f>IF(OR($E$4="",NOT(ISNUMBER($E$4)),$E$4&lt;1,$E$4&gt;400),"参考年待填",IF(OR(E595="",F595="",G595=""),"年代待核",IF($E$4&lt;E595,"未出生",IF($E$4&lt;F595,"未登场",IF($E$4&gt;G595,"已过卒年",IF($E$4=G595,"卒年边界待核","年表可登场"))))))</x:f>
        <x:v>年表可登场</x:v>
      </x:c>
      <x:c r="I595" s="12"/>
      <x:c r="J595" s="2" t="str">
        <x:v>SAN14游戏设定</x:v>
      </x:c>
      <x:c r="K595" s="2" t="str"/>
      <x:c r="L595" s="2" t="str">
        <x:v>帶來洞主</x:v>
      </x:c>
      <x:c r="M595" s="2" t="str">
        <x:v>san14-candidate-0587</x:v>
      </x:c>
      <x:c r="N595" s="2" t="str">
        <x:v>帯来洞主</x:v>
      </x:c>
      <x:c r="O595" s="2" t="str">
        <x:v>タイライドウシュ</x:v>
      </x:c>
    </x:row>
    <x:row r="596" ht="23" customHeight="1">
      <x:c r="A596" s="13" t="n">
        <x:v>588</x:v>
      </x:c>
      <x:c r="B596" s="2" t="str">
        <x:v>戴陵</x:v>
      </x:c>
      <x:c r="C596" s="2" t="str">
        <x:v>戴陵</x:v>
      </x:c>
      <x:c r="D596" s="2" t="str"/>
      <x:c r="E596" s="13" t="n">
        <x:v>199</x:v>
      </x:c>
      <x:c r="F596" s="13" t="n">
        <x:v>218</x:v>
      </x:c>
      <x:c r="G596" s="13" t="n">
        <x:v>258</x:v>
      </x:c>
      <x:c r="H596" s="2" t="str">
        <x:f>IF(OR($E$4="",NOT(ISNUMBER($E$4)),$E$4&lt;1,$E$4&gt;400),"参考年待填",IF(OR(E596="",F596="",G596=""),"年代待核",IF($E$4&lt;E596,"未出生",IF($E$4&lt;F596,"未登场",IF($E$4&gt;G596,"已过卒年",IF($E$4=G596,"卒年边界待核","年表可登场"))))))</x:f>
        <x:v>年表可登场</x:v>
      </x:c>
      <x:c r="I596" s="12"/>
      <x:c r="J596" s="2" t="str">
        <x:v>SAN14游戏设定</x:v>
      </x:c>
      <x:c r="K596" s="2" t="str"/>
      <x:c r="L596" s="2" t="str">
        <x:v>戴陵</x:v>
      </x:c>
      <x:c r="M596" s="2" t="str">
        <x:v>san14-candidate-0588</x:v>
      </x:c>
      <x:c r="N596" s="2" t="str">
        <x:v>戴陵</x:v>
      </x:c>
      <x:c r="O596" s="2" t="str">
        <x:v>タイリョウ</x:v>
      </x:c>
    </x:row>
    <x:row r="597" ht="23" customHeight="1">
      <x:c r="A597" s="13" t="n">
        <x:v>589</x:v>
      </x:c>
      <x:c r="B597" s="2" t="str">
        <x:v>卓膺</x:v>
      </x:c>
      <x:c r="C597" s="2" t="str">
        <x:v>卓膺</x:v>
      </x:c>
      <x:c r="D597" s="2" t="str"/>
      <x:c r="E597" s="13" t="n">
        <x:v>186</x:v>
      </x:c>
      <x:c r="F597" s="13" t="n">
        <x:v>207</x:v>
      </x:c>
      <x:c r="G597" s="13" t="n">
        <x:v>255</x:v>
      </x:c>
      <x:c r="H597" s="2" t="str">
        <x:f>IF(OR($E$4="",NOT(ISNUMBER($E$4)),$E$4&lt;1,$E$4&gt;400),"参考年待填",IF(OR(E597="",F597="",G597=""),"年代待核",IF($E$4&lt;E597,"未出生",IF($E$4&lt;F597,"未登场",IF($E$4&gt;G597,"已过卒年",IF($E$4=G597,"卒年边界待核","年表可登场"))))))</x:f>
        <x:v>年表可登场</x:v>
      </x:c>
      <x:c r="I597" s="12"/>
      <x:c r="J597" s="2" t="str">
        <x:v>SAN14游戏设定</x:v>
      </x:c>
      <x:c r="K597" s="2" t="str"/>
      <x:c r="L597" s="2" t="str">
        <x:v>卓膺</x:v>
      </x:c>
      <x:c r="M597" s="2" t="str">
        <x:v>san14-candidate-0589</x:v>
      </x:c>
      <x:c r="N597" s="2" t="str">
        <x:v>卓膺</x:v>
      </x:c>
      <x:c r="O597" s="2" t="str">
        <x:v>タクヨウ</x:v>
      </x:c>
    </x:row>
    <x:row r="598" ht="23" customHeight="1">
      <x:c r="A598" s="13" t="n">
        <x:v>590</x:v>
      </x:c>
      <x:c r="B598" s="2" t="str">
        <x:v>朵思大王</x:v>
      </x:c>
      <x:c r="C598" s="2" t="str">
        <x:v>朵思大王</x:v>
      </x:c>
      <x:c r="D598" s="2" t="str"/>
      <x:c r="E598" s="13" t="n">
        <x:v>186</x:v>
      </x:c>
      <x:c r="F598" s="13" t="n">
        <x:v>217</x:v>
      </x:c>
      <x:c r="G598" s="13" t="n">
        <x:v>225</x:v>
      </x:c>
      <x:c r="H598" s="2" t="str">
        <x:f>IF(OR($E$4="",NOT(ISNUMBER($E$4)),$E$4&lt;1,$E$4&gt;400),"参考年待填",IF(OR(E598="",F598="",G598=""),"年代待核",IF($E$4&lt;E598,"未出生",IF($E$4&lt;F598,"未登场",IF($E$4&gt;G598,"已过卒年",IF($E$4=G598,"卒年边界待核","年表可登场"))))))</x:f>
        <x:v>已过卒年</x:v>
      </x:c>
      <x:c r="I598" s="12"/>
      <x:c r="J598" s="2" t="str">
        <x:v>SAN14游戏设定</x:v>
      </x:c>
      <x:c r="K598" s="2" t="str"/>
      <x:c r="L598" s="2" t="str">
        <x:v>朵思大王</x:v>
      </x:c>
      <x:c r="M598" s="2" t="str">
        <x:v>san14-candidate-0590</x:v>
      </x:c>
      <x:c r="N598" s="2" t="str">
        <x:v>朶思大王</x:v>
      </x:c>
      <x:c r="O598" s="2" t="str">
        <x:v>ダシダイオウ</x:v>
      </x:c>
    </x:row>
    <x:row r="599" ht="23" customHeight="1">
      <x:c r="A599" s="13" t="n">
        <x:v>591</x:v>
      </x:c>
      <x:c r="B599" s="2" t="str">
        <x:v>谭雄</x:v>
      </x:c>
      <x:c r="C599" s="2" t="str">
        <x:v>譚雄</x:v>
      </x:c>
      <x:c r="D599" s="2" t="str"/>
      <x:c r="E599" s="13" t="n">
        <x:v>188</x:v>
      </x:c>
      <x:c r="F599" s="13" t="n">
        <x:v>207</x:v>
      </x:c>
      <x:c r="G599" s="13" t="n">
        <x:v>221</x:v>
      </x:c>
      <x:c r="H599" s="2" t="str">
        <x:f>IF(OR($E$4="",NOT(ISNUMBER($E$4)),$E$4&lt;1,$E$4&gt;400),"参考年待填",IF(OR(E599="",F599="",G599=""),"年代待核",IF($E$4&lt;E599,"未出生",IF($E$4&lt;F599,"未登场",IF($E$4&gt;G599,"已过卒年",IF($E$4=G599,"卒年边界待核","年表可登场"))))))</x:f>
        <x:v>已过卒年</x:v>
      </x:c>
      <x:c r="I599" s="12"/>
      <x:c r="J599" s="2" t="str">
        <x:v>SAN14游戏设定</x:v>
      </x:c>
      <x:c r="K599" s="2" t="str"/>
      <x:c r="L599" s="2" t="str">
        <x:v>譚雄</x:v>
      </x:c>
      <x:c r="M599" s="2" t="str">
        <x:v>san14-candidate-0591</x:v>
      </x:c>
      <x:c r="N599" s="2" t="str">
        <x:v>譚雄</x:v>
      </x:c>
      <x:c r="O599" s="2" t="str">
        <x:v>タンユウ</x:v>
      </x:c>
    </x:row>
    <x:row r="600" ht="23" customHeight="1">
      <x:c r="A600" s="13" t="n">
        <x:v>592</x:v>
      </x:c>
      <x:c r="B600" s="2" t="str">
        <x:v>段煨</x:v>
      </x:c>
      <x:c r="C600" s="2" t="str">
        <x:v>段煨</x:v>
      </x:c>
      <x:c r="D600" s="2" t="str"/>
      <x:c r="E600" s="13" t="n">
        <x:v>148</x:v>
      </x:c>
      <x:c r="F600" s="13" t="n">
        <x:v>184</x:v>
      </x:c>
      <x:c r="G600" s="13" t="n">
        <x:v>209</x:v>
      </x:c>
      <x:c r="H600" s="2" t="str">
        <x:f>IF(OR($E$4="",NOT(ISNUMBER($E$4)),$E$4&lt;1,$E$4&gt;400),"参考年待填",IF(OR(E600="",F600="",G600=""),"年代待核",IF($E$4&lt;E600,"未出生",IF($E$4&lt;F600,"未登场",IF($E$4&gt;G600,"已过卒年",IF($E$4=G600,"卒年边界待核","年表可登场"))))))</x:f>
        <x:v>已过卒年</x:v>
      </x:c>
      <x:c r="I600" s="12"/>
      <x:c r="J600" s="2" t="str">
        <x:v>SAN14游戏设定</x:v>
      </x:c>
      <x:c r="K600" s="2" t="str"/>
      <x:c r="L600" s="2" t="str">
        <x:v>段煨</x:v>
      </x:c>
      <x:c r="M600" s="2" t="str">
        <x:v>san14-candidate-0592</x:v>
      </x:c>
      <x:c r="N600" s="2" t="str">
        <x:v>段ワイ</x:v>
      </x:c>
      <x:c r="O600" s="2" t="str">
        <x:v>ダンワイ</x:v>
      </x:c>
    </x:row>
    <x:row r="601" ht="23" customHeight="1">
      <x:c r="A601" s="13" t="n">
        <x:v>593</x:v>
      </x:c>
      <x:c r="B601" s="2" t="str">
        <x:v>仲长统</x:v>
      </x:c>
      <x:c r="C601" s="2" t="str">
        <x:v>仲長統</x:v>
      </x:c>
      <x:c r="D601" s="2" t="str"/>
      <x:c r="E601" s="13" t="n">
        <x:v>181</x:v>
      </x:c>
      <x:c r="F601" s="13" t="n">
        <x:v>200</x:v>
      </x:c>
      <x:c r="G601" s="13" t="n">
        <x:v>220</x:v>
      </x:c>
      <x:c r="H601" s="2" t="str">
        <x:f>IF(OR($E$4="",NOT(ISNUMBER($E$4)),$E$4&lt;1,$E$4&gt;400),"参考年待填",IF(OR(E601="",F601="",G601=""),"年代待核",IF($E$4&lt;E601,"未出生",IF($E$4&lt;F601,"未登场",IF($E$4&gt;G601,"已过卒年",IF($E$4=G601,"卒年边界待核","年表可登场"))))))</x:f>
        <x:v>已过卒年</x:v>
      </x:c>
      <x:c r="I601" s="12"/>
      <x:c r="J601" s="2" t="str">
        <x:v>SAN14游戏设定</x:v>
      </x:c>
      <x:c r="K601" s="2" t="str"/>
      <x:c r="L601" s="2" t="str">
        <x:v>仲長統</x:v>
      </x:c>
      <x:c r="M601" s="2" t="str">
        <x:v>san14-candidate-0593</x:v>
      </x:c>
      <x:c r="N601" s="2" t="str">
        <x:v>仲長統</x:v>
      </x:c>
      <x:c r="O601" s="2" t="str">
        <x:v>チュウチョウトウ</x:v>
      </x:c>
    </x:row>
    <x:row r="602" ht="23" customHeight="1">
      <x:c r="A602" s="13" t="n">
        <x:v>594</x:v>
      </x:c>
      <x:c r="B602" s="2" t="str">
        <x:v>赵昱</x:v>
      </x:c>
      <x:c r="C602" s="2" t="str">
        <x:v>趙昱</x:v>
      </x:c>
      <x:c r="D602" s="2" t="str"/>
      <x:c r="E602" s="13" t="n">
        <x:v>153</x:v>
      </x:c>
      <x:c r="F602" s="13" t="n">
        <x:v>184</x:v>
      </x:c>
      <x:c r="G602" s="13" t="n">
        <x:v>193</x:v>
      </x:c>
      <x:c r="H602" s="2" t="str">
        <x:f>IF(OR($E$4="",NOT(ISNUMBER($E$4)),$E$4&lt;1,$E$4&gt;400),"参考年待填",IF(OR(E602="",F602="",G602=""),"年代待核",IF($E$4&lt;E602,"未出生",IF($E$4&lt;F602,"未登场",IF($E$4&gt;G602,"已过卒年",IF($E$4=G602,"卒年边界待核","年表可登场"))))))</x:f>
        <x:v>已过卒年</x:v>
      </x:c>
      <x:c r="I602" s="12"/>
      <x:c r="J602" s="2" t="str">
        <x:v>SAN14游戏设定</x:v>
      </x:c>
      <x:c r="K602" s="2" t="str"/>
      <x:c r="L602" s="2" t="str">
        <x:v>趙昱</x:v>
      </x:c>
      <x:c r="M602" s="2" t="str">
        <x:v>san14-candidate-0594</x:v>
      </x:c>
      <x:c r="N602" s="2" t="str">
        <x:v>趙昱</x:v>
      </x:c>
      <x:c r="O602" s="2" t="str">
        <x:v>チョウイク</x:v>
      </x:c>
    </x:row>
    <x:row r="603" ht="23" customHeight="1">
      <x:c r="A603" s="13" t="n">
        <x:v>595</x:v>
      </x:c>
      <x:c r="B603" s="2" t="str">
        <x:v>张允</x:v>
      </x:c>
      <x:c r="C603" s="2" t="str">
        <x:v>張允</x:v>
      </x:c>
      <x:c r="D603" s="2" t="str"/>
      <x:c r="E603" s="13" t="n">
        <x:v>163</x:v>
      </x:c>
      <x:c r="F603" s="13" t="n">
        <x:v>187</x:v>
      </x:c>
      <x:c r="G603" s="13" t="n">
        <x:v>208</x:v>
      </x:c>
      <x:c r="H603" s="2" t="str">
        <x:f>IF(OR($E$4="",NOT(ISNUMBER($E$4)),$E$4&lt;1,$E$4&gt;400),"参考年待填",IF(OR(E603="",F603="",G603=""),"年代待核",IF($E$4&lt;E603,"未出生",IF($E$4&lt;F603,"未登场",IF($E$4&gt;G603,"已过卒年",IF($E$4=G603,"卒年边界待核","年表可登场"))))))</x:f>
        <x:v>已过卒年</x:v>
      </x:c>
      <x:c r="I603" s="12"/>
      <x:c r="J603" s="2" t="str">
        <x:v>SAN14游戏设定</x:v>
      </x:c>
      <x:c r="K603" s="2" t="str"/>
      <x:c r="L603" s="2" t="str">
        <x:v>張允</x:v>
      </x:c>
      <x:c r="M603" s="2" t="str">
        <x:v>san14-candidate-0595</x:v>
      </x:c>
      <x:c r="N603" s="2" t="str">
        <x:v>張允</x:v>
      </x:c>
      <x:c r="O603" s="2" t="str">
        <x:v>チョウイン</x:v>
      </x:c>
    </x:row>
    <x:row r="604" ht="23" customHeight="1">
      <x:c r="A604" s="13" t="n">
        <x:v>596</x:v>
      </x:c>
      <x:c r="B604" s="2" t="str">
        <x:v>赵云</x:v>
      </x:c>
      <x:c r="C604" s="2" t="str">
        <x:v>趙雲</x:v>
      </x:c>
      <x:c r="D604" s="2" t="str"/>
      <x:c r="E604" s="13" t="n">
        <x:v>168</x:v>
      </x:c>
      <x:c r="F604" s="13" t="n">
        <x:v>187</x:v>
      </x:c>
      <x:c r="G604" s="13" t="n">
        <x:v>229</x:v>
      </x:c>
      <x:c r="H604" s="2" t="str">
        <x:f>IF(OR($E$4="",NOT(ISNUMBER($E$4)),$E$4&lt;1,$E$4&gt;400),"参考年待填",IF(OR(E604="",F604="",G604=""),"年代待核",IF($E$4&lt;E604,"未出生",IF($E$4&lt;F604,"未登场",IF($E$4&gt;G604,"已过卒年",IF($E$4=G604,"卒年边界待核","年表可登场"))))))</x:f>
        <x:v>已过卒年</x:v>
      </x:c>
      <x:c r="I604" s="12"/>
      <x:c r="J604" s="2" t="str">
        <x:v>SAN14游戏设定</x:v>
      </x:c>
      <x:c r="K604" s="2" t="str"/>
      <x:c r="L604" s="2" t="str">
        <x:v>趙雲</x:v>
      </x:c>
      <x:c r="M604" s="2" t="str">
        <x:v>san14-candidate-0596</x:v>
      </x:c>
      <x:c r="N604" s="2" t="str">
        <x:v>趙雲</x:v>
      </x:c>
      <x:c r="O604" s="2" t="str">
        <x:v>チョウウン</x:v>
      </x:c>
    </x:row>
    <x:row r="605" ht="23" customHeight="1">
      <x:c r="A605" s="13" t="n">
        <x:v>597</x:v>
      </x:c>
      <x:c r="B605" s="2" t="str">
        <x:v>张卫</x:v>
      </x:c>
      <x:c r="C605" s="2" t="str">
        <x:v>張衛</x:v>
      </x:c>
      <x:c r="D605" s="2" t="str"/>
      <x:c r="E605" s="13" t="n">
        <x:v>172</x:v>
      </x:c>
      <x:c r="F605" s="13" t="n">
        <x:v>191</x:v>
      </x:c>
      <x:c r="G605" s="13" t="n">
        <x:v>215</x:v>
      </x:c>
      <x:c r="H605" s="2" t="str">
        <x:f>IF(OR($E$4="",NOT(ISNUMBER($E$4)),$E$4&lt;1,$E$4&gt;400),"参考年待填",IF(OR(E605="",F605="",G605=""),"年代待核",IF($E$4&lt;E605,"未出生",IF($E$4&lt;F605,"未登场",IF($E$4&gt;G605,"已过卒年",IF($E$4=G605,"卒年边界待核","年表可登场"))))))</x:f>
        <x:v>已过卒年</x:v>
      </x:c>
      <x:c r="I605" s="12"/>
      <x:c r="J605" s="2" t="str">
        <x:v>SAN14游戏设定</x:v>
      </x:c>
      <x:c r="K605" s="2" t="str"/>
      <x:c r="L605" s="2" t="str">
        <x:v>張衛</x:v>
      </x:c>
      <x:c r="M605" s="2" t="str">
        <x:v>san14-candidate-0597</x:v>
      </x:c>
      <x:c r="N605" s="2" t="str">
        <x:v>張衛</x:v>
      </x:c>
      <x:c r="O605" s="2" t="str">
        <x:v>チョウエイ</x:v>
      </x:c>
    </x:row>
    <x:row r="606" ht="23" customHeight="1">
      <x:c r="A606" s="13" t="n">
        <x:v>598</x:v>
      </x:c>
      <x:c r="B606" s="2" t="str">
        <x:v>张英</x:v>
      </x:c>
      <x:c r="C606" s="2" t="str">
        <x:v>張英</x:v>
      </x:c>
      <x:c r="D606" s="2" t="str"/>
      <x:c r="E606" s="13" t="n">
        <x:v>154</x:v>
      </x:c>
      <x:c r="F606" s="13" t="n">
        <x:v>184</x:v>
      </x:c>
      <x:c r="G606" s="13" t="n">
        <x:v>195</x:v>
      </x:c>
      <x:c r="H606" s="2" t="str">
        <x:f>IF(OR($E$4="",NOT(ISNUMBER($E$4)),$E$4&lt;1,$E$4&gt;400),"参考年待填",IF(OR(E606="",F606="",G606=""),"年代待核",IF($E$4&lt;E606,"未出生",IF($E$4&lt;F606,"未登场",IF($E$4&gt;G606,"已过卒年",IF($E$4=G606,"卒年边界待核","年表可登场"))))))</x:f>
        <x:v>已过卒年</x:v>
      </x:c>
      <x:c r="I606" s="12"/>
      <x:c r="J606" s="2" t="str">
        <x:v>SAN14游戏设定</x:v>
      </x:c>
      <x:c r="K606" s="2" t="str"/>
      <x:c r="L606" s="2" t="str">
        <x:v>張英</x:v>
      </x:c>
      <x:c r="M606" s="2" t="str">
        <x:v>san14-candidate-0598</x:v>
      </x:c>
      <x:c r="N606" s="2" t="str">
        <x:v>張英</x:v>
      </x:c>
      <x:c r="O606" s="2" t="str">
        <x:v>チョウエイ</x:v>
      </x:c>
    </x:row>
    <x:row r="607" ht="23" customHeight="1">
      <x:c r="A607" s="13" t="n">
        <x:v>599</x:v>
      </x:c>
      <x:c r="B607" s="2" t="str">
        <x:v>赵叡</x:v>
      </x:c>
      <x:c r="C607" s="2" t="str">
        <x:v>趙叡</x:v>
      </x:c>
      <x:c r="D607" s="2" t="str"/>
      <x:c r="E607" s="13" t="n">
        <x:v>162</x:v>
      </x:c>
      <x:c r="F607" s="13" t="n">
        <x:v>191</x:v>
      </x:c>
      <x:c r="G607" s="13" t="n">
        <x:v>200</x:v>
      </x:c>
      <x:c r="H607" s="2" t="str">
        <x:f>IF(OR($E$4="",NOT(ISNUMBER($E$4)),$E$4&lt;1,$E$4&gt;400),"参考年待填",IF(OR(E607="",F607="",G607=""),"年代待核",IF($E$4&lt;E607,"未出生",IF($E$4&lt;F607,"未登场",IF($E$4&gt;G607,"已过卒年",IF($E$4=G607,"卒年边界待核","年表可登场"))))))</x:f>
        <x:v>已过卒年</x:v>
      </x:c>
      <x:c r="I607" s="12"/>
      <x:c r="J607" s="2" t="str">
        <x:v>SAN14游戏设定</x:v>
      </x:c>
      <x:c r="K607" s="2" t="str"/>
      <x:c r="L607" s="2" t="str">
        <x:v>趙叡</x:v>
      </x:c>
      <x:c r="M607" s="2" t="str">
        <x:v>san14-candidate-0599</x:v>
      </x:c>
      <x:c r="N607" s="2" t="str">
        <x:v>趙叡</x:v>
      </x:c>
      <x:c r="O607" s="2" t="str">
        <x:v>チョウエイ</x:v>
      </x:c>
    </x:row>
    <x:row r="608" ht="23" customHeight="1">
      <x:c r="A608" s="13" t="n">
        <x:v>600</x:v>
      </x:c>
      <x:c r="B608" s="2" t="str">
        <x:v>张裔</x:v>
      </x:c>
      <x:c r="C608" s="2" t="str">
        <x:v>張裔</x:v>
      </x:c>
      <x:c r="D608" s="2" t="str"/>
      <x:c r="E608" s="13" t="n">
        <x:v>166</x:v>
      </x:c>
      <x:c r="F608" s="13" t="n">
        <x:v>194</x:v>
      </x:c>
      <x:c r="G608" s="13" t="n">
        <x:v>230</x:v>
      </x:c>
      <x:c r="H608" s="2" t="str">
        <x:f>IF(OR($E$4="",NOT(ISNUMBER($E$4)),$E$4&lt;1,$E$4&gt;400),"参考年待填",IF(OR(E608="",F608="",G608=""),"年代待核",IF($E$4&lt;E608,"未出生",IF($E$4&lt;F608,"未登场",IF($E$4&gt;G608,"已过卒年",IF($E$4=G608,"卒年边界待核","年表可登场"))))))</x:f>
        <x:v>卒年边界待核</x:v>
      </x:c>
      <x:c r="I608" s="12"/>
      <x:c r="J608" s="2" t="str">
        <x:v>SAN14游戏设定</x:v>
      </x:c>
      <x:c r="K608" s="2" t="str"/>
      <x:c r="L608" s="2" t="str">
        <x:v>張裔</x:v>
      </x:c>
      <x:c r="M608" s="2" t="str">
        <x:v>san14-candidate-0600</x:v>
      </x:c>
      <x:c r="N608" s="2" t="str">
        <x:v>張裔</x:v>
      </x:c>
      <x:c r="O608" s="2" t="str">
        <x:v>チョウエイ</x:v>
      </x:c>
    </x:row>
    <x:row r="609" ht="23" customHeight="1">
      <x:c r="A609" s="13" t="n">
        <x:v>601</x:v>
      </x:c>
      <x:c r="B609" s="2" t="str">
        <x:v>张燕</x:v>
      </x:c>
      <x:c r="C609" s="2" t="str">
        <x:v>張燕</x:v>
      </x:c>
      <x:c r="D609" s="2" t="str"/>
      <x:c r="E609" s="13" t="n">
        <x:v>153</x:v>
      </x:c>
      <x:c r="F609" s="13" t="n">
        <x:v>184</x:v>
      </x:c>
      <x:c r="G609" s="13" t="n">
        <x:v>210</x:v>
      </x:c>
      <x:c r="H609" s="2" t="str">
        <x:f>IF(OR($E$4="",NOT(ISNUMBER($E$4)),$E$4&lt;1,$E$4&gt;400),"参考年待填",IF(OR(E609="",F609="",G609=""),"年代待核",IF($E$4&lt;E609,"未出生",IF($E$4&lt;F609,"未登场",IF($E$4&gt;G609,"已过卒年",IF($E$4=G609,"卒年边界待核","年表可登场"))))))</x:f>
        <x:v>已过卒年</x:v>
      </x:c>
      <x:c r="I609" s="12"/>
      <x:c r="J609" s="2" t="str">
        <x:v>SAN14游戏设定</x:v>
      </x:c>
      <x:c r="K609" s="2" t="str"/>
      <x:c r="L609" s="2" t="str">
        <x:v>張燕</x:v>
      </x:c>
      <x:c r="M609" s="2" t="str">
        <x:v>san14-candidate-0601</x:v>
      </x:c>
      <x:c r="N609" s="2" t="str">
        <x:v>張燕</x:v>
      </x:c>
      <x:c r="O609" s="2" t="str">
        <x:v>チョウエン</x:v>
      </x:c>
    </x:row>
    <x:row r="610" ht="23" customHeight="1">
      <x:c r="A610" s="13" t="n">
        <x:v>602</x:v>
      </x:c>
      <x:c r="B610" s="2" t="str">
        <x:v>张琰</x:v>
      </x:c>
      <x:c r="C610" s="2" t="str">
        <x:v>張琰</x:v>
      </x:c>
      <x:c r="D610" s="2" t="str"/>
      <x:c r="E610" s="13" t="n">
        <x:v>173</x:v>
      </x:c>
      <x:c r="F610" s="13" t="n">
        <x:v>192</x:v>
      </x:c>
      <x:c r="G610" s="13" t="n">
        <x:v>206</x:v>
      </x:c>
      <x:c r="H610" s="2" t="str">
        <x:f>IF(OR($E$4="",NOT(ISNUMBER($E$4)),$E$4&lt;1,$E$4&gt;400),"参考年待填",IF(OR(E610="",F610="",G610=""),"年代待核",IF($E$4&lt;E610,"未出生",IF($E$4&lt;F610,"未登场",IF($E$4&gt;G610,"已过卒年",IF($E$4=G610,"卒年边界待核","年表可登场"))))))</x:f>
        <x:v>已过卒年</x:v>
      </x:c>
      <x:c r="I610" s="12"/>
      <x:c r="J610" s="2" t="str">
        <x:v>SAN14游戏设定</x:v>
      </x:c>
      <x:c r="K610" s="2" t="str"/>
      <x:c r="L610" s="2" t="str">
        <x:v>張琰</x:v>
      </x:c>
      <x:c r="M610" s="2" t="str">
        <x:v>san14-candidate-0602</x:v>
      </x:c>
      <x:c r="N610" s="2" t="str">
        <x:v>張エン</x:v>
      </x:c>
      <x:c r="O610" s="2" t="str">
        <x:v>チョウエン</x:v>
      </x:c>
    </x:row>
    <x:row r="611" ht="23" customHeight="1">
      <x:c r="A611" s="13" t="n">
        <x:v>603</x:v>
      </x:c>
      <x:c r="B611" s="2" t="str">
        <x:v>张横</x:v>
      </x:c>
      <x:c r="C611" s="2" t="str">
        <x:v>張橫</x:v>
      </x:c>
      <x:c r="D611" s="2" t="str"/>
      <x:c r="E611" s="13" t="n">
        <x:v>178</x:v>
      </x:c>
      <x:c r="F611" s="13" t="n">
        <x:v>197</x:v>
      </x:c>
      <x:c r="G611" s="13" t="n">
        <x:v>211</x:v>
      </x:c>
      <x:c r="H611" s="2" t="str">
        <x:f>IF(OR($E$4="",NOT(ISNUMBER($E$4)),$E$4&lt;1,$E$4&gt;400),"参考年待填",IF(OR(E611="",F611="",G611=""),"年代待核",IF($E$4&lt;E611,"未出生",IF($E$4&lt;F611,"未登场",IF($E$4&gt;G611,"已过卒年",IF($E$4=G611,"卒年边界待核","年表可登场"))))))</x:f>
        <x:v>已过卒年</x:v>
      </x:c>
      <x:c r="I611" s="12"/>
      <x:c r="J611" s="2" t="str">
        <x:v>SAN14游戏设定</x:v>
      </x:c>
      <x:c r="K611" s="2" t="str"/>
      <x:c r="L611" s="2" t="str">
        <x:v>張橫</x:v>
      </x:c>
      <x:c r="M611" s="2" t="str">
        <x:v>san14-candidate-0603</x:v>
      </x:c>
      <x:c r="N611" s="2" t="str">
        <x:v>張横</x:v>
      </x:c>
      <x:c r="O611" s="2" t="str">
        <x:v>チョウオウ</x:v>
      </x:c>
    </x:row>
    <x:row r="612" ht="23" customHeight="1">
      <x:c r="A612" s="13" t="n">
        <x:v>604</x:v>
      </x:c>
      <x:c r="B612" s="2" t="str">
        <x:v>张温</x:v>
      </x:c>
      <x:c r="C612" s="2" t="str">
        <x:v>張溫</x:v>
      </x:c>
      <x:c r="D612" s="2" t="str"/>
      <x:c r="E612" s="13" t="n">
        <x:v>193</x:v>
      </x:c>
      <x:c r="F612" s="13" t="n">
        <x:v>210</x:v>
      </x:c>
      <x:c r="G612" s="13" t="n">
        <x:v>231</x:v>
      </x:c>
      <x:c r="H612" s="2" t="str">
        <x:f>IF(OR($E$4="",NOT(ISNUMBER($E$4)),$E$4&lt;1,$E$4&gt;400),"参考年待填",IF(OR(E612="",F612="",G612=""),"年代待核",IF($E$4&lt;E612,"未出生",IF($E$4&lt;F612,"未登场",IF($E$4&gt;G612,"已过卒年",IF($E$4=G612,"卒年边界待核","年表可登场"))))))</x:f>
        <x:v>年表可登场</x:v>
      </x:c>
      <x:c r="I612" s="12"/>
      <x:c r="J612" s="2" t="str">
        <x:v>SAN14游戏设定</x:v>
      </x:c>
      <x:c r="K612" s="2" t="str"/>
      <x:c r="L612" s="2" t="str">
        <x:v>張溫</x:v>
      </x:c>
      <x:c r="M612" s="2" t="str">
        <x:v>san14-candidate-0604</x:v>
      </x:c>
      <x:c r="N612" s="2" t="str">
        <x:v>張温</x:v>
      </x:c>
      <x:c r="O612" s="2" t="str">
        <x:v>チョウオン</x:v>
      </x:c>
    </x:row>
    <x:row r="613" ht="23" customHeight="1">
      <x:c r="A613" s="13" t="n">
        <x:v>605</x:v>
      </x:c>
      <x:c r="B613" s="2" t="str">
        <x:v>张华</x:v>
      </x:c>
      <x:c r="C613" s="2" t="str">
        <x:v>張華</x:v>
      </x:c>
      <x:c r="D613" s="2" t="str"/>
      <x:c r="E613" s="13" t="n">
        <x:v>232</x:v>
      </x:c>
      <x:c r="F613" s="13" t="n">
        <x:v>251</x:v>
      </x:c>
      <x:c r="G613" s="13" t="n">
        <x:v>300</x:v>
      </x:c>
      <x:c r="H613" s="2" t="str">
        <x:f>IF(OR($E$4="",NOT(ISNUMBER($E$4)),$E$4&lt;1,$E$4&gt;400),"参考年待填",IF(OR(E613="",F613="",G613=""),"年代待核",IF($E$4&lt;E613,"未出生",IF($E$4&lt;F613,"未登场",IF($E$4&gt;G613,"已过卒年",IF($E$4=G613,"卒年边界待核","年表可登场"))))))</x:f>
        <x:v>未出生</x:v>
      </x:c>
      <x:c r="I613" s="12"/>
      <x:c r="J613" s="2" t="str">
        <x:v>SAN14游戏设定</x:v>
      </x:c>
      <x:c r="K613" s="2" t="str"/>
      <x:c r="L613" s="2" t="str">
        <x:v>張華</x:v>
      </x:c>
      <x:c r="M613" s="2" t="str">
        <x:v>san14-candidate-0605</x:v>
      </x:c>
      <x:c r="N613" s="2" t="str">
        <x:v>張華</x:v>
      </x:c>
      <x:c r="O613" s="2" t="str">
        <x:v>チョウカ</x:v>
      </x:c>
    </x:row>
    <x:row r="614" ht="23" customHeight="1">
      <x:c r="A614" s="13" t="n">
        <x:v>606</x:v>
      </x:c>
      <x:c r="B614" s="2" t="str">
        <x:v>张闿</x:v>
      </x:c>
      <x:c r="C614" s="2" t="str">
        <x:v>張闓</x:v>
      </x:c>
      <x:c r="D614" s="2" t="str"/>
      <x:c r="E614" s="13" t="n">
        <x:v>155</x:v>
      </x:c>
      <x:c r="F614" s="13" t="n">
        <x:v>184</x:v>
      </x:c>
      <x:c r="G614" s="13" t="n">
        <x:v>202</x:v>
      </x:c>
      <x:c r="H614" s="2" t="str">
        <x:f>IF(OR($E$4="",NOT(ISNUMBER($E$4)),$E$4&lt;1,$E$4&gt;400),"参考年待填",IF(OR(E614="",F614="",G614=""),"年代待核",IF($E$4&lt;E614,"未出生",IF($E$4&lt;F614,"未登场",IF($E$4&gt;G614,"已过卒年",IF($E$4=G614,"卒年边界待核","年表可登场"))))))</x:f>
        <x:v>已过卒年</x:v>
      </x:c>
      <x:c r="I614" s="12"/>
      <x:c r="J614" s="2" t="str">
        <x:v>SAN14游戏设定</x:v>
      </x:c>
      <x:c r="K614" s="2" t="str"/>
      <x:c r="L614" s="2" t="str">
        <x:v>張闓</x:v>
      </x:c>
      <x:c r="M614" s="2" t="str">
        <x:v>san14-candidate-0606</x:v>
      </x:c>
      <x:c r="N614" s="2" t="str">
        <x:v>張ガイ</x:v>
      </x:c>
      <x:c r="O614" s="2" t="str">
        <x:v>チョウガイ</x:v>
      </x:c>
    </x:row>
    <x:row r="615" ht="23" customHeight="1">
      <x:c r="A615" s="13" t="n">
        <x:v>607</x:v>
      </x:c>
      <x:c r="B615" s="2" t="str">
        <x:v>张角</x:v>
      </x:c>
      <x:c r="C615" s="2" t="str">
        <x:v>張角</x:v>
      </x:c>
      <x:c r="D615" s="2" t="str"/>
      <x:c r="E615" s="13" t="n">
        <x:v>140</x:v>
      </x:c>
      <x:c r="F615" s="13" t="n">
        <x:v>184</x:v>
      </x:c>
      <x:c r="G615" s="13" t="n">
        <x:v>184</x:v>
      </x:c>
      <x:c r="H615" s="2" t="str">
        <x:f>IF(OR($E$4="",NOT(ISNUMBER($E$4)),$E$4&lt;1,$E$4&gt;400),"参考年待填",IF(OR(E615="",F615="",G615=""),"年代待核",IF($E$4&lt;E615,"未出生",IF($E$4&lt;F615,"未登场",IF($E$4&gt;G615,"已过卒年",IF($E$4=G615,"卒年边界待核","年表可登场"))))))</x:f>
        <x:v>已过卒年</x:v>
      </x:c>
      <x:c r="I615" s="12"/>
      <x:c r="J615" s="2" t="str">
        <x:v>SAN14游戏设定</x:v>
      </x:c>
      <x:c r="K615" s="2" t="str"/>
      <x:c r="L615" s="2" t="str">
        <x:v>張角</x:v>
      </x:c>
      <x:c r="M615" s="2" t="str">
        <x:v>san14-candidate-0607</x:v>
      </x:c>
      <x:c r="N615" s="2" t="str">
        <x:v>張角</x:v>
      </x:c>
      <x:c r="O615" s="2" t="str">
        <x:v>チョウカク</x:v>
      </x:c>
    </x:row>
    <x:row r="616" ht="23" customHeight="1">
      <x:c r="A616" s="13" t="n">
        <x:v>608</x:v>
      </x:c>
      <x:c r="B616" s="2" t="str">
        <x:v>张既</x:v>
      </x:c>
      <x:c r="C616" s="2" t="str">
        <x:v>張既</x:v>
      </x:c>
      <x:c r="D616" s="2" t="str"/>
      <x:c r="E616" s="13" t="n">
        <x:v>170</x:v>
      </x:c>
      <x:c r="F616" s="13" t="n">
        <x:v>189</x:v>
      </x:c>
      <x:c r="G616" s="13" t="n">
        <x:v>223</x:v>
      </x:c>
      <x:c r="H616" s="2" t="str">
        <x:f>IF(OR($E$4="",NOT(ISNUMBER($E$4)),$E$4&lt;1,$E$4&gt;400),"参考年待填",IF(OR(E616="",F616="",G616=""),"年代待核",IF($E$4&lt;E616,"未出生",IF($E$4&lt;F616,"未登场",IF($E$4&gt;G616,"已过卒年",IF($E$4=G616,"卒年边界待核","年表可登场"))))))</x:f>
        <x:v>已过卒年</x:v>
      </x:c>
      <x:c r="I616" s="12"/>
      <x:c r="J616" s="2" t="str">
        <x:v>SAN14游戏设定</x:v>
      </x:c>
      <x:c r="K616" s="2" t="str"/>
      <x:c r="L616" s="2" t="str">
        <x:v>張既</x:v>
      </x:c>
      <x:c r="M616" s="2" t="str">
        <x:v>san14-candidate-0608</x:v>
      </x:c>
      <x:c r="N616" s="2" t="str">
        <x:v>張既</x:v>
      </x:c>
      <x:c r="O616" s="2" t="str">
        <x:v>チョウキ</x:v>
      </x:c>
    </x:row>
    <x:row r="617" ht="23" customHeight="1">
      <x:c r="A617" s="13" t="n">
        <x:v>609</x:v>
      </x:c>
      <x:c r="B617" s="2" t="str">
        <x:v>张𫖮</x:v>
      </x:c>
      <x:c r="C617" s="2" t="str">
        <x:v>張顗</x:v>
      </x:c>
      <x:c r="D617" s="2" t="str"/>
      <x:c r="E617" s="13" t="n">
        <x:v>167</x:v>
      </x:c>
      <x:c r="F617" s="13" t="n">
        <x:v>186</x:v>
      </x:c>
      <x:c r="G617" s="13" t="n">
        <x:v>208</x:v>
      </x:c>
      <x:c r="H617" s="2" t="str">
        <x:f>IF(OR($E$4="",NOT(ISNUMBER($E$4)),$E$4&lt;1,$E$4&gt;400),"参考年待填",IF(OR(E617="",F617="",G617=""),"年代待核",IF($E$4&lt;E617,"未出生",IF($E$4&lt;F617,"未登场",IF($E$4&gt;G617,"已过卒年",IF($E$4=G617,"卒年边界待核","年表可登场"))))))</x:f>
        <x:v>已过卒年</x:v>
      </x:c>
      <x:c r="I617" s="12"/>
      <x:c r="J617" s="2" t="str">
        <x:v>SAN14游戏设定</x:v>
      </x:c>
      <x:c r="K617" s="2" t="str"/>
      <x:c r="L617" s="2" t="str">
        <x:v>張顗</x:v>
      </x:c>
      <x:c r="M617" s="2" t="str">
        <x:v>san14-candidate-0609</x:v>
      </x:c>
      <x:c r="N617" s="2" t="str">
        <x:v>張顗</x:v>
      </x:c>
      <x:c r="O617" s="2" t="str">
        <x:v>チョウギ</x:v>
      </x:c>
    </x:row>
    <x:row r="618" ht="23" customHeight="1">
      <x:c r="A618" s="13" t="n">
        <x:v>610</x:v>
      </x:c>
      <x:c r="B618" s="2" t="str">
        <x:v>张休</x:v>
      </x:c>
      <x:c r="C618" s="2" t="str">
        <x:v>張休</x:v>
      </x:c>
      <x:c r="D618" s="2" t="str"/>
      <x:c r="E618" s="13" t="n">
        <x:v>205</x:v>
      </x:c>
      <x:c r="F618" s="13" t="n">
        <x:v>221</x:v>
      </x:c>
      <x:c r="G618" s="13" t="n">
        <x:v>245</x:v>
      </x:c>
      <x:c r="H618" s="2" t="str">
        <x:f>IF(OR($E$4="",NOT(ISNUMBER($E$4)),$E$4&lt;1,$E$4&gt;400),"参考年待填",IF(OR(E618="",F618="",G618=""),"年代待核",IF($E$4&lt;E618,"未出生",IF($E$4&lt;F618,"未登场",IF($E$4&gt;G618,"已过卒年",IF($E$4=G618,"卒年边界待核","年表可登场"))))))</x:f>
        <x:v>年表可登场</x:v>
      </x:c>
      <x:c r="I618" s="12"/>
      <x:c r="J618" s="2" t="str">
        <x:v>SAN14游戏设定</x:v>
      </x:c>
      <x:c r="K618" s="2" t="str"/>
      <x:c r="L618" s="2" t="str">
        <x:v>張休</x:v>
      </x:c>
      <x:c r="M618" s="2" t="str">
        <x:v>san14-candidate-0610</x:v>
      </x:c>
      <x:c r="N618" s="2" t="str">
        <x:v>張休</x:v>
      </x:c>
      <x:c r="O618" s="2" t="str">
        <x:v>チョウキュウ</x:v>
      </x:c>
    </x:row>
    <x:row r="619" ht="23" customHeight="1">
      <x:c r="A619" s="13" t="n">
        <x:v>611</x:v>
      </x:c>
      <x:c r="B619" s="2" t="str">
        <x:v>张球</x:v>
      </x:c>
      <x:c r="C619" s="2" t="str">
        <x:v>張球</x:v>
      </x:c>
      <x:c r="D619" s="2" t="str"/>
      <x:c r="E619" s="13" t="n">
        <x:v>201</x:v>
      </x:c>
      <x:c r="F619" s="13" t="n">
        <x:v>220</x:v>
      </x:c>
      <x:c r="G619" s="13" t="n">
        <x:v>263</x:v>
      </x:c>
      <x:c r="H619" s="2" t="str">
        <x:f>IF(OR($E$4="",NOT(ISNUMBER($E$4)),$E$4&lt;1,$E$4&gt;400),"参考年待填",IF(OR(E619="",F619="",G619=""),"年代待核",IF($E$4&lt;E619,"未出生",IF($E$4&lt;F619,"未登场",IF($E$4&gt;G619,"已过卒年",IF($E$4=G619,"卒年边界待核","年表可登场"))))))</x:f>
        <x:v>年表可登场</x:v>
      </x:c>
      <x:c r="I619" s="12"/>
      <x:c r="J619" s="2" t="str">
        <x:v>SAN14游戏设定</x:v>
      </x:c>
      <x:c r="K619" s="2" t="str"/>
      <x:c r="L619" s="2" t="str">
        <x:v>張球</x:v>
      </x:c>
      <x:c r="M619" s="2" t="str">
        <x:v>san14-candidate-0611</x:v>
      </x:c>
      <x:c r="N619" s="2" t="str">
        <x:v>張球</x:v>
      </x:c>
      <x:c r="O619" s="2" t="str">
        <x:v>チョウキュウ</x:v>
      </x:c>
    </x:row>
    <x:row r="620" ht="23" customHeight="1">
      <x:c r="A620" s="13" t="n">
        <x:v>612</x:v>
      </x:c>
      <x:c r="B620" s="2" t="str">
        <x:v>张举</x:v>
      </x:c>
      <x:c r="C620" s="2" t="str">
        <x:v>張舉</x:v>
      </x:c>
      <x:c r="D620" s="2" t="str"/>
      <x:c r="E620" s="13" t="n">
        <x:v>150</x:v>
      </x:c>
      <x:c r="F620" s="13" t="n">
        <x:v>184</x:v>
      </x:c>
      <x:c r="G620" s="13" t="n">
        <x:v>188</x:v>
      </x:c>
      <x:c r="H620" s="2" t="str">
        <x:f>IF(OR($E$4="",NOT(ISNUMBER($E$4)),$E$4&lt;1,$E$4&gt;400),"参考年待填",IF(OR(E620="",F620="",G620=""),"年代待核",IF($E$4&lt;E620,"未出生",IF($E$4&lt;F620,"未登场",IF($E$4&gt;G620,"已过卒年",IF($E$4=G620,"卒年边界待核","年表可登场"))))))</x:f>
        <x:v>已过卒年</x:v>
      </x:c>
      <x:c r="I620" s="12"/>
      <x:c r="J620" s="2" t="str">
        <x:v>SAN14游戏设定</x:v>
      </x:c>
      <x:c r="K620" s="2" t="str"/>
      <x:c r="L620" s="2" t="str">
        <x:v>張舉</x:v>
      </x:c>
      <x:c r="M620" s="2" t="str">
        <x:v>san14-candidate-0612</x:v>
      </x:c>
      <x:c r="N620" s="2" t="str">
        <x:v>張挙</x:v>
      </x:c>
      <x:c r="O620" s="2" t="str">
        <x:v>チョウキョ</x:v>
      </x:c>
    </x:row>
    <x:row r="621" ht="23" customHeight="1">
      <x:c r="A621" s="13" t="n">
        <x:v>613</x:v>
      </x:c>
      <x:c r="B621" s="2" t="str">
        <x:v>张嶷</x:v>
      </x:c>
      <x:c r="C621" s="2" t="str">
        <x:v>張嶷</x:v>
      </x:c>
      <x:c r="D621" s="2" t="str"/>
      <x:c r="E621" s="13" t="n">
        <x:v>190</x:v>
      </x:c>
      <x:c r="F621" s="13" t="n">
        <x:v>209</x:v>
      </x:c>
      <x:c r="G621" s="13" t="n">
        <x:v>254</x:v>
      </x:c>
      <x:c r="H621" s="2" t="str">
        <x:f>IF(OR($E$4="",NOT(ISNUMBER($E$4)),$E$4&lt;1,$E$4&gt;400),"参考年待填",IF(OR(E621="",F621="",G621=""),"年代待核",IF($E$4&lt;E621,"未出生",IF($E$4&lt;F621,"未登场",IF($E$4&gt;G621,"已过卒年",IF($E$4=G621,"卒年边界待核","年表可登场"))))))</x:f>
        <x:v>年表可登场</x:v>
      </x:c>
      <x:c r="I621" s="12"/>
      <x:c r="J621" s="2" t="str">
        <x:v>SAN14游戏设定</x:v>
      </x:c>
      <x:c r="K621" s="2" t="str"/>
      <x:c r="L621" s="2" t="str">
        <x:v>張嶷</x:v>
      </x:c>
      <x:c r="M621" s="2" t="str">
        <x:v>san14-candidate-0613</x:v>
      </x:c>
      <x:c r="N621" s="2" t="str">
        <x:v>張嶷</x:v>
      </x:c>
      <x:c r="O621" s="2" t="str">
        <x:v>チョウギョク</x:v>
      </x:c>
    </x:row>
    <x:row r="622" ht="23" customHeight="1">
      <x:c r="A622" s="13" t="n">
        <x:v>614</x:v>
      </x:c>
      <x:c r="B622" s="2" t="str">
        <x:v>张勋</x:v>
      </x:c>
      <x:c r="C622" s="2" t="str">
        <x:v>張勳</x:v>
      </x:c>
      <x:c r="D622" s="2" t="str"/>
      <x:c r="E622" s="13" t="n">
        <x:v>156</x:v>
      </x:c>
      <x:c r="F622" s="13" t="n">
        <x:v>184</x:v>
      </x:c>
      <x:c r="G622" s="13" t="n">
        <x:v>206</x:v>
      </x:c>
      <x:c r="H622" s="2" t="str">
        <x:f>IF(OR($E$4="",NOT(ISNUMBER($E$4)),$E$4&lt;1,$E$4&gt;400),"参考年待填",IF(OR(E622="",F622="",G622=""),"年代待核",IF($E$4&lt;E622,"未出生",IF($E$4&lt;F622,"未登场",IF($E$4&gt;G622,"已过卒年",IF($E$4=G622,"卒年边界待核","年表可登场"))))))</x:f>
        <x:v>已过卒年</x:v>
      </x:c>
      <x:c r="I622" s="12"/>
      <x:c r="J622" s="2" t="str">
        <x:v>SAN14游戏设定</x:v>
      </x:c>
      <x:c r="K622" s="2" t="str"/>
      <x:c r="L622" s="2" t="str">
        <x:v>張勳</x:v>
      </x:c>
      <x:c r="M622" s="2" t="str">
        <x:v>san14-candidate-0614</x:v>
      </x:c>
      <x:c r="N622" s="2" t="str">
        <x:v>張勳</x:v>
      </x:c>
      <x:c r="O622" s="2" t="str">
        <x:v>チョウクン</x:v>
      </x:c>
    </x:row>
    <x:row r="623" ht="23" customHeight="1">
      <x:c r="A623" s="13" t="n">
        <x:v>615</x:v>
      </x:c>
      <x:c r="B623" s="2" t="str">
        <x:v>赵俨</x:v>
      </x:c>
      <x:c r="C623" s="2" t="str">
        <x:v>趙儼</x:v>
      </x:c>
      <x:c r="D623" s="2" t="str"/>
      <x:c r="E623" s="13" t="n">
        <x:v>171</x:v>
      </x:c>
      <x:c r="F623" s="13" t="n">
        <x:v>195</x:v>
      </x:c>
      <x:c r="G623" s="13" t="n">
        <x:v>245</x:v>
      </x:c>
      <x:c r="H623" s="2" t="str">
        <x:f>IF(OR($E$4="",NOT(ISNUMBER($E$4)),$E$4&lt;1,$E$4&gt;400),"参考年待填",IF(OR(E623="",F623="",G623=""),"年代待核",IF($E$4&lt;E623,"未出生",IF($E$4&lt;F623,"未登场",IF($E$4&gt;G623,"已过卒年",IF($E$4=G623,"卒年边界待核","年表可登场"))))))</x:f>
        <x:v>年表可登场</x:v>
      </x:c>
      <x:c r="I623" s="12"/>
      <x:c r="J623" s="2" t="str">
        <x:v>SAN14游戏设定</x:v>
      </x:c>
      <x:c r="K623" s="2" t="str"/>
      <x:c r="L623" s="2" t="str">
        <x:v>趙儼</x:v>
      </x:c>
      <x:c r="M623" s="2" t="str">
        <x:v>san14-candidate-0615</x:v>
      </x:c>
      <x:c r="N623" s="2" t="str">
        <x:v>趙儼</x:v>
      </x:c>
      <x:c r="O623" s="2" t="str">
        <x:v>チョウゲン</x:v>
      </x:c>
    </x:row>
    <x:row r="624" ht="23" customHeight="1">
      <x:c r="A624" s="13" t="n">
        <x:v>616</x:v>
      </x:c>
      <x:c r="B624" s="2" t="str">
        <x:v>张虎</x:v>
      </x:c>
      <x:c r="C624" s="2" t="str">
        <x:v>張虎</x:v>
      </x:c>
      <x:c r="D624" s="2" t="str"/>
      <x:c r="E624" s="13" t="n">
        <x:v>195</x:v>
      </x:c>
      <x:c r="F624" s="13" t="n">
        <x:v>209</x:v>
      </x:c>
      <x:c r="G624" s="13" t="n">
        <x:v>240</x:v>
      </x:c>
      <x:c r="H624" s="2" t="str">
        <x:f>IF(OR($E$4="",NOT(ISNUMBER($E$4)),$E$4&lt;1,$E$4&gt;400),"参考年待填",IF(OR(E624="",F624="",G624=""),"年代待核",IF($E$4&lt;E624,"未出生",IF($E$4&lt;F624,"未登场",IF($E$4&gt;G624,"已过卒年",IF($E$4=G624,"卒年边界待核","年表可登场"))))))</x:f>
        <x:v>年表可登场</x:v>
      </x:c>
      <x:c r="I624" s="12"/>
      <x:c r="J624" s="2" t="str">
        <x:v>SAN14游戏设定</x:v>
      </x:c>
      <x:c r="K624" s="2" t="str"/>
      <x:c r="L624" s="2" t="str">
        <x:v>張虎</x:v>
      </x:c>
      <x:c r="M624" s="2" t="str">
        <x:v>san14-candidate-0616</x:v>
      </x:c>
      <x:c r="N624" s="2" t="str">
        <x:v>張虎</x:v>
      </x:c>
      <x:c r="O624" s="2" t="str">
        <x:v>チョウコ</x:v>
      </x:c>
    </x:row>
    <x:row r="625" ht="23" customHeight="1">
      <x:c r="A625" s="13" t="n">
        <x:v>617</x:v>
      </x:c>
      <x:c r="B625" s="2" t="str">
        <x:v>张纮</x:v>
      </x:c>
      <x:c r="C625" s="2" t="str">
        <x:v>張紘</x:v>
      </x:c>
      <x:c r="D625" s="2" t="str"/>
      <x:c r="E625" s="13" t="n">
        <x:v>153</x:v>
      </x:c>
      <x:c r="F625" s="13" t="n">
        <x:v>194</x:v>
      </x:c>
      <x:c r="G625" s="13" t="n">
        <x:v>212</x:v>
      </x:c>
      <x:c r="H625" s="2" t="str">
        <x:f>IF(OR($E$4="",NOT(ISNUMBER($E$4)),$E$4&lt;1,$E$4&gt;400),"参考年待填",IF(OR(E625="",F625="",G625=""),"年代待核",IF($E$4&lt;E625,"未出生",IF($E$4&lt;F625,"未登场",IF($E$4&gt;G625,"已过卒年",IF($E$4=G625,"卒年边界待核","年表可登场"))))))</x:f>
        <x:v>已过卒年</x:v>
      </x:c>
      <x:c r="I625" s="12"/>
      <x:c r="J625" s="2" t="str">
        <x:v>SAN14游戏设定</x:v>
      </x:c>
      <x:c r="K625" s="2" t="str"/>
      <x:c r="L625" s="2" t="str">
        <x:v>張紘</x:v>
      </x:c>
      <x:c r="M625" s="2" t="str">
        <x:v>san14-candidate-0617</x:v>
      </x:c>
      <x:c r="N625" s="2" t="str">
        <x:v>張紘</x:v>
      </x:c>
      <x:c r="O625" s="2" t="str">
        <x:v>チョウコウ</x:v>
      </x:c>
    </x:row>
    <x:row r="626" ht="23" customHeight="1">
      <x:c r="A626" s="13" t="n">
        <x:v>618</x:v>
      </x:c>
      <x:c r="B626" s="2" t="str">
        <x:v>张郃</x:v>
      </x:c>
      <x:c r="C626" s="2" t="str">
        <x:v>張郃</x:v>
      </x:c>
      <x:c r="D626" s="2" t="str"/>
      <x:c r="E626" s="13" t="n">
        <x:v>167</x:v>
      </x:c>
      <x:c r="F626" s="13" t="n">
        <x:v>184</x:v>
      </x:c>
      <x:c r="G626" s="13" t="n">
        <x:v>231</x:v>
      </x:c>
      <x:c r="H626" s="2" t="str">
        <x:f>IF(OR($E$4="",NOT(ISNUMBER($E$4)),$E$4&lt;1,$E$4&gt;400),"参考年待填",IF(OR(E626="",F626="",G626=""),"年代待核",IF($E$4&lt;E626,"未出生",IF($E$4&lt;F626,"未登场",IF($E$4&gt;G626,"已过卒年",IF($E$4=G626,"卒年边界待核","年表可登场"))))))</x:f>
        <x:v>年表可登场</x:v>
      </x:c>
      <x:c r="I626" s="12"/>
      <x:c r="J626" s="2" t="str">
        <x:v>SAN14游戏设定</x:v>
      </x:c>
      <x:c r="K626" s="2" t="str"/>
      <x:c r="L626" s="2" t="str">
        <x:v>張郃</x:v>
      </x:c>
      <x:c r="M626" s="2" t="str">
        <x:v>san14-candidate-0618</x:v>
      </x:c>
      <x:c r="N626" s="2" t="str">
        <x:v>張コウ</x:v>
      </x:c>
      <x:c r="O626" s="2" t="str">
        <x:v>チョウコウ</x:v>
      </x:c>
    </x:row>
    <x:row r="627" ht="23" customHeight="1">
      <x:c r="A627" s="13" t="n">
        <x:v>619</x:v>
      </x:c>
      <x:c r="B627" s="2" t="str">
        <x:v>赵广</x:v>
      </x:c>
      <x:c r="C627" s="2" t="str">
        <x:v>趙廣</x:v>
      </x:c>
      <x:c r="D627" s="2" t="str"/>
      <x:c r="E627" s="13" t="n">
        <x:v>210</x:v>
      </x:c>
      <x:c r="F627" s="13" t="n">
        <x:v>224</x:v>
      </x:c>
      <x:c r="G627" s="13" t="n">
        <x:v>263</x:v>
      </x:c>
      <x:c r="H627" s="2" t="str">
        <x:f>IF(OR($E$4="",NOT(ISNUMBER($E$4)),$E$4&lt;1,$E$4&gt;400),"参考年待填",IF(OR(E627="",F627="",G627=""),"年代待核",IF($E$4&lt;E627,"未出生",IF($E$4&lt;F627,"未登场",IF($E$4&gt;G627,"已过卒年",IF($E$4=G627,"卒年边界待核","年表可登场"))))))</x:f>
        <x:v>年表可登场</x:v>
      </x:c>
      <x:c r="I627" s="12"/>
      <x:c r="J627" s="2" t="str">
        <x:v>SAN14游戏设定</x:v>
      </x:c>
      <x:c r="K627" s="2" t="str"/>
      <x:c r="L627" s="2" t="str">
        <x:v>趙廣</x:v>
      </x:c>
      <x:c r="M627" s="2" t="str">
        <x:v>san14-candidate-0619</x:v>
      </x:c>
      <x:c r="N627" s="2" t="str">
        <x:v>趙広</x:v>
      </x:c>
      <x:c r="O627" s="2" t="str">
        <x:v>チョウコウ</x:v>
      </x:c>
    </x:row>
    <x:row r="628" ht="23" customHeight="1">
      <x:c r="A628" s="13" t="n">
        <x:v>620</x:v>
      </x:c>
      <x:c r="B628" s="2" t="str">
        <x:v>赵弘</x:v>
      </x:c>
      <x:c r="C628" s="2" t="str">
        <x:v>趙弘</x:v>
      </x:c>
      <x:c r="D628" s="2" t="str"/>
      <x:c r="E628" s="13" t="n">
        <x:v>156</x:v>
      </x:c>
      <x:c r="F628" s="13" t="n">
        <x:v>184</x:v>
      </x:c>
      <x:c r="G628" s="13" t="n">
        <x:v>184</x:v>
      </x:c>
      <x:c r="H628" s="2" t="str">
        <x:f>IF(OR($E$4="",NOT(ISNUMBER($E$4)),$E$4&lt;1,$E$4&gt;400),"参考年待填",IF(OR(E628="",F628="",G628=""),"年代待核",IF($E$4&lt;E628,"未出生",IF($E$4&lt;F628,"未登场",IF($E$4&gt;G628,"已过卒年",IF($E$4=G628,"卒年边界待核","年表可登场"))))))</x:f>
        <x:v>已过卒年</x:v>
      </x:c>
      <x:c r="I628" s="12"/>
      <x:c r="J628" s="2" t="str">
        <x:v>SAN14游戏设定</x:v>
      </x:c>
      <x:c r="K628" s="2" t="str"/>
      <x:c r="L628" s="2" t="str">
        <x:v>趙弘</x:v>
      </x:c>
      <x:c r="M628" s="2" t="str">
        <x:v>san14-candidate-0620</x:v>
      </x:c>
      <x:c r="N628" s="2" t="str">
        <x:v>趙弘</x:v>
      </x:c>
      <x:c r="O628" s="2" t="str">
        <x:v>チョウコウ</x:v>
      </x:c>
    </x:row>
    <x:row r="629" ht="23" customHeight="1">
      <x:c r="A629" s="13" t="n">
        <x:v>621</x:v>
      </x:c>
      <x:c r="B629" s="2" t="str">
        <x:v>赵昂</x:v>
      </x:c>
      <x:c r="C629" s="2" t="str">
        <x:v>趙昂</x:v>
      </x:c>
      <x:c r="D629" s="2" t="str"/>
      <x:c r="E629" s="13" t="n">
        <x:v>176</x:v>
      </x:c>
      <x:c r="F629" s="13" t="n">
        <x:v>195</x:v>
      </x:c>
      <x:c r="G629" s="13" t="n">
        <x:v>219</x:v>
      </x:c>
      <x:c r="H629" s="2" t="str">
        <x:f>IF(OR($E$4="",NOT(ISNUMBER($E$4)),$E$4&lt;1,$E$4&gt;400),"参考年待填",IF(OR(E629="",F629="",G629=""),"年代待核",IF($E$4&lt;E629,"未出生",IF($E$4&lt;F629,"未登场",IF($E$4&gt;G629,"已过卒年",IF($E$4=G629,"卒年边界待核","年表可登场"))))))</x:f>
        <x:v>已过卒年</x:v>
      </x:c>
      <x:c r="I629" s="12"/>
      <x:c r="J629" s="2" t="str">
        <x:v>SAN14游戏设定</x:v>
      </x:c>
      <x:c r="K629" s="2" t="str"/>
      <x:c r="L629" s="2" t="str">
        <x:v>趙昂</x:v>
      </x:c>
      <x:c r="M629" s="2" t="str">
        <x:v>san14-candidate-0621</x:v>
      </x:c>
      <x:c r="N629" s="2" t="str">
        <x:v>趙昂</x:v>
      </x:c>
      <x:c r="O629" s="2" t="str">
        <x:v>チョウコウ</x:v>
      </x:c>
    </x:row>
    <x:row r="630" ht="23" customHeight="1">
      <x:c r="A630" s="13" t="n">
        <x:v>622</x:v>
      </x:c>
      <x:c r="B630" s="2" t="str">
        <x:v>张氏</x:v>
      </x:c>
      <x:c r="C630" s="2" t="str">
        <x:v>張氏</x:v>
      </x:c>
      <x:c r="D630" s="2" t="str"/>
      <x:c r="E630" s="13" t="n">
        <x:v>207</x:v>
      </x:c>
      <x:c r="F630" s="13" t="n">
        <x:v>221</x:v>
      </x:c>
      <x:c r="G630" s="13" t="n">
        <x:v>237</x:v>
      </x:c>
      <x:c r="H630" s="2" t="str">
        <x:f>IF(OR($E$4="",NOT(ISNUMBER($E$4)),$E$4&lt;1,$E$4&gt;400),"参考年待填",IF(OR(E630="",F630="",G630=""),"年代待核",IF($E$4&lt;E630,"未出生",IF($E$4&lt;F630,"未登场",IF($E$4&gt;G630,"已过卒年",IF($E$4=G630,"卒年边界待核","年表可登场"))))))</x:f>
        <x:v>年表可登场</x:v>
      </x:c>
      <x:c r="I630" s="12"/>
      <x:c r="J630" s="2" t="str">
        <x:v>SAN14游戏设定</x:v>
      </x:c>
      <x:c r="K630" s="2" t="str"/>
      <x:c r="L630" s="2" t="str">
        <x:v>張氏</x:v>
      </x:c>
      <x:c r="M630" s="2" t="str">
        <x:v>san14-candidate-0622</x:v>
      </x:c>
      <x:c r="N630" s="2" t="str">
        <x:v>張氏</x:v>
      </x:c>
      <x:c r="O630" s="2" t="str">
        <x:v>チョウシ</x:v>
      </x:c>
    </x:row>
    <x:row r="631" ht="23" customHeight="1">
      <x:c r="A631" s="13" t="n">
        <x:v>623</x:v>
      </x:c>
      <x:c r="B631" s="2" t="str">
        <x:v>赵咨</x:v>
      </x:c>
      <x:c r="C631" s="2" t="str">
        <x:v>趙咨</x:v>
      </x:c>
      <x:c r="D631" s="2" t="str"/>
      <x:c r="E631" s="13" t="n">
        <x:v>191</x:v>
      </x:c>
      <x:c r="F631" s="13" t="n">
        <x:v>210</x:v>
      </x:c>
      <x:c r="G631" s="13" t="n">
        <x:v>237</x:v>
      </x:c>
      <x:c r="H631" s="2" t="str">
        <x:f>IF(OR($E$4="",NOT(ISNUMBER($E$4)),$E$4&lt;1,$E$4&gt;400),"参考年待填",IF(OR(E631="",F631="",G631=""),"年代待核",IF($E$4&lt;E631,"未出生",IF($E$4&lt;F631,"未登场",IF($E$4&gt;G631,"已过卒年",IF($E$4=G631,"卒年边界待核","年表可登场"))))))</x:f>
        <x:v>年表可登场</x:v>
      </x:c>
      <x:c r="I631" s="12"/>
      <x:c r="J631" s="2" t="str">
        <x:v>SAN14游戏设定</x:v>
      </x:c>
      <x:c r="K631" s="2" t="str"/>
      <x:c r="L631" s="2" t="str">
        <x:v>趙咨</x:v>
      </x:c>
      <x:c r="M631" s="2" t="str">
        <x:v>san14-candidate-0623</x:v>
      </x:c>
      <x:c r="N631" s="2" t="str">
        <x:v>趙咨</x:v>
      </x:c>
      <x:c r="O631" s="2" t="str">
        <x:v>チョウシ</x:v>
      </x:c>
    </x:row>
    <x:row r="632" ht="23" customHeight="1">
      <x:c r="A632" s="13" t="n">
        <x:v>624</x:v>
      </x:c>
      <x:c r="B632" s="2" t="str">
        <x:v>赵氏贞</x:v>
      </x:c>
      <x:c r="C632" s="2" t="str">
        <x:v>趙氏貞</x:v>
      </x:c>
      <x:c r="D632" s="2" t="str"/>
      <x:c r="E632" s="13" t="n">
        <x:v>225</x:v>
      </x:c>
      <x:c r="F632" s="13" t="n">
        <x:v>239</x:v>
      </x:c>
      <x:c r="G632" s="13" t="n">
        <x:v>248</x:v>
      </x:c>
      <x:c r="H632" s="2" t="str">
        <x:f>IF(OR($E$4="",NOT(ISNUMBER($E$4)),$E$4&lt;1,$E$4&gt;400),"参考年待填",IF(OR(E632="",F632="",G632=""),"年代待核",IF($E$4&lt;E632,"未出生",IF($E$4&lt;F632,"未登场",IF($E$4&gt;G632,"已过卒年",IF($E$4=G632,"卒年边界待核","年表可登场"))))))</x:f>
        <x:v>未登场</x:v>
      </x:c>
      <x:c r="I632" s="12"/>
      <x:c r="J632" s="2" t="str">
        <x:v>SAN14游戏设定</x:v>
      </x:c>
      <x:c r="K632" s="2" t="str"/>
      <x:c r="L632" s="2" t="str">
        <x:v>趙氏貞</x:v>
      </x:c>
      <x:c r="M632" s="2" t="str">
        <x:v>san14-candidate-0624</x:v>
      </x:c>
      <x:c r="N632" s="2" t="str">
        <x:v>趙氏貞</x:v>
      </x:c>
      <x:c r="O632" s="2" t="str">
        <x:v>チョウシテイ</x:v>
      </x:c>
    </x:row>
    <x:row r="633" ht="23" customHeight="1">
      <x:c r="A633" s="13" t="n">
        <x:v>625</x:v>
      </x:c>
      <x:c r="B633" s="2" t="str">
        <x:v>张绣</x:v>
      </x:c>
      <x:c r="C633" s="2" t="str">
        <x:v>張繡</x:v>
      </x:c>
      <x:c r="D633" s="2" t="str"/>
      <x:c r="E633" s="13" t="n">
        <x:v>154</x:v>
      </x:c>
      <x:c r="F633" s="13" t="n">
        <x:v>184</x:v>
      </x:c>
      <x:c r="G633" s="13" t="n">
        <x:v>207</x:v>
      </x:c>
      <x:c r="H633" s="2" t="str">
        <x:f>IF(OR($E$4="",NOT(ISNUMBER($E$4)),$E$4&lt;1,$E$4&gt;400),"参考年待填",IF(OR(E633="",F633="",G633=""),"年代待核",IF($E$4&lt;E633,"未出生",IF($E$4&lt;F633,"未登场",IF($E$4&gt;G633,"已过卒年",IF($E$4=G633,"卒年边界待核","年表可登场"))))))</x:f>
        <x:v>已过卒年</x:v>
      </x:c>
      <x:c r="I633" s="12"/>
      <x:c r="J633" s="2" t="str">
        <x:v>SAN14游戏设定</x:v>
      </x:c>
      <x:c r="K633" s="2" t="str"/>
      <x:c r="L633" s="2" t="str">
        <x:v>張繡</x:v>
      </x:c>
      <x:c r="M633" s="2" t="str">
        <x:v>san14-candidate-0625</x:v>
      </x:c>
      <x:c r="N633" s="2" t="str">
        <x:v>張繍</x:v>
      </x:c>
      <x:c r="O633" s="2" t="str">
        <x:v>チョウシュウ</x:v>
      </x:c>
    </x:row>
    <x:row r="634" ht="23" customHeight="1">
      <x:c r="A634" s="13" t="n">
        <x:v>626</x:v>
      </x:c>
      <x:c r="B634" s="2" t="str">
        <x:v>张缉</x:v>
      </x:c>
      <x:c r="C634" s="2" t="str">
        <x:v>張緝</x:v>
      </x:c>
      <x:c r="D634" s="2" t="str"/>
      <x:c r="E634" s="13" t="n">
        <x:v>196</x:v>
      </x:c>
      <x:c r="F634" s="13" t="n">
        <x:v>215</x:v>
      </x:c>
      <x:c r="G634" s="13" t="n">
        <x:v>254</x:v>
      </x:c>
      <x:c r="H634" s="2" t="str">
        <x:f>IF(OR($E$4="",NOT(ISNUMBER($E$4)),$E$4&lt;1,$E$4&gt;400),"参考年待填",IF(OR(E634="",F634="",G634=""),"年代待核",IF($E$4&lt;E634,"未出生",IF($E$4&lt;F634,"未登场",IF($E$4&gt;G634,"已过卒年",IF($E$4=G634,"卒年边界待核","年表可登场"))))))</x:f>
        <x:v>年表可登场</x:v>
      </x:c>
      <x:c r="I634" s="12"/>
      <x:c r="J634" s="2" t="str">
        <x:v>SAN14游戏设定</x:v>
      </x:c>
      <x:c r="K634" s="2" t="str"/>
      <x:c r="L634" s="2" t="str">
        <x:v>張緝</x:v>
      </x:c>
      <x:c r="M634" s="2" t="str">
        <x:v>san14-candidate-0626</x:v>
      </x:c>
      <x:c r="N634" s="2" t="str">
        <x:v>張緝</x:v>
      </x:c>
      <x:c r="O634" s="2" t="str">
        <x:v>チョウシュウ</x:v>
      </x:c>
    </x:row>
    <x:row r="635" ht="23" customHeight="1">
      <x:c r="A635" s="13" t="n">
        <x:v>627</x:v>
      </x:c>
      <x:c r="B635" s="2" t="str">
        <x:v>张肃</x:v>
      </x:c>
      <x:c r="C635" s="2" t="str">
        <x:v>張肅</x:v>
      </x:c>
      <x:c r="D635" s="2" t="str"/>
      <x:c r="E635" s="13" t="n">
        <x:v>165</x:v>
      </x:c>
      <x:c r="F635" s="13" t="n">
        <x:v>184</x:v>
      </x:c>
      <x:c r="G635" s="13" t="n">
        <x:v>213</x:v>
      </x:c>
      <x:c r="H635" s="2" t="str">
        <x:f>IF(OR($E$4="",NOT(ISNUMBER($E$4)),$E$4&lt;1,$E$4&gt;400),"参考年待填",IF(OR(E635="",F635="",G635=""),"年代待核",IF($E$4&lt;E635,"未出生",IF($E$4&lt;F635,"未登场",IF($E$4&gt;G635,"已过卒年",IF($E$4=G635,"卒年边界待核","年表可登场"))))))</x:f>
        <x:v>已过卒年</x:v>
      </x:c>
      <x:c r="I635" s="12"/>
      <x:c r="J635" s="2" t="str">
        <x:v>SAN14游戏设定</x:v>
      </x:c>
      <x:c r="K635" s="2" t="str"/>
      <x:c r="L635" s="2" t="str">
        <x:v>張肅</x:v>
      </x:c>
      <x:c r="M635" s="2" t="str">
        <x:v>san14-candidate-0627</x:v>
      </x:c>
      <x:c r="N635" s="2" t="str">
        <x:v>張粛</x:v>
      </x:c>
      <x:c r="O635" s="2" t="str">
        <x:v>チョウシュク</x:v>
      </x:c>
    </x:row>
    <x:row r="636" ht="23" customHeight="1">
      <x:c r="A636" s="13" t="n">
        <x:v>628</x:v>
      </x:c>
      <x:c r="B636" s="2" t="str">
        <x:v>张纯</x:v>
      </x:c>
      <x:c r="C636" s="2" t="str">
        <x:v>張純</x:v>
      </x:c>
      <x:c r="D636" s="2" t="str"/>
      <x:c r="E636" s="13" t="n">
        <x:v>152</x:v>
      </x:c>
      <x:c r="F636" s="13" t="n">
        <x:v>184</x:v>
      </x:c>
      <x:c r="G636" s="13" t="n">
        <x:v>188</x:v>
      </x:c>
      <x:c r="H636" s="2" t="str">
        <x:f>IF(OR($E$4="",NOT(ISNUMBER($E$4)),$E$4&lt;1,$E$4&gt;400),"参考年待填",IF(OR(E636="",F636="",G636=""),"年代待核",IF($E$4&lt;E636,"未出生",IF($E$4&lt;F636,"未登场",IF($E$4&gt;G636,"已过卒年",IF($E$4=G636,"卒年边界待核","年表可登场"))))))</x:f>
        <x:v>已过卒年</x:v>
      </x:c>
      <x:c r="I636" s="12"/>
      <x:c r="J636" s="2" t="str">
        <x:v>SAN14游戏设定</x:v>
      </x:c>
      <x:c r="K636" s="2" t="str"/>
      <x:c r="L636" s="2" t="str">
        <x:v>張純</x:v>
      </x:c>
      <x:c r="M636" s="2" t="str">
        <x:v>san14-candidate-0628</x:v>
      </x:c>
      <x:c r="N636" s="2" t="str">
        <x:v>張純</x:v>
      </x:c>
      <x:c r="O636" s="2" t="str">
        <x:v>チョウジュン</x:v>
      </x:c>
    </x:row>
    <x:row r="637" ht="23" customHeight="1">
      <x:c r="A637" s="13" t="n">
        <x:v>629</x:v>
      </x:c>
      <x:c r="B637" s="2" t="str">
        <x:v>张遵</x:v>
      </x:c>
      <x:c r="C637" s="2" t="str">
        <x:v>張遵</x:v>
      </x:c>
      <x:c r="D637" s="2" t="str"/>
      <x:c r="E637" s="13" t="n">
        <x:v>224</x:v>
      </x:c>
      <x:c r="F637" s="13" t="n">
        <x:v>238</x:v>
      </x:c>
      <x:c r="G637" s="13" t="n">
        <x:v>263</x:v>
      </x:c>
      <x:c r="H637" s="2" t="str">
        <x:f>IF(OR($E$4="",NOT(ISNUMBER($E$4)),$E$4&lt;1,$E$4&gt;400),"参考年待填",IF(OR(E637="",F637="",G637=""),"年代待核",IF($E$4&lt;E637,"未出生",IF($E$4&lt;F637,"未登场",IF($E$4&gt;G637,"已过卒年",IF($E$4=G637,"卒年边界待核","年表可登场"))))))</x:f>
        <x:v>未登场</x:v>
      </x:c>
      <x:c r="I637" s="12"/>
      <x:c r="J637" s="2" t="str">
        <x:v>SAN14游戏设定</x:v>
      </x:c>
      <x:c r="K637" s="2" t="str"/>
      <x:c r="L637" s="2" t="str">
        <x:v>張遵</x:v>
      </x:c>
      <x:c r="M637" s="2" t="str">
        <x:v>san14-candidate-0629</x:v>
      </x:c>
      <x:c r="N637" s="2" t="str">
        <x:v>張遵</x:v>
      </x:c>
      <x:c r="O637" s="2" t="str">
        <x:v>チョウジュン</x:v>
      </x:c>
    </x:row>
    <x:row r="638" ht="23" customHeight="1">
      <x:c r="A638" s="13" t="n">
        <x:v>630</x:v>
      </x:c>
      <x:c r="B638" s="2" t="str">
        <x:v>张春华</x:v>
      </x:c>
      <x:c r="C638" s="2" t="str">
        <x:v>張春華</x:v>
      </x:c>
      <x:c r="D638" s="2" t="str"/>
      <x:c r="E638" s="13" t="n">
        <x:v>189</x:v>
      </x:c>
      <x:c r="F638" s="13" t="n">
        <x:v>203</x:v>
      </x:c>
      <x:c r="G638" s="13" t="n">
        <x:v>247</x:v>
      </x:c>
      <x:c r="H638" s="2" t="str">
        <x:f>IF(OR($E$4="",NOT(ISNUMBER($E$4)),$E$4&lt;1,$E$4&gt;400),"参考年待填",IF(OR(E638="",F638="",G638=""),"年代待核",IF($E$4&lt;E638,"未出生",IF($E$4&lt;F638,"未登场",IF($E$4&gt;G638,"已过卒年",IF($E$4=G638,"卒年边界待核","年表可登场"))))))</x:f>
        <x:v>年表可登场</x:v>
      </x:c>
      <x:c r="I638" s="12"/>
      <x:c r="J638" s="2" t="str">
        <x:v>SAN14游戏设定</x:v>
      </x:c>
      <x:c r="K638" s="2" t="str"/>
      <x:c r="L638" s="2" t="str">
        <x:v>張春華</x:v>
      </x:c>
      <x:c r="M638" s="2" t="str">
        <x:v>san14-candidate-0630</x:v>
      </x:c>
      <x:c r="N638" s="2" t="str">
        <x:v>張春華</x:v>
      </x:c>
      <x:c r="O638" s="2" t="str">
        <x:v>チョウシュンカ</x:v>
      </x:c>
    </x:row>
    <x:row r="639" ht="23" customHeight="1">
      <x:c r="A639" s="13" t="n">
        <x:v>631</x:v>
      </x:c>
      <x:c r="B639" s="2" t="str">
        <x:v>张昭</x:v>
      </x:c>
      <x:c r="C639" s="2" t="str">
        <x:v>張昭</x:v>
      </x:c>
      <x:c r="D639" s="2" t="str"/>
      <x:c r="E639" s="13" t="n">
        <x:v>156</x:v>
      </x:c>
      <x:c r="F639" s="13" t="n">
        <x:v>194</x:v>
      </x:c>
      <x:c r="G639" s="13" t="n">
        <x:v>236</x:v>
      </x:c>
      <x:c r="H639" s="2" t="str">
        <x:f>IF(OR($E$4="",NOT(ISNUMBER($E$4)),$E$4&lt;1,$E$4&gt;400),"参考年待填",IF(OR(E639="",F639="",G639=""),"年代待核",IF($E$4&lt;E639,"未出生",IF($E$4&lt;F639,"未登场",IF($E$4&gt;G639,"已过卒年",IF($E$4=G639,"卒年边界待核","年表可登场"))))))</x:f>
        <x:v>年表可登场</x:v>
      </x:c>
      <x:c r="I639" s="12"/>
      <x:c r="J639" s="2" t="str">
        <x:v>SAN14游戏设定</x:v>
      </x:c>
      <x:c r="K639" s="2" t="str"/>
      <x:c r="L639" s="2" t="str">
        <x:v>張昭</x:v>
      </x:c>
      <x:c r="M639" s="2" t="str">
        <x:v>san14-candidate-0631</x:v>
      </x:c>
      <x:c r="N639" s="2" t="str">
        <x:v>張昭</x:v>
      </x:c>
      <x:c r="O639" s="2" t="str">
        <x:v>チョウショウ</x:v>
      </x:c>
    </x:row>
    <x:row r="640" ht="23" customHeight="1">
      <x:c r="A640" s="13" t="n">
        <x:v>632</x:v>
      </x:c>
      <x:c r="B640" s="2" t="str">
        <x:v>张松</x:v>
      </x:c>
      <x:c r="C640" s="2" t="str">
        <x:v>張松</x:v>
      </x:c>
      <x:c r="D640" s="2" t="str"/>
      <x:c r="E640" s="13" t="n">
        <x:v>170</x:v>
      </x:c>
      <x:c r="F640" s="13" t="n">
        <x:v>189</x:v>
      </x:c>
      <x:c r="G640" s="13" t="n">
        <x:v>212</x:v>
      </x:c>
      <x:c r="H640" s="2" t="str">
        <x:f>IF(OR($E$4="",NOT(ISNUMBER($E$4)),$E$4&lt;1,$E$4&gt;400),"参考年待填",IF(OR(E640="",F640="",G640=""),"年代待核",IF($E$4&lt;E640,"未出生",IF($E$4&lt;F640,"未登场",IF($E$4&gt;G640,"已过卒年",IF($E$4=G640,"卒年边界待核","年表可登场"))))))</x:f>
        <x:v>已过卒年</x:v>
      </x:c>
      <x:c r="I640" s="12"/>
      <x:c r="J640" s="2" t="str">
        <x:v>SAN14游戏设定</x:v>
      </x:c>
      <x:c r="K640" s="2" t="str"/>
      <x:c r="L640" s="2" t="str">
        <x:v>張松</x:v>
      </x:c>
      <x:c r="M640" s="2" t="str">
        <x:v>san14-candidate-0632</x:v>
      </x:c>
      <x:c r="N640" s="2" t="str">
        <x:v>張松</x:v>
      </x:c>
      <x:c r="O640" s="2" t="str">
        <x:v>チョウショウ</x:v>
      </x:c>
    </x:row>
    <x:row r="641" ht="23" customHeight="1">
      <x:c r="A641" s="13" t="n">
        <x:v>633</x:v>
      </x:c>
      <x:c r="B641" s="2" t="str">
        <x:v>张绍</x:v>
      </x:c>
      <x:c r="C641" s="2" t="str">
        <x:v>張紹</x:v>
      </x:c>
      <x:c r="D641" s="2" t="str"/>
      <x:c r="E641" s="13" t="n">
        <x:v>202</x:v>
      </x:c>
      <x:c r="F641" s="13" t="n">
        <x:v>216</x:v>
      </x:c>
      <x:c r="G641" s="13" t="n">
        <x:v>264</x:v>
      </x:c>
      <x:c r="H641" s="2" t="str">
        <x:f>IF(OR($E$4="",NOT(ISNUMBER($E$4)),$E$4&lt;1,$E$4&gt;400),"参考年待填",IF(OR(E641="",F641="",G641=""),"年代待核",IF($E$4&lt;E641,"未出生",IF($E$4&lt;F641,"未登场",IF($E$4&gt;G641,"已过卒年",IF($E$4=G641,"卒年边界待核","年表可登场"))))))</x:f>
        <x:v>年表可登场</x:v>
      </x:c>
      <x:c r="I641" s="12"/>
      <x:c r="J641" s="2" t="str">
        <x:v>SAN14游戏设定</x:v>
      </x:c>
      <x:c r="K641" s="2" t="str"/>
      <x:c r="L641" s="2" t="str">
        <x:v>張紹</x:v>
      </x:c>
      <x:c r="M641" s="2" t="str">
        <x:v>san14-candidate-0633</x:v>
      </x:c>
      <x:c r="N641" s="2" t="str">
        <x:v>張紹</x:v>
      </x:c>
      <x:c r="O641" s="2" t="str">
        <x:v>チョウショウ</x:v>
      </x:c>
    </x:row>
    <x:row r="642" ht="23" customHeight="1">
      <x:c r="A642" s="13" t="n">
        <x:v>634</x:v>
      </x:c>
      <x:c r="B642" s="2" t="str">
        <x:v>张承</x:v>
      </x:c>
      <x:c r="C642" s="2" t="str">
        <x:v>張承</x:v>
      </x:c>
      <x:c r="D642" s="2" t="str">
        <x:v>孙吴系，第三方设定178—244</x:v>
      </x:c>
      <x:c r="E642" s="13" t="n">
        <x:v>178</x:v>
      </x:c>
      <x:c r="F642" s="13" t="n">
        <x:v>197</x:v>
      </x:c>
      <x:c r="G642" s="13" t="n">
        <x:v>244</x:v>
      </x:c>
      <x:c r="H642" s="2" t="str">
        <x:f>IF(OR($E$4="",NOT(ISNUMBER($E$4)),$E$4&lt;1,$E$4&gt;400),"参考年待填",IF(OR(E642="",F642="",G642=""),"年代待核",IF($E$4&lt;E642,"未出生",IF($E$4&lt;F642,"未登场",IF($E$4&gt;G642,"已过卒年",IF($E$4=G642,"卒年边界待核","年表可登场"))))))</x:f>
        <x:v>年表可登场</x:v>
      </x:c>
      <x:c r="I642" s="12"/>
      <x:c r="J642" s="2" t="str">
        <x:v>SAN14游戏设定</x:v>
      </x:c>
      <x:c r="K642" s="2" t="str">
        <x:v>同名异人，保留</x:v>
      </x:c>
      <x:c r="L642" s="2" t="str">
        <x:v>張承</x:v>
      </x:c>
      <x:c r="M642" s="2" t="str">
        <x:v>san14-candidate-0634</x:v>
      </x:c>
      <x:c r="N642" s="2" t="str">
        <x:v>張承</x:v>
      </x:c>
      <x:c r="O642" s="2" t="str">
        <x:v>チョウショウ</x:v>
      </x:c>
    </x:row>
    <x:row r="643" ht="23" customHeight="1">
      <x:c r="A643" s="13" t="n">
        <x:v>635</x:v>
      </x:c>
      <x:c r="B643" s="2" t="str">
        <x:v>张承</x:v>
      </x:c>
      <x:c r="C643" s="2" t="str">
        <x:v>張承</x:v>
      </x:c>
      <x:c r="D643" s="2" t="str">
        <x:v>东汉、曹操系，第三方设定156—215</x:v>
      </x:c>
      <x:c r="E643" s="13" t="n">
        <x:v>156</x:v>
      </x:c>
      <x:c r="F643" s="13" t="n">
        <x:v>184</x:v>
      </x:c>
      <x:c r="G643" s="13" t="n">
        <x:v>215</x:v>
      </x:c>
      <x:c r="H643" s="2" t="str">
        <x:f>IF(OR($E$4="",NOT(ISNUMBER($E$4)),$E$4&lt;1,$E$4&gt;400),"参考年待填",IF(OR(E643="",F643="",G643=""),"年代待核",IF($E$4&lt;E643,"未出生",IF($E$4&lt;F643,"未登场",IF($E$4&gt;G643,"已过卒年",IF($E$4=G643,"卒年边界待核","年表可登场"))))))</x:f>
        <x:v>已过卒年</x:v>
      </x:c>
      <x:c r="I643" s="12"/>
      <x:c r="J643" s="2" t="str">
        <x:v>SAN14游戏设定</x:v>
      </x:c>
      <x:c r="K643" s="2" t="str">
        <x:v>同名异人，保留</x:v>
      </x:c>
      <x:c r="L643" s="2" t="str">
        <x:v>張承</x:v>
      </x:c>
      <x:c r="M643" s="2" t="str">
        <x:v>san14-candidate-0635</x:v>
      </x:c>
      <x:c r="N643" s="2" t="str">
        <x:v>張承</x:v>
      </x:c>
      <x:c r="O643" s="2" t="str">
        <x:v>チョウショウ</x:v>
      </x:c>
    </x:row>
    <x:row r="644" ht="23" customHeight="1">
      <x:c r="A644" s="13" t="n">
        <x:v>636</x:v>
      </x:c>
      <x:c r="B644" s="2" t="str">
        <x:v>张昌蒲</x:v>
      </x:c>
      <x:c r="C644" s="2" t="str">
        <x:v>張昌蒲</x:v>
      </x:c>
      <x:c r="D644" s="2" t="str"/>
      <x:c r="E644" s="13" t="n">
        <x:v>199</x:v>
      </x:c>
      <x:c r="F644" s="13" t="n">
        <x:v>213</x:v>
      </x:c>
      <x:c r="G644" s="13" t="n">
        <x:v>257</x:v>
      </x:c>
      <x:c r="H644" s="2" t="str">
        <x:f>IF(OR($E$4="",NOT(ISNUMBER($E$4)),$E$4&lt;1,$E$4&gt;400),"参考年待填",IF(OR(E644="",F644="",G644=""),"年代待核",IF($E$4&lt;E644,"未出生",IF($E$4&lt;F644,"未登场",IF($E$4&gt;G644,"已过卒年",IF($E$4=G644,"卒年边界待核","年表可登场"))))))</x:f>
        <x:v>年表可登场</x:v>
      </x:c>
      <x:c r="I644" s="12"/>
      <x:c r="J644" s="2" t="str">
        <x:v>SAN14游戏设定</x:v>
      </x:c>
      <x:c r="K644" s="2" t="str"/>
      <x:c r="L644" s="2" t="str">
        <x:v>張昌蒲</x:v>
      </x:c>
      <x:c r="M644" s="2" t="str">
        <x:v>san14-candidate-0636</x:v>
      </x:c>
      <x:c r="N644" s="2" t="str">
        <x:v>張昌蒲</x:v>
      </x:c>
      <x:c r="O644" s="2" t="str">
        <x:v>チョウショウホ</x:v>
      </x:c>
    </x:row>
    <x:row r="645" ht="23" customHeight="1">
      <x:c r="A645" s="13" t="n">
        <x:v>637</x:v>
      </x:c>
      <x:c r="B645" s="2" t="str">
        <x:v>张任</x:v>
      </x:c>
      <x:c r="C645" s="2" t="str">
        <x:v>張任</x:v>
      </x:c>
      <x:c r="D645" s="2" t="str"/>
      <x:c r="E645" s="13" t="n">
        <x:v>169</x:v>
      </x:c>
      <x:c r="F645" s="13" t="n">
        <x:v>188</x:v>
      </x:c>
      <x:c r="G645" s="13" t="n">
        <x:v>214</x:v>
      </x:c>
      <x:c r="H645" s="2" t="str">
        <x:f>IF(OR($E$4="",NOT(ISNUMBER($E$4)),$E$4&lt;1,$E$4&gt;400),"参考年待填",IF(OR(E645="",F645="",G645=""),"年代待核",IF($E$4&lt;E645,"未出生",IF($E$4&lt;F645,"未登场",IF($E$4&gt;G645,"已过卒年",IF($E$4=G645,"卒年边界待核","年表可登场"))))))</x:f>
        <x:v>已过卒年</x:v>
      </x:c>
      <x:c r="I645" s="12"/>
      <x:c r="J645" s="2" t="str">
        <x:v>SAN14游戏设定</x:v>
      </x:c>
      <x:c r="K645" s="2" t="str"/>
      <x:c r="L645" s="2" t="str">
        <x:v>張任</x:v>
      </x:c>
      <x:c r="M645" s="2" t="str">
        <x:v>san14-candidate-0637</x:v>
      </x:c>
      <x:c r="N645" s="2" t="str">
        <x:v>張任</x:v>
      </x:c>
      <x:c r="O645" s="2" t="str">
        <x:v>チョウジン</x:v>
      </x:c>
    </x:row>
    <x:row r="646" ht="23" customHeight="1">
      <x:c r="A646" s="13" t="n">
        <x:v>638</x:v>
      </x:c>
      <x:c r="B646" s="2" t="str">
        <x:v>张济</x:v>
      </x:c>
      <x:c r="C646" s="2" t="str">
        <x:v>張濟</x:v>
      </x:c>
      <x:c r="D646" s="2" t="str"/>
      <x:c r="E646" s="13" t="n">
        <x:v>144</x:v>
      </x:c>
      <x:c r="F646" s="13" t="n">
        <x:v>184</x:v>
      </x:c>
      <x:c r="G646" s="13" t="n">
        <x:v>196</x:v>
      </x:c>
      <x:c r="H646" s="2" t="str">
        <x:f>IF(OR($E$4="",NOT(ISNUMBER($E$4)),$E$4&lt;1,$E$4&gt;400),"参考年待填",IF(OR(E646="",F646="",G646=""),"年代待核",IF($E$4&lt;E646,"未出生",IF($E$4&lt;F646,"未登场",IF($E$4&gt;G646,"已过卒年",IF($E$4=G646,"卒年边界待核","年表可登场"))))))</x:f>
        <x:v>已过卒年</x:v>
      </x:c>
      <x:c r="I646" s="12"/>
      <x:c r="J646" s="2" t="str">
        <x:v>SAN14游戏设定</x:v>
      </x:c>
      <x:c r="K646" s="2" t="str"/>
      <x:c r="L646" s="2" t="str">
        <x:v>張濟</x:v>
      </x:c>
      <x:c r="M646" s="2" t="str">
        <x:v>san14-candidate-0638</x:v>
      </x:c>
      <x:c r="N646" s="2" t="str">
        <x:v>張済</x:v>
      </x:c>
      <x:c r="O646" s="2" t="str">
        <x:v>チョウセイ</x:v>
      </x:c>
    </x:row>
    <x:row r="647" ht="23" customHeight="1">
      <x:c r="A647" s="13" t="n">
        <x:v>639</x:v>
      </x:c>
      <x:c r="B647" s="2" t="str">
        <x:v>赵正</x:v>
      </x:c>
      <x:c r="C647" s="2" t="str">
        <x:v>趙正</x:v>
      </x:c>
      <x:c r="D647" s="2" t="str"/>
      <x:c r="E647" s="13" t="n">
        <x:v>200</x:v>
      </x:c>
      <x:c r="F647" s="13" t="n">
        <x:v>219</x:v>
      </x:c>
      <x:c r="G647" s="13" t="n">
        <x:v>247</x:v>
      </x:c>
      <x:c r="H647" s="2" t="str">
        <x:f>IF(OR($E$4="",NOT(ISNUMBER($E$4)),$E$4&lt;1,$E$4&gt;400),"参考年待填",IF(OR(E647="",F647="",G647=""),"年代待核",IF($E$4&lt;E647,"未出生",IF($E$4&lt;F647,"未登场",IF($E$4&gt;G647,"已过卒年",IF($E$4=G647,"卒年边界待核","年表可登场"))))))</x:f>
        <x:v>年表可登场</x:v>
      </x:c>
      <x:c r="I647" s="12"/>
      <x:c r="J647" s="2" t="str">
        <x:v>SAN14游戏设定</x:v>
      </x:c>
      <x:c r="K647" s="2" t="str"/>
      <x:c r="L647" s="2" t="str">
        <x:v>趙正</x:v>
      </x:c>
      <x:c r="M647" s="2" t="str">
        <x:v>san14-candidate-0639</x:v>
      </x:c>
      <x:c r="N647" s="2" t="str">
        <x:v>趙正</x:v>
      </x:c>
      <x:c r="O647" s="2" t="str">
        <x:v>チョウセイ</x:v>
      </x:c>
    </x:row>
    <x:row r="648" ht="23" customHeight="1">
      <x:c r="A648" s="13" t="n">
        <x:v>640</x:v>
      </x:c>
      <x:c r="B648" s="2" t="str">
        <x:v>貂蝉</x:v>
      </x:c>
      <x:c r="C648" s="2" t="str">
        <x:v>貂蟬</x:v>
      </x:c>
      <x:c r="D648" s="2" t="str"/>
      <x:c r="E648" s="13" t="n">
        <x:v>176</x:v>
      </x:c>
      <x:c r="F648" s="13" t="n">
        <x:v>194</x:v>
      </x:c>
      <x:c r="G648" s="13" t="n">
        <x:v>198</x:v>
      </x:c>
      <x:c r="H648" s="2" t="str">
        <x:f>IF(OR($E$4="",NOT(ISNUMBER($E$4)),$E$4&lt;1,$E$4&gt;400),"参考年待填",IF(OR(E648="",F648="",G648=""),"年代待核",IF($E$4&lt;E648,"未出生",IF($E$4&lt;F648,"未登场",IF($E$4&gt;G648,"已过卒年",IF($E$4=G648,"卒年边界待核","年表可登场"))))))</x:f>
        <x:v>已过卒年</x:v>
      </x:c>
      <x:c r="I648" s="12"/>
      <x:c r="J648" s="2" t="str">
        <x:v>SAN14游戏设定</x:v>
      </x:c>
      <x:c r="K648" s="2" t="str"/>
      <x:c r="L648" s="2" t="str">
        <x:v>貂蟬</x:v>
      </x:c>
      <x:c r="M648" s="2" t="str">
        <x:v>san14-candidate-0640</x:v>
      </x:c>
      <x:c r="N648" s="2" t="str">
        <x:v>貂蝉</x:v>
      </x:c>
      <x:c r="O648" s="2" t="str">
        <x:v>チョウセン</x:v>
      </x:c>
    </x:row>
    <x:row r="649" ht="23" customHeight="1">
      <x:c r="A649" s="13" t="n">
        <x:v>641</x:v>
      </x:c>
      <x:c r="B649" s="2" t="str">
        <x:v>张先</x:v>
      </x:c>
      <x:c r="C649" s="2" t="str">
        <x:v>張先</x:v>
      </x:c>
      <x:c r="D649" s="2" t="str"/>
      <x:c r="E649" s="13" t="n">
        <x:v>175</x:v>
      </x:c>
      <x:c r="F649" s="13" t="n">
        <x:v>194</x:v>
      </x:c>
      <x:c r="G649" s="13" t="n">
        <x:v>197</x:v>
      </x:c>
      <x:c r="H649" s="2" t="str">
        <x:f>IF(OR($E$4="",NOT(ISNUMBER($E$4)),$E$4&lt;1,$E$4&gt;400),"参考年待填",IF(OR(E649="",F649="",G649=""),"年代待核",IF($E$4&lt;E649,"未出生",IF($E$4&lt;F649,"未登场",IF($E$4&gt;G649,"已过卒年",IF($E$4=G649,"卒年边界待核","年表可登场"))))))</x:f>
        <x:v>已过卒年</x:v>
      </x:c>
      <x:c r="I649" s="12"/>
      <x:c r="J649" s="2" t="str">
        <x:v>SAN14游戏设定</x:v>
      </x:c>
      <x:c r="K649" s="2" t="str"/>
      <x:c r="L649" s="2" t="str">
        <x:v>張先</x:v>
      </x:c>
      <x:c r="M649" s="2" t="str">
        <x:v>san14-candidate-0641</x:v>
      </x:c>
      <x:c r="N649" s="2" t="str">
        <x:v>張先</x:v>
      </x:c>
      <x:c r="O649" s="2" t="str">
        <x:v>チョウセン</x:v>
      </x:c>
    </x:row>
    <x:row r="650" ht="23" customHeight="1">
      <x:c r="A650" s="13" t="n">
        <x:v>642</x:v>
      </x:c>
      <x:c r="B650" s="2" t="str">
        <x:v>张羡</x:v>
      </x:c>
      <x:c r="C650" s="2" t="str">
        <x:v>張羨</x:v>
      </x:c>
      <x:c r="D650" s="2" t="str"/>
      <x:c r="E650" s="13" t="n">
        <x:v>159</x:v>
      </x:c>
      <x:c r="F650" s="13" t="n">
        <x:v>188</x:v>
      </x:c>
      <x:c r="G650" s="13" t="n">
        <x:v>202</x:v>
      </x:c>
      <x:c r="H650" s="2" t="str">
        <x:f>IF(OR($E$4="",NOT(ISNUMBER($E$4)),$E$4&lt;1,$E$4&gt;400),"参考年待填",IF(OR(E650="",F650="",G650=""),"年代待核",IF($E$4&lt;E650,"未出生",IF($E$4&lt;F650,"未登场",IF($E$4&gt;G650,"已过卒年",IF($E$4=G650,"卒年边界待核","年表可登场"))))))</x:f>
        <x:v>已过卒年</x:v>
      </x:c>
      <x:c r="I650" s="12"/>
      <x:c r="J650" s="2" t="str">
        <x:v>SAN14游戏设定</x:v>
      </x:c>
      <x:c r="K650" s="2" t="str"/>
      <x:c r="L650" s="2" t="str">
        <x:v>張羨</x:v>
      </x:c>
      <x:c r="M650" s="2" t="str">
        <x:v>san14-candidate-0642</x:v>
      </x:c>
      <x:c r="N650" s="2" t="str">
        <x:v>張羨</x:v>
      </x:c>
      <x:c r="O650" s="2" t="str">
        <x:v>チョウセン</x:v>
      </x:c>
    </x:row>
    <x:row r="651" ht="23" customHeight="1">
      <x:c r="A651" s="13" t="n">
        <x:v>643</x:v>
      </x:c>
      <x:c r="B651" s="2" t="str">
        <x:v>张泉</x:v>
      </x:c>
      <x:c r="C651" s="2" t="str">
        <x:v>張泉</x:v>
      </x:c>
      <x:c r="D651" s="2" t="str"/>
      <x:c r="E651" s="13" t="n">
        <x:v>182</x:v>
      </x:c>
      <x:c r="F651" s="13" t="n">
        <x:v>201</x:v>
      </x:c>
      <x:c r="G651" s="13" t="n">
        <x:v>219</x:v>
      </x:c>
      <x:c r="H651" s="2" t="str">
        <x:f>IF(OR($E$4="",NOT(ISNUMBER($E$4)),$E$4&lt;1,$E$4&gt;400),"参考年待填",IF(OR(E651="",F651="",G651=""),"年代待核",IF($E$4&lt;E651,"未出生",IF($E$4&lt;F651,"未登场",IF($E$4&gt;G651,"已过卒年",IF($E$4=G651,"卒年边界待核","年表可登场"))))))</x:f>
        <x:v>已过卒年</x:v>
      </x:c>
      <x:c r="I651" s="12"/>
      <x:c r="J651" s="2" t="str">
        <x:v>SAN14游戏设定</x:v>
      </x:c>
      <x:c r="K651" s="2" t="str"/>
      <x:c r="L651" s="2" t="str">
        <x:v>張泉</x:v>
      </x:c>
      <x:c r="M651" s="2" t="str">
        <x:v>san14-candidate-0643</x:v>
      </x:c>
      <x:c r="N651" s="2" t="str">
        <x:v>張泉</x:v>
      </x:c>
      <x:c r="O651" s="2" t="str">
        <x:v>チョウセン</x:v>
      </x:c>
    </x:row>
    <x:row r="652" ht="23" customHeight="1">
      <x:c r="A652" s="13" t="n">
        <x:v>644</x:v>
      </x:c>
      <x:c r="B652" s="2" t="str">
        <x:v>张达</x:v>
      </x:c>
      <x:c r="C652" s="2" t="str">
        <x:v>張達</x:v>
      </x:c>
      <x:c r="D652" s="2" t="str"/>
      <x:c r="E652" s="13" t="n">
        <x:v>185</x:v>
      </x:c>
      <x:c r="F652" s="13" t="n">
        <x:v>209</x:v>
      </x:c>
      <x:c r="G652" s="13" t="n">
        <x:v>222</x:v>
      </x:c>
      <x:c r="H652" s="2" t="str">
        <x:f>IF(OR($E$4="",NOT(ISNUMBER($E$4)),$E$4&lt;1,$E$4&gt;400),"参考年待填",IF(OR(E652="",F652="",G652=""),"年代待核",IF($E$4&lt;E652,"未出生",IF($E$4&lt;F652,"未登场",IF($E$4&gt;G652,"已过卒年",IF($E$4=G652,"卒年边界待核","年表可登场"))))))</x:f>
        <x:v>已过卒年</x:v>
      </x:c>
      <x:c r="I652" s="12"/>
      <x:c r="J652" s="2" t="str">
        <x:v>SAN14游戏设定</x:v>
      </x:c>
      <x:c r="K652" s="2" t="str"/>
      <x:c r="L652" s="2" t="str">
        <x:v>張達</x:v>
      </x:c>
      <x:c r="M652" s="2" t="str">
        <x:v>san14-candidate-0644</x:v>
      </x:c>
      <x:c r="N652" s="2" t="str">
        <x:v>張達</x:v>
      </x:c>
      <x:c r="O652" s="2" t="str">
        <x:v>チョウタツ</x:v>
      </x:c>
    </x:row>
    <x:row r="653" ht="23" customHeight="1">
      <x:c r="A653" s="13" t="n">
        <x:v>645</x:v>
      </x:c>
      <x:c r="B653" s="2" t="str">
        <x:v>赵达</x:v>
      </x:c>
      <x:c r="C653" s="2" t="str">
        <x:v>趙達</x:v>
      </x:c>
      <x:c r="D653" s="2" t="str"/>
      <x:c r="E653" s="13" t="n">
        <x:v>171</x:v>
      </x:c>
      <x:c r="F653" s="13" t="n">
        <x:v>200</x:v>
      </x:c>
      <x:c r="G653" s="13" t="n">
        <x:v>230</x:v>
      </x:c>
      <x:c r="H653" s="2" t="str">
        <x:f>IF(OR($E$4="",NOT(ISNUMBER($E$4)),$E$4&lt;1,$E$4&gt;400),"参考年待填",IF(OR(E653="",F653="",G653=""),"年代待核",IF($E$4&lt;E653,"未出生",IF($E$4&lt;F653,"未登场",IF($E$4&gt;G653,"已过卒年",IF($E$4=G653,"卒年边界待核","年表可登场"))))))</x:f>
        <x:v>卒年边界待核</x:v>
      </x:c>
      <x:c r="I653" s="12"/>
      <x:c r="J653" s="2" t="str">
        <x:v>SAN14游戏设定</x:v>
      </x:c>
      <x:c r="K653" s="2" t="str"/>
      <x:c r="L653" s="2" t="str">
        <x:v>趙達</x:v>
      </x:c>
      <x:c r="M653" s="2" t="str">
        <x:v>san14-candidate-0645</x:v>
      </x:c>
      <x:c r="N653" s="2" t="str">
        <x:v>趙達</x:v>
      </x:c>
      <x:c r="O653" s="2" t="str">
        <x:v>チョウタツ</x:v>
      </x:c>
    </x:row>
    <x:row r="654" ht="23" customHeight="1">
      <x:c r="A654" s="13" t="n">
        <x:v>646</x:v>
      </x:c>
      <x:c r="B654" s="2" t="str">
        <x:v>张著</x:v>
      </x:c>
      <x:c r="C654" s="2" t="str">
        <x:v>張著</x:v>
      </x:c>
      <x:c r="D654" s="2" t="str"/>
      <x:c r="E654" s="13" t="n">
        <x:v>170</x:v>
      </x:c>
      <x:c r="F654" s="13" t="n">
        <x:v>193</x:v>
      </x:c>
      <x:c r="G654" s="13" t="n">
        <x:v>232</x:v>
      </x:c>
      <x:c r="H654" s="2" t="str">
        <x:f>IF(OR($E$4="",NOT(ISNUMBER($E$4)),$E$4&lt;1,$E$4&gt;400),"参考年待填",IF(OR(E654="",F654="",G654=""),"年代待核",IF($E$4&lt;E654,"未出生",IF($E$4&lt;F654,"未登场",IF($E$4&gt;G654,"已过卒年",IF($E$4=G654,"卒年边界待核","年表可登场"))))))</x:f>
        <x:v>年表可登场</x:v>
      </x:c>
      <x:c r="I654" s="12"/>
      <x:c r="J654" s="2" t="str">
        <x:v>SAN14游戏设定</x:v>
      </x:c>
      <x:c r="K654" s="2" t="str"/>
      <x:c r="L654" s="2" t="str">
        <x:v>張著</x:v>
      </x:c>
      <x:c r="M654" s="2" t="str">
        <x:v>san14-candidate-0646</x:v>
      </x:c>
      <x:c r="N654" s="2" t="str">
        <x:v>張著</x:v>
      </x:c>
      <x:c r="O654" s="2" t="str">
        <x:v>チョウチョ</x:v>
      </x:c>
    </x:row>
    <x:row r="655" ht="23" customHeight="1">
      <x:c r="A655" s="13" t="n">
        <x:v>647</x:v>
      </x:c>
      <x:c r="B655" s="2" t="str">
        <x:v>张超</x:v>
      </x:c>
      <x:c r="C655" s="2" t="str">
        <x:v>張超</x:v>
      </x:c>
      <x:c r="D655" s="2" t="str"/>
      <x:c r="E655" s="13" t="n">
        <x:v>160</x:v>
      </x:c>
      <x:c r="F655" s="13" t="n">
        <x:v>184</x:v>
      </x:c>
      <x:c r="G655" s="13" t="n">
        <x:v>195</x:v>
      </x:c>
      <x:c r="H655" s="2" t="str">
        <x:f>IF(OR($E$4="",NOT(ISNUMBER($E$4)),$E$4&lt;1,$E$4&gt;400),"参考年待填",IF(OR(E655="",F655="",G655=""),"年代待核",IF($E$4&lt;E655,"未出生",IF($E$4&lt;F655,"未登场",IF($E$4&gt;G655,"已过卒年",IF($E$4=G655,"卒年边界待核","年表可登场"))))))</x:f>
        <x:v>已过卒年</x:v>
      </x:c>
      <x:c r="I655" s="12"/>
      <x:c r="J655" s="2" t="str">
        <x:v>SAN14游戏设定</x:v>
      </x:c>
      <x:c r="K655" s="2" t="str"/>
      <x:c r="L655" s="2" t="str">
        <x:v>張超</x:v>
      </x:c>
      <x:c r="M655" s="2" t="str">
        <x:v>san14-candidate-0647</x:v>
      </x:c>
      <x:c r="N655" s="2" t="str">
        <x:v>張超</x:v>
      </x:c>
      <x:c r="O655" s="2" t="str">
        <x:v>チョウチョウ</x:v>
      </x:c>
    </x:row>
    <x:row r="656" ht="23" customHeight="1">
      <x:c r="A656" s="13" t="n">
        <x:v>648</x:v>
      </x:c>
      <x:c r="B656" s="2" t="str">
        <x:v>张悌</x:v>
      </x:c>
      <x:c r="C656" s="2" t="str">
        <x:v>張悌</x:v>
      </x:c>
      <x:c r="D656" s="2" t="str"/>
      <x:c r="E656" s="13" t="n">
        <x:v>236</x:v>
      </x:c>
      <x:c r="F656" s="13" t="n">
        <x:v>253</x:v>
      </x:c>
      <x:c r="G656" s="13" t="n">
        <x:v>280</x:v>
      </x:c>
      <x:c r="H656" s="2" t="str">
        <x:f>IF(OR($E$4="",NOT(ISNUMBER($E$4)),$E$4&lt;1,$E$4&gt;400),"参考年待填",IF(OR(E656="",F656="",G656=""),"年代待核",IF($E$4&lt;E656,"未出生",IF($E$4&lt;F656,"未登场",IF($E$4&gt;G656,"已过卒年",IF($E$4=G656,"卒年边界待核","年表可登场"))))))</x:f>
        <x:v>未出生</x:v>
      </x:c>
      <x:c r="I656" s="12"/>
      <x:c r="J656" s="2" t="str">
        <x:v>SAN14游戏设定</x:v>
      </x:c>
      <x:c r="K656" s="2" t="str"/>
      <x:c r="L656" s="2" t="str">
        <x:v>張悌</x:v>
      </x:c>
      <x:c r="M656" s="2" t="str">
        <x:v>san14-candidate-0648</x:v>
      </x:c>
      <x:c r="N656" s="2" t="str">
        <x:v>張悌</x:v>
      </x:c>
      <x:c r="O656" s="2" t="str">
        <x:v>チョウテイ</x:v>
      </x:c>
    </x:row>
    <x:row r="657" ht="23" customHeight="1">
      <x:c r="A657" s="13" t="n">
        <x:v>649</x:v>
      </x:c>
      <x:c r="B657" s="2" t="str">
        <x:v>赵统</x:v>
      </x:c>
      <x:c r="C657" s="2" t="str">
        <x:v>趙統</x:v>
      </x:c>
      <x:c r="D657" s="2" t="str"/>
      <x:c r="E657" s="13" t="n">
        <x:v>209</x:v>
      </x:c>
      <x:c r="F657" s="13" t="n">
        <x:v>223</x:v>
      </x:c>
      <x:c r="G657" s="13" t="n">
        <x:v>260</x:v>
      </x:c>
      <x:c r="H657" s="2" t="str">
        <x:f>IF(OR($E$4="",NOT(ISNUMBER($E$4)),$E$4&lt;1,$E$4&gt;400),"参考年待填",IF(OR(E657="",F657="",G657=""),"年代待核",IF($E$4&lt;E657,"未出生",IF($E$4&lt;F657,"未登场",IF($E$4&gt;G657,"已过卒年",IF($E$4=G657,"卒年边界待核","年表可登场"))))))</x:f>
        <x:v>年表可登场</x:v>
      </x:c>
      <x:c r="I657" s="12"/>
      <x:c r="J657" s="2" t="str">
        <x:v>SAN14游戏设定</x:v>
      </x:c>
      <x:c r="K657" s="2" t="str"/>
      <x:c r="L657" s="2" t="str">
        <x:v>趙統</x:v>
      </x:c>
      <x:c r="M657" s="2" t="str">
        <x:v>san14-candidate-0649</x:v>
      </x:c>
      <x:c r="N657" s="2" t="str">
        <x:v>趙統</x:v>
      </x:c>
      <x:c r="O657" s="2" t="str">
        <x:v>チョウトウ</x:v>
      </x:c>
    </x:row>
    <x:row r="658" ht="23" customHeight="1">
      <x:c r="A658" s="13" t="n">
        <x:v>650</x:v>
      </x:c>
      <x:c r="B658" s="2" t="str">
        <x:v>张特</x:v>
      </x:c>
      <x:c r="C658" s="2" t="str">
        <x:v>張特</x:v>
      </x:c>
      <x:c r="D658" s="2" t="str"/>
      <x:c r="E658" s="13" t="n">
        <x:v>209</x:v>
      </x:c>
      <x:c r="F658" s="13" t="n">
        <x:v>228</x:v>
      </x:c>
      <x:c r="G658" s="13" t="n">
        <x:v>265</x:v>
      </x:c>
      <x:c r="H658" s="2" t="str">
        <x:f>IF(OR($E$4="",NOT(ISNUMBER($E$4)),$E$4&lt;1,$E$4&gt;400),"参考年待填",IF(OR(E658="",F658="",G658=""),"年代待核",IF($E$4&lt;E658,"未出生",IF($E$4&lt;F658,"未登场",IF($E$4&gt;G658,"已过卒年",IF($E$4=G658,"卒年边界待核","年表可登场"))))))</x:f>
        <x:v>年表可登场</x:v>
      </x:c>
      <x:c r="I658" s="12"/>
      <x:c r="J658" s="2" t="str">
        <x:v>SAN14游戏设定</x:v>
      </x:c>
      <x:c r="K658" s="2" t="str"/>
      <x:c r="L658" s="2" t="str">
        <x:v>張特</x:v>
      </x:c>
      <x:c r="M658" s="2" t="str">
        <x:v>san14-candidate-0650</x:v>
      </x:c>
      <x:c r="N658" s="2" t="str">
        <x:v>張特</x:v>
      </x:c>
      <x:c r="O658" s="2" t="str">
        <x:v>チョウトク</x:v>
      </x:c>
    </x:row>
    <x:row r="659" ht="23" customHeight="1">
      <x:c r="A659" s="13" t="n">
        <x:v>651</x:v>
      </x:c>
      <x:c r="B659" s="2" t="str">
        <x:v>张南</x:v>
      </x:c>
      <x:c r="C659" s="2" t="str">
        <x:v>張南</x:v>
      </x:c>
      <x:c r="D659" s="2" t="str">
        <x:v>袁绍、曹操系，第三方设定168—208</x:v>
      </x:c>
      <x:c r="E659" s="13" t="n">
        <x:v>168</x:v>
      </x:c>
      <x:c r="F659" s="13" t="n">
        <x:v>187</x:v>
      </x:c>
      <x:c r="G659" s="13" t="n">
        <x:v>208</x:v>
      </x:c>
      <x:c r="H659" s="2" t="str">
        <x:f>IF(OR($E$4="",NOT(ISNUMBER($E$4)),$E$4&lt;1,$E$4&gt;400),"参考年待填",IF(OR(E659="",F659="",G659=""),"年代待核",IF($E$4&lt;E659,"未出生",IF($E$4&lt;F659,"未登场",IF($E$4&gt;G659,"已过卒年",IF($E$4=G659,"卒年边界待核","年表可登场"))))))</x:f>
        <x:v>已过卒年</x:v>
      </x:c>
      <x:c r="I659" s="12"/>
      <x:c r="J659" s="2" t="str">
        <x:v>SAN14游戏设定</x:v>
      </x:c>
      <x:c r="K659" s="2" t="str">
        <x:v>同名异人，保留</x:v>
      </x:c>
      <x:c r="L659" s="2" t="str">
        <x:v>張南</x:v>
      </x:c>
      <x:c r="M659" s="2" t="str">
        <x:v>san14-candidate-0651</x:v>
      </x:c>
      <x:c r="N659" s="2" t="str">
        <x:v>張南</x:v>
      </x:c>
      <x:c r="O659" s="2" t="str">
        <x:v>チョウナン</x:v>
      </x:c>
    </x:row>
    <x:row r="660" ht="23" customHeight="1">
      <x:c r="A660" s="13" t="n">
        <x:v>652</x:v>
      </x:c>
      <x:c r="B660" s="2" t="str">
        <x:v>张南</x:v>
      </x:c>
      <x:c r="C660" s="2" t="str">
        <x:v>張南</x:v>
      </x:c>
      <x:c r="D660" s="2" t="str">
        <x:v>蜀汉刘备系，第三方设定187—222</x:v>
      </x:c>
      <x:c r="E660" s="13" t="n">
        <x:v>187</x:v>
      </x:c>
      <x:c r="F660" s="13" t="n">
        <x:v>209</x:v>
      </x:c>
      <x:c r="G660" s="13" t="n">
        <x:v>222</x:v>
      </x:c>
      <x:c r="H660" s="2" t="str">
        <x:f>IF(OR($E$4="",NOT(ISNUMBER($E$4)),$E$4&lt;1,$E$4&gt;400),"参考年待填",IF(OR(E660="",F660="",G660=""),"年代待核",IF($E$4&lt;E660,"未出生",IF($E$4&lt;F660,"未登场",IF($E$4&gt;G660,"已过卒年",IF($E$4=G660,"卒年边界待核","年表可登场"))))))</x:f>
        <x:v>已过卒年</x:v>
      </x:c>
      <x:c r="I660" s="12"/>
      <x:c r="J660" s="2" t="str">
        <x:v>SAN14游戏设定</x:v>
      </x:c>
      <x:c r="K660" s="2" t="str">
        <x:v>同名异人，保留</x:v>
      </x:c>
      <x:c r="L660" s="2" t="str">
        <x:v>張南</x:v>
      </x:c>
      <x:c r="M660" s="2" t="str">
        <x:v>san14-candidate-0652</x:v>
      </x:c>
      <x:c r="N660" s="2" t="str">
        <x:v>張南</x:v>
      </x:c>
      <x:c r="O660" s="2" t="str">
        <x:v>チョウナン</x:v>
      </x:c>
    </x:row>
    <x:row r="661" ht="23" customHeight="1">
      <x:c r="A661" s="13" t="n">
        <x:v>653</x:v>
      </x:c>
      <x:c r="B661" s="2" t="str">
        <x:v>张邈</x:v>
      </x:c>
      <x:c r="C661" s="2" t="str">
        <x:v>張邈</x:v>
      </x:c>
      <x:c r="D661" s="2" t="str"/>
      <x:c r="E661" s="13" t="n">
        <x:v>155</x:v>
      </x:c>
      <x:c r="F661" s="13" t="n">
        <x:v>184</x:v>
      </x:c>
      <x:c r="G661" s="13" t="n">
        <x:v>195</x:v>
      </x:c>
      <x:c r="H661" s="2" t="str">
        <x:f>IF(OR($E$4="",NOT(ISNUMBER($E$4)),$E$4&lt;1,$E$4&gt;400),"参考年待填",IF(OR(E661="",F661="",G661=""),"年代待核",IF($E$4&lt;E661,"未出生",IF($E$4&lt;F661,"未登场",IF($E$4&gt;G661,"已过卒年",IF($E$4=G661,"卒年边界待核","年表可登场"))))))</x:f>
        <x:v>已过卒年</x:v>
      </x:c>
      <x:c r="I661" s="12"/>
      <x:c r="J661" s="2" t="str">
        <x:v>SAN14游戏设定</x:v>
      </x:c>
      <x:c r="K661" s="2" t="str"/>
      <x:c r="L661" s="2" t="str">
        <x:v>張邈</x:v>
      </x:c>
      <x:c r="M661" s="2" t="str">
        <x:v>san14-candidate-0653</x:v>
      </x:c>
      <x:c r="N661" s="2" t="str">
        <x:v>張バク</x:v>
      </x:c>
      <x:c r="O661" s="2" t="str">
        <x:v>チョウバク</x:v>
      </x:c>
    </x:row>
    <x:row r="662" ht="23" customHeight="1">
      <x:c r="A662" s="13" t="n">
        <x:v>654</x:v>
      </x:c>
      <x:c r="B662" s="2" t="str">
        <x:v>赵范</x:v>
      </x:c>
      <x:c r="C662" s="2" t="str">
        <x:v>趙範</x:v>
      </x:c>
      <x:c r="D662" s="2" t="str"/>
      <x:c r="E662" s="13" t="n">
        <x:v>168</x:v>
      </x:c>
      <x:c r="F662" s="13" t="n">
        <x:v>187</x:v>
      </x:c>
      <x:c r="G662" s="13" t="n">
        <x:v>218</x:v>
      </x:c>
      <x:c r="H662" s="2" t="str">
        <x:f>IF(OR($E$4="",NOT(ISNUMBER($E$4)),$E$4&lt;1,$E$4&gt;400),"参考年待填",IF(OR(E662="",F662="",G662=""),"年代待核",IF($E$4&lt;E662,"未出生",IF($E$4&lt;F662,"未登场",IF($E$4&gt;G662,"已过卒年",IF($E$4=G662,"卒年边界待核","年表可登场"))))))</x:f>
        <x:v>已过卒年</x:v>
      </x:c>
      <x:c r="I662" s="12"/>
      <x:c r="J662" s="2" t="str">
        <x:v>SAN14游戏设定</x:v>
      </x:c>
      <x:c r="K662" s="2" t="str"/>
      <x:c r="L662" s="2" t="str">
        <x:v>趙範</x:v>
      </x:c>
      <x:c r="M662" s="2" t="str">
        <x:v>san14-candidate-0654</x:v>
      </x:c>
      <x:c r="N662" s="2" t="str">
        <x:v>趙範</x:v>
      </x:c>
      <x:c r="O662" s="2" t="str">
        <x:v>チョウハン</x:v>
      </x:c>
    </x:row>
    <x:row r="663" ht="23" customHeight="1">
      <x:c r="A663" s="13" t="n">
        <x:v>655</x:v>
      </x:c>
      <x:c r="B663" s="2" t="str">
        <x:v>张范</x:v>
      </x:c>
      <x:c r="C663" s="2" t="str">
        <x:v>張範</x:v>
      </x:c>
      <x:c r="D663" s="2" t="str"/>
      <x:c r="E663" s="13" t="n">
        <x:v>153</x:v>
      </x:c>
      <x:c r="F663" s="13" t="n">
        <x:v>184</x:v>
      </x:c>
      <x:c r="G663" s="13" t="n">
        <x:v>212</x:v>
      </x:c>
      <x:c r="H663" s="2" t="str">
        <x:f>IF(OR($E$4="",NOT(ISNUMBER($E$4)),$E$4&lt;1,$E$4&gt;400),"参考年待填",IF(OR(E663="",F663="",G663=""),"年代待核",IF($E$4&lt;E663,"未出生",IF($E$4&lt;F663,"未登场",IF($E$4&gt;G663,"已过卒年",IF($E$4=G663,"卒年边界待核","年表可登场"))))))</x:f>
        <x:v>已过卒年</x:v>
      </x:c>
      <x:c r="I663" s="12"/>
      <x:c r="J663" s="2" t="str">
        <x:v>SAN14游戏设定</x:v>
      </x:c>
      <x:c r="K663" s="2" t="str"/>
      <x:c r="L663" s="2" t="str">
        <x:v>張範</x:v>
      </x:c>
      <x:c r="M663" s="2" t="str">
        <x:v>san14-candidate-0655</x:v>
      </x:c>
      <x:c r="N663" s="2" t="str">
        <x:v>張範</x:v>
      </x:c>
      <x:c r="O663" s="2" t="str">
        <x:v>チョウハン</x:v>
      </x:c>
    </x:row>
    <x:row r="664" ht="23" customHeight="1">
      <x:c r="A664" s="13" t="n">
        <x:v>656</x:v>
      </x:c>
      <x:c r="B664" s="2" t="str">
        <x:v>张飞</x:v>
      </x:c>
      <x:c r="C664" s="2" t="str">
        <x:v>張飛</x:v>
      </x:c>
      <x:c r="D664" s="2" t="str"/>
      <x:c r="E664" s="13" t="n">
        <x:v>167</x:v>
      </x:c>
      <x:c r="F664" s="13" t="n">
        <x:v>184</x:v>
      </x:c>
      <x:c r="G664" s="13" t="n">
        <x:v>221</x:v>
      </x:c>
      <x:c r="H664" s="2" t="str">
        <x:f>IF(OR($E$4="",NOT(ISNUMBER($E$4)),$E$4&lt;1,$E$4&gt;400),"参考年待填",IF(OR(E664="",F664="",G664=""),"年代待核",IF($E$4&lt;E664,"未出生",IF($E$4&lt;F664,"未登场",IF($E$4&gt;G664,"已过卒年",IF($E$4=G664,"卒年边界待核","年表可登场"))))))</x:f>
        <x:v>已过卒年</x:v>
      </x:c>
      <x:c r="I664" s="12"/>
      <x:c r="J664" s="2" t="str">
        <x:v>SAN14游戏设定</x:v>
      </x:c>
      <x:c r="K664" s="2" t="str"/>
      <x:c r="L664" s="2" t="str">
        <x:v>張飛</x:v>
      </x:c>
      <x:c r="M664" s="2" t="str">
        <x:v>san14-candidate-0656</x:v>
      </x:c>
      <x:c r="N664" s="2" t="str">
        <x:v>張飛</x:v>
      </x:c>
      <x:c r="O664" s="2" t="str">
        <x:v>チョウヒ</x:v>
      </x:c>
    </x:row>
    <x:row r="665" ht="23" customHeight="1">
      <x:c r="A665" s="13" t="n">
        <x:v>657</x:v>
      </x:c>
      <x:c r="B665" s="2" t="str">
        <x:v>张布</x:v>
      </x:c>
      <x:c r="C665" s="2" t="str">
        <x:v>張布</x:v>
      </x:c>
      <x:c r="D665" s="2" t="str"/>
      <x:c r="E665" s="13" t="n">
        <x:v>225</x:v>
      </x:c>
      <x:c r="F665" s="13" t="n">
        <x:v>244</x:v>
      </x:c>
      <x:c r="G665" s="13" t="n">
        <x:v>264</x:v>
      </x:c>
      <x:c r="H665" s="2" t="str">
        <x:f>IF(OR($E$4="",NOT(ISNUMBER($E$4)),$E$4&lt;1,$E$4&gt;400),"参考年待填",IF(OR(E665="",F665="",G665=""),"年代待核",IF($E$4&lt;E665,"未出生",IF($E$4&lt;F665,"未登场",IF($E$4&gt;G665,"已过卒年",IF($E$4=G665,"卒年边界待核","年表可登场"))))))</x:f>
        <x:v>未登场</x:v>
      </x:c>
      <x:c r="I665" s="12"/>
      <x:c r="J665" s="2" t="str">
        <x:v>SAN14游戏设定</x:v>
      </x:c>
      <x:c r="K665" s="2" t="str"/>
      <x:c r="L665" s="2" t="str">
        <x:v>張布</x:v>
      </x:c>
      <x:c r="M665" s="2" t="str">
        <x:v>san14-candidate-0657</x:v>
      </x:c>
      <x:c r="N665" s="2" t="str">
        <x:v>張布</x:v>
      </x:c>
      <x:c r="O665" s="2" t="str">
        <x:v>チョウフ</x:v>
      </x:c>
    </x:row>
    <x:row r="666" ht="23" customHeight="1">
      <x:c r="A666" s="13" t="n">
        <x:v>658</x:v>
      </x:c>
      <x:c r="B666" s="2" t="str">
        <x:v>张苞</x:v>
      </x:c>
      <x:c r="C666" s="2" t="str">
        <x:v>張苞</x:v>
      </x:c>
      <x:c r="D666" s="2" t="str"/>
      <x:c r="E666" s="13" t="n">
        <x:v>198</x:v>
      </x:c>
      <x:c r="F666" s="13" t="n">
        <x:v>212</x:v>
      </x:c>
      <x:c r="G666" s="13" t="n">
        <x:v>229</x:v>
      </x:c>
      <x:c r="H666" s="2" t="str">
        <x:f>IF(OR($E$4="",NOT(ISNUMBER($E$4)),$E$4&lt;1,$E$4&gt;400),"参考年待填",IF(OR(E666="",F666="",G666=""),"年代待核",IF($E$4&lt;E666,"未出生",IF($E$4&lt;F666,"未登场",IF($E$4&gt;G666,"已过卒年",IF($E$4=G666,"卒年边界待核","年表可登场"))))))</x:f>
        <x:v>已过卒年</x:v>
      </x:c>
      <x:c r="I666" s="12"/>
      <x:c r="J666" s="2" t="str">
        <x:v>SAN14游戏设定</x:v>
      </x:c>
      <x:c r="K666" s="2" t="str"/>
      <x:c r="L666" s="2" t="str">
        <x:v>張苞</x:v>
      </x:c>
      <x:c r="M666" s="2" t="str">
        <x:v>san14-candidate-0658</x:v>
      </x:c>
      <x:c r="N666" s="2" t="str">
        <x:v>張苞</x:v>
      </x:c>
      <x:c r="O666" s="2" t="str">
        <x:v>チョウホウ</x:v>
      </x:c>
    </x:row>
    <x:row r="667" ht="23" customHeight="1">
      <x:c r="A667" s="13" t="n">
        <x:v>659</x:v>
      </x:c>
      <x:c r="B667" s="2" t="str">
        <x:v>张宝</x:v>
      </x:c>
      <x:c r="C667" s="2" t="str">
        <x:v>張寶</x:v>
      </x:c>
      <x:c r="D667" s="2" t="str"/>
      <x:c r="E667" s="13" t="n">
        <x:v>148</x:v>
      </x:c>
      <x:c r="F667" s="13" t="n">
        <x:v>184</x:v>
      </x:c>
      <x:c r="G667" s="13" t="n">
        <x:v>184</x:v>
      </x:c>
      <x:c r="H667" s="2" t="str">
        <x:f>IF(OR($E$4="",NOT(ISNUMBER($E$4)),$E$4&lt;1,$E$4&gt;400),"参考年待填",IF(OR(E667="",F667="",G667=""),"年代待核",IF($E$4&lt;E667,"未出生",IF($E$4&lt;F667,"未登场",IF($E$4&gt;G667,"已过卒年",IF($E$4=G667,"卒年边界待核","年表可登场"))))))</x:f>
        <x:v>已过卒年</x:v>
      </x:c>
      <x:c r="I667" s="12"/>
      <x:c r="J667" s="2" t="str">
        <x:v>SAN14游戏设定</x:v>
      </x:c>
      <x:c r="K667" s="2" t="str"/>
      <x:c r="L667" s="2" t="str">
        <x:v>張寶</x:v>
      </x:c>
      <x:c r="M667" s="2" t="str">
        <x:v>san14-candidate-0659</x:v>
      </x:c>
      <x:c r="N667" s="2" t="str">
        <x:v>張宝</x:v>
      </x:c>
      <x:c r="O667" s="2" t="str">
        <x:v>チョウホウ</x:v>
      </x:c>
    </x:row>
    <x:row r="668" ht="23" customHeight="1">
      <x:c r="A668" s="13" t="n">
        <x:v>660</x:v>
      </x:c>
      <x:c r="B668" s="2" t="str">
        <x:v>张曼成</x:v>
      </x:c>
      <x:c r="C668" s="2" t="str">
        <x:v>張曼成</x:v>
      </x:c>
      <x:c r="D668" s="2" t="str"/>
      <x:c r="E668" s="13" t="n">
        <x:v>143</x:v>
      </x:c>
      <x:c r="F668" s="13" t="n">
        <x:v>184</x:v>
      </x:c>
      <x:c r="G668" s="13" t="n">
        <x:v>184</x:v>
      </x:c>
      <x:c r="H668" s="2" t="str">
        <x:f>IF(OR($E$4="",NOT(ISNUMBER($E$4)),$E$4&lt;1,$E$4&gt;400),"参考年待填",IF(OR(E668="",F668="",G668=""),"年代待核",IF($E$4&lt;E668,"未出生",IF($E$4&lt;F668,"未登场",IF($E$4&gt;G668,"已过卒年",IF($E$4=G668,"卒年边界待核","年表可登场"))))))</x:f>
        <x:v>已过卒年</x:v>
      </x:c>
      <x:c r="I668" s="12"/>
      <x:c r="J668" s="2" t="str">
        <x:v>SAN14游戏设定</x:v>
      </x:c>
      <x:c r="K668" s="2" t="str"/>
      <x:c r="L668" s="2" t="str">
        <x:v>張曼成</x:v>
      </x:c>
      <x:c r="M668" s="2" t="str">
        <x:v>san14-candidate-0660</x:v>
      </x:c>
      <x:c r="N668" s="2" t="str">
        <x:v>張曼成</x:v>
      </x:c>
      <x:c r="O668" s="2" t="str">
        <x:v>チョウマンセイ</x:v>
      </x:c>
    </x:row>
    <x:row r="669" ht="23" customHeight="1">
      <x:c r="A669" s="13" t="n">
        <x:v>661</x:v>
      </x:c>
      <x:c r="B669" s="2" t="str">
        <x:v>张杨</x:v>
      </x:c>
      <x:c r="C669" s="2" t="str">
        <x:v>張楊</x:v>
      </x:c>
      <x:c r="D669" s="2" t="str"/>
      <x:c r="E669" s="13" t="n">
        <x:v>151</x:v>
      </x:c>
      <x:c r="F669" s="13" t="n">
        <x:v>184</x:v>
      </x:c>
      <x:c r="G669" s="13" t="n">
        <x:v>195</x:v>
      </x:c>
      <x:c r="H669" s="2" t="str">
        <x:f>IF(OR($E$4="",NOT(ISNUMBER($E$4)),$E$4&lt;1,$E$4&gt;400),"参考年待填",IF(OR(E669="",F669="",G669=""),"年代待核",IF($E$4&lt;E669,"未出生",IF($E$4&lt;F669,"未登场",IF($E$4&gt;G669,"已过卒年",IF($E$4=G669,"卒年边界待核","年表可登场"))))))</x:f>
        <x:v>已过卒年</x:v>
      </x:c>
      <x:c r="I669" s="12"/>
      <x:c r="J669" s="2" t="str">
        <x:v>SAN14游戏设定</x:v>
      </x:c>
      <x:c r="K669" s="2" t="str"/>
      <x:c r="L669" s="2" t="str">
        <x:v>張楊</x:v>
      </x:c>
      <x:c r="M669" s="2" t="str">
        <x:v>san14-candidate-0661</x:v>
      </x:c>
      <x:c r="N669" s="2" t="str">
        <x:v>張楊</x:v>
      </x:c>
      <x:c r="O669" s="2" t="str">
        <x:v>チョウヨウ</x:v>
      </x:c>
    </x:row>
    <x:row r="670" ht="23" customHeight="1">
      <x:c r="A670" s="13" t="n">
        <x:v>662</x:v>
      </x:c>
      <x:c r="B670" s="2" t="str">
        <x:v>张翼</x:v>
      </x:c>
      <x:c r="C670" s="2" t="str">
        <x:v>張翼</x:v>
      </x:c>
      <x:c r="D670" s="2" t="str"/>
      <x:c r="E670" s="13" t="n">
        <x:v>188</x:v>
      </x:c>
      <x:c r="F670" s="13" t="n">
        <x:v>207</x:v>
      </x:c>
      <x:c r="G670" s="13" t="n">
        <x:v>264</x:v>
      </x:c>
      <x:c r="H670" s="2" t="str">
        <x:f>IF(OR($E$4="",NOT(ISNUMBER($E$4)),$E$4&lt;1,$E$4&gt;400),"参考年待填",IF(OR(E670="",F670="",G670=""),"年代待核",IF($E$4&lt;E670,"未出生",IF($E$4&lt;F670,"未登场",IF($E$4&gt;G670,"已过卒年",IF($E$4=G670,"卒年边界待核","年表可登场"))))))</x:f>
        <x:v>年表可登场</x:v>
      </x:c>
      <x:c r="I670" s="12"/>
      <x:c r="J670" s="2" t="str">
        <x:v>SAN14游戏设定</x:v>
      </x:c>
      <x:c r="K670" s="2" t="str"/>
      <x:c r="L670" s="2" t="str">
        <x:v>張翼</x:v>
      </x:c>
      <x:c r="M670" s="2" t="str">
        <x:v>san14-candidate-0662</x:v>
      </x:c>
      <x:c r="N670" s="2" t="str">
        <x:v>張翼</x:v>
      </x:c>
      <x:c r="O670" s="2" t="str">
        <x:v>チョウヨク</x:v>
      </x:c>
    </x:row>
    <x:row r="671" ht="23" customHeight="1">
      <x:c r="A671" s="13" t="n">
        <x:v>663</x:v>
      </x:c>
      <x:c r="B671" s="2" t="str">
        <x:v>张辽</x:v>
      </x:c>
      <x:c r="C671" s="2" t="str">
        <x:v>張遼</x:v>
      </x:c>
      <x:c r="D671" s="2" t="str"/>
      <x:c r="E671" s="13" t="n">
        <x:v>169</x:v>
      </x:c>
      <x:c r="F671" s="13" t="n">
        <x:v>188</x:v>
      </x:c>
      <x:c r="G671" s="13" t="n">
        <x:v>222</x:v>
      </x:c>
      <x:c r="H671" s="2" t="str">
        <x:f>IF(OR($E$4="",NOT(ISNUMBER($E$4)),$E$4&lt;1,$E$4&gt;400),"参考年待填",IF(OR(E671="",F671="",G671=""),"年代待核",IF($E$4&lt;E671,"未出生",IF($E$4&lt;F671,"未登场",IF($E$4&gt;G671,"已过卒年",IF($E$4=G671,"卒年边界待核","年表可登场"))))))</x:f>
        <x:v>已过卒年</x:v>
      </x:c>
      <x:c r="I671" s="12"/>
      <x:c r="J671" s="2" t="str">
        <x:v>SAN14游戏设定</x:v>
      </x:c>
      <x:c r="K671" s="2" t="str"/>
      <x:c r="L671" s="2" t="str">
        <x:v>張遼</x:v>
      </x:c>
      <x:c r="M671" s="2" t="str">
        <x:v>san14-candidate-0663</x:v>
      </x:c>
      <x:c r="N671" s="2" t="str">
        <x:v>張遼</x:v>
      </x:c>
      <x:c r="O671" s="2" t="str">
        <x:v>チョウリョウ</x:v>
      </x:c>
    </x:row>
    <x:row r="672" ht="23" customHeight="1">
      <x:c r="A672" s="13" t="n">
        <x:v>664</x:v>
      </x:c>
      <x:c r="B672" s="2" t="str">
        <x:v>张梁</x:v>
      </x:c>
      <x:c r="C672" s="2" t="str">
        <x:v>張梁</x:v>
      </x:c>
      <x:c r="D672" s="2" t="str"/>
      <x:c r="E672" s="13" t="n">
        <x:v>153</x:v>
      </x:c>
      <x:c r="F672" s="13" t="n">
        <x:v>184</x:v>
      </x:c>
      <x:c r="G672" s="13" t="n">
        <x:v>184</x:v>
      </x:c>
      <x:c r="H672" s="2" t="str">
        <x:f>IF(OR($E$4="",NOT(ISNUMBER($E$4)),$E$4&lt;1,$E$4&gt;400),"参考年待填",IF(OR(E672="",F672="",G672=""),"年代待核",IF($E$4&lt;E672,"未出生",IF($E$4&lt;F672,"未登场",IF($E$4&gt;G672,"已过卒年",IF($E$4=G672,"卒年边界待核","年表可登场"))))))</x:f>
        <x:v>已过卒年</x:v>
      </x:c>
      <x:c r="I672" s="12"/>
      <x:c r="J672" s="2" t="str">
        <x:v>SAN14游戏设定</x:v>
      </x:c>
      <x:c r="K672" s="2" t="str"/>
      <x:c r="L672" s="2" t="str">
        <x:v>張梁</x:v>
      </x:c>
      <x:c r="M672" s="2" t="str">
        <x:v>san14-candidate-0664</x:v>
      </x:c>
      <x:c r="N672" s="2" t="str">
        <x:v>張梁</x:v>
      </x:c>
      <x:c r="O672" s="2" t="str">
        <x:v>チョウリョウ</x:v>
      </x:c>
    </x:row>
    <x:row r="673" ht="23" customHeight="1">
      <x:c r="A673" s="13" t="n">
        <x:v>665</x:v>
      </x:c>
      <x:c r="B673" s="2" t="str">
        <x:v>赵累</x:v>
      </x:c>
      <x:c r="C673" s="2" t="str">
        <x:v>趙累</x:v>
      </x:c>
      <x:c r="D673" s="2" t="str"/>
      <x:c r="E673" s="13" t="n">
        <x:v>183</x:v>
      </x:c>
      <x:c r="F673" s="13" t="n">
        <x:v>202</x:v>
      </x:c>
      <x:c r="G673" s="13" t="n">
        <x:v>219</x:v>
      </x:c>
      <x:c r="H673" s="2" t="str">
        <x:f>IF(OR($E$4="",NOT(ISNUMBER($E$4)),$E$4&lt;1,$E$4&gt;400),"参考年待填",IF(OR(E673="",F673="",G673=""),"年代待核",IF($E$4&lt;E673,"未出生",IF($E$4&lt;F673,"未登场",IF($E$4&gt;G673,"已过卒年",IF($E$4=G673,"卒年边界待核","年表可登场"))))))</x:f>
        <x:v>已过卒年</x:v>
      </x:c>
      <x:c r="I673" s="12"/>
      <x:c r="J673" s="2" t="str">
        <x:v>SAN14游戏设定</x:v>
      </x:c>
      <x:c r="K673" s="2" t="str"/>
      <x:c r="L673" s="2" t="str">
        <x:v>趙累</x:v>
      </x:c>
      <x:c r="M673" s="2" t="str">
        <x:v>san14-candidate-0665</x:v>
      </x:c>
      <x:c r="N673" s="2" t="str">
        <x:v>趙累</x:v>
      </x:c>
      <x:c r="O673" s="2" t="str">
        <x:v>チョウルイ</x:v>
      </x:c>
    </x:row>
    <x:row r="674" ht="23" customHeight="1">
      <x:c r="A674" s="13" t="n">
        <x:v>666</x:v>
      </x:c>
      <x:c r="B674" s="2" t="str">
        <x:v>张鲁</x:v>
      </x:c>
      <x:c r="C674" s="2" t="str">
        <x:v>張魯</x:v>
      </x:c>
      <x:c r="D674" s="2" t="str"/>
      <x:c r="E674" s="13" t="n">
        <x:v>163</x:v>
      </x:c>
      <x:c r="F674" s="13" t="n">
        <x:v>184</x:v>
      </x:c>
      <x:c r="G674" s="13" t="n">
        <x:v>216</x:v>
      </x:c>
      <x:c r="H674" s="2" t="str">
        <x:f>IF(OR($E$4="",NOT(ISNUMBER($E$4)),$E$4&lt;1,$E$4&gt;400),"参考年待填",IF(OR(E674="",F674="",G674=""),"年代待核",IF($E$4&lt;E674,"未出生",IF($E$4&lt;F674,"未登场",IF($E$4&gt;G674,"已过卒年",IF($E$4=G674,"卒年边界待核","年表可登场"))))))</x:f>
        <x:v>已过卒年</x:v>
      </x:c>
      <x:c r="I674" s="12"/>
      <x:c r="J674" s="2" t="str">
        <x:v>SAN14游戏设定</x:v>
      </x:c>
      <x:c r="K674" s="2" t="str"/>
      <x:c r="L674" s="2" t="str">
        <x:v>張魯</x:v>
      </x:c>
      <x:c r="M674" s="2" t="str">
        <x:v>san14-candidate-0666</x:v>
      </x:c>
      <x:c r="N674" s="2" t="str">
        <x:v>張魯</x:v>
      </x:c>
      <x:c r="O674" s="2" t="str">
        <x:v>チョウロ</x:v>
      </x:c>
    </x:row>
    <x:row r="675" ht="23" customHeight="1">
      <x:c r="A675" s="13" t="n">
        <x:v>667</x:v>
      </x:c>
      <x:c r="B675" s="2" t="str">
        <x:v>陈横</x:v>
      </x:c>
      <x:c r="C675" s="2" t="str">
        <x:v>陳橫</x:v>
      </x:c>
      <x:c r="D675" s="2" t="str"/>
      <x:c r="E675" s="13" t="n">
        <x:v>161</x:v>
      </x:c>
      <x:c r="F675" s="13" t="n">
        <x:v>184</x:v>
      </x:c>
      <x:c r="G675" s="13" t="n">
        <x:v>195</x:v>
      </x:c>
      <x:c r="H675" s="2" t="str">
        <x:f>IF(OR($E$4="",NOT(ISNUMBER($E$4)),$E$4&lt;1,$E$4&gt;400),"参考年待填",IF(OR(E675="",F675="",G675=""),"年代待核",IF($E$4&lt;E675,"未出生",IF($E$4&lt;F675,"未登场",IF($E$4&gt;G675,"已过卒年",IF($E$4=G675,"卒年边界待核","年表可登场"))))))</x:f>
        <x:v>已过卒年</x:v>
      </x:c>
      <x:c r="I675" s="12"/>
      <x:c r="J675" s="2" t="str">
        <x:v>SAN14游戏设定</x:v>
      </x:c>
      <x:c r="K675" s="2" t="str"/>
      <x:c r="L675" s="2" t="str">
        <x:v>陳橫</x:v>
      </x:c>
      <x:c r="M675" s="2" t="str">
        <x:v>san14-candidate-0667</x:v>
      </x:c>
      <x:c r="N675" s="2" t="str">
        <x:v>陳横</x:v>
      </x:c>
      <x:c r="O675" s="2" t="str">
        <x:v>チンオウ</x:v>
      </x:c>
    </x:row>
    <x:row r="676" ht="23" customHeight="1">
      <x:c r="A676" s="13" t="n">
        <x:v>668</x:v>
      </x:c>
      <x:c r="B676" s="2" t="str">
        <x:v>陈应</x:v>
      </x:c>
      <x:c r="C676" s="2" t="str">
        <x:v>陳應</x:v>
      </x:c>
      <x:c r="D676" s="2" t="str"/>
      <x:c r="E676" s="13" t="n">
        <x:v>172</x:v>
      </x:c>
      <x:c r="F676" s="13" t="n">
        <x:v>203</x:v>
      </x:c>
      <x:c r="G676" s="13" t="n">
        <x:v>208</x:v>
      </x:c>
      <x:c r="H676" s="2" t="str">
        <x:f>IF(OR($E$4="",NOT(ISNUMBER($E$4)),$E$4&lt;1,$E$4&gt;400),"参考年待填",IF(OR(E676="",F676="",G676=""),"年代待核",IF($E$4&lt;E676,"未出生",IF($E$4&lt;F676,"未登场",IF($E$4&gt;G676,"已过卒年",IF($E$4=G676,"卒年边界待核","年表可登场"))))))</x:f>
        <x:v>已过卒年</x:v>
      </x:c>
      <x:c r="I676" s="12"/>
      <x:c r="J676" s="2" t="str">
        <x:v>SAN14游戏设定</x:v>
      </x:c>
      <x:c r="K676" s="2" t="str"/>
      <x:c r="L676" s="2" t="str">
        <x:v>陳應</x:v>
      </x:c>
      <x:c r="M676" s="2" t="str">
        <x:v>san14-candidate-0668</x:v>
      </x:c>
      <x:c r="N676" s="2" t="str">
        <x:v>陳応</x:v>
      </x:c>
      <x:c r="O676" s="2" t="str">
        <x:v>チンオウ</x:v>
      </x:c>
    </x:row>
    <x:row r="677" ht="23" customHeight="1">
      <x:c r="A677" s="13" t="n">
        <x:v>669</x:v>
      </x:c>
      <x:c r="B677" s="2" t="str">
        <x:v>陈化</x:v>
      </x:c>
      <x:c r="C677" s="2" t="str">
        <x:v>陳化</x:v>
      </x:c>
      <x:c r="D677" s="2" t="str"/>
      <x:c r="E677" s="13" t="n">
        <x:v>180</x:v>
      </x:c>
      <x:c r="F677" s="13" t="n">
        <x:v>203</x:v>
      </x:c>
      <x:c r="G677" s="13" t="n">
        <x:v>252</x:v>
      </x:c>
      <x:c r="H677" s="2" t="str">
        <x:f>IF(OR($E$4="",NOT(ISNUMBER($E$4)),$E$4&lt;1,$E$4&gt;400),"参考年待填",IF(OR(E677="",F677="",G677=""),"年代待核",IF($E$4&lt;E677,"未出生",IF($E$4&lt;F677,"未登场",IF($E$4&gt;G677,"已过卒年",IF($E$4=G677,"卒年边界待核","年表可登场"))))))</x:f>
        <x:v>年表可登场</x:v>
      </x:c>
      <x:c r="I677" s="12"/>
      <x:c r="J677" s="2" t="str">
        <x:v>SAN14游戏设定</x:v>
      </x:c>
      <x:c r="K677" s="2" t="str"/>
      <x:c r="L677" s="2" t="str">
        <x:v>陳化</x:v>
      </x:c>
      <x:c r="M677" s="2" t="str">
        <x:v>san14-candidate-0669</x:v>
      </x:c>
      <x:c r="N677" s="2" t="str">
        <x:v>陳化</x:v>
      </x:c>
      <x:c r="O677" s="2" t="str">
        <x:v>チンカ</x:v>
      </x:c>
    </x:row>
    <x:row r="678" ht="23" customHeight="1">
      <x:c r="A678" s="13" t="n">
        <x:v>670</x:v>
      </x:c>
      <x:c r="B678" s="2" t="str">
        <x:v>陈纪</x:v>
      </x:c>
      <x:c r="C678" s="2" t="str">
        <x:v>陳紀</x:v>
      </x:c>
      <x:c r="D678" s="2" t="str"/>
      <x:c r="E678" s="13" t="n">
        <x:v>165</x:v>
      </x:c>
      <x:c r="F678" s="13" t="n">
        <x:v>184</x:v>
      </x:c>
      <x:c r="G678" s="13" t="n">
        <x:v>198</x:v>
      </x:c>
      <x:c r="H678" s="2" t="str">
        <x:f>IF(OR($E$4="",NOT(ISNUMBER($E$4)),$E$4&lt;1,$E$4&gt;400),"参考年待填",IF(OR(E678="",F678="",G678=""),"年代待核",IF($E$4&lt;E678,"未出生",IF($E$4&lt;F678,"未登场",IF($E$4&gt;G678,"已过卒年",IF($E$4=G678,"卒年边界待核","年表可登场"))))))</x:f>
        <x:v>已过卒年</x:v>
      </x:c>
      <x:c r="I678" s="12"/>
      <x:c r="J678" s="2" t="str">
        <x:v>SAN14游戏设定</x:v>
      </x:c>
      <x:c r="K678" s="2" t="str"/>
      <x:c r="L678" s="2" t="str">
        <x:v>陳紀</x:v>
      </x:c>
      <x:c r="M678" s="2" t="str">
        <x:v>san14-candidate-0670</x:v>
      </x:c>
      <x:c r="N678" s="2" t="str">
        <x:v>陳紀</x:v>
      </x:c>
      <x:c r="O678" s="2" t="str">
        <x:v>チンキ</x:v>
      </x:c>
    </x:row>
    <x:row r="679" ht="23" customHeight="1">
      <x:c r="A679" s="13" t="n">
        <x:v>671</x:v>
      </x:c>
      <x:c r="B679" s="2" t="str">
        <x:v>陈宫</x:v>
      </x:c>
      <x:c r="C679" s="2" t="str">
        <x:v>陳宮</x:v>
      </x:c>
      <x:c r="D679" s="2" t="str"/>
      <x:c r="E679" s="13" t="n">
        <x:v>154</x:v>
      </x:c>
      <x:c r="F679" s="13" t="n">
        <x:v>184</x:v>
      </x:c>
      <x:c r="G679" s="13" t="n">
        <x:v>198</x:v>
      </x:c>
      <x:c r="H679" s="2" t="str">
        <x:f>IF(OR($E$4="",NOT(ISNUMBER($E$4)),$E$4&lt;1,$E$4&gt;400),"参考年待填",IF(OR(E679="",F679="",G679=""),"年代待核",IF($E$4&lt;E679,"未出生",IF($E$4&lt;F679,"未登场",IF($E$4&gt;G679,"已过卒年",IF($E$4=G679,"卒年边界待核","年表可登场"))))))</x:f>
        <x:v>已过卒年</x:v>
      </x:c>
      <x:c r="I679" s="12"/>
      <x:c r="J679" s="2" t="str">
        <x:v>SAN14游戏设定</x:v>
      </x:c>
      <x:c r="K679" s="2" t="str"/>
      <x:c r="L679" s="2" t="str">
        <x:v>陳宮</x:v>
      </x:c>
      <x:c r="M679" s="2" t="str">
        <x:v>san14-candidate-0671</x:v>
      </x:c>
      <x:c r="N679" s="2" t="str">
        <x:v>陳宮</x:v>
      </x:c>
      <x:c r="O679" s="2" t="str">
        <x:v>チンキュウ</x:v>
      </x:c>
    </x:row>
    <x:row r="680" ht="23" customHeight="1">
      <x:c r="A680" s="13" t="n">
        <x:v>672</x:v>
      </x:c>
      <x:c r="B680" s="2" t="str">
        <x:v>陈矫</x:v>
      </x:c>
      <x:c r="C680" s="2" t="str">
        <x:v>陳矯</x:v>
      </x:c>
      <x:c r="D680" s="2" t="str"/>
      <x:c r="E680" s="13" t="n">
        <x:v>175</x:v>
      </x:c>
      <x:c r="F680" s="13" t="n">
        <x:v>194</x:v>
      </x:c>
      <x:c r="G680" s="13" t="n">
        <x:v>237</x:v>
      </x:c>
      <x:c r="H680" s="2" t="str">
        <x:f>IF(OR($E$4="",NOT(ISNUMBER($E$4)),$E$4&lt;1,$E$4&gt;400),"参考年待填",IF(OR(E680="",F680="",G680=""),"年代待核",IF($E$4&lt;E680,"未出生",IF($E$4&lt;F680,"未登场",IF($E$4&gt;G680,"已过卒年",IF($E$4=G680,"卒年边界待核","年表可登场"))))))</x:f>
        <x:v>年表可登场</x:v>
      </x:c>
      <x:c r="I680" s="12"/>
      <x:c r="J680" s="2" t="str">
        <x:v>SAN14游戏设定</x:v>
      </x:c>
      <x:c r="K680" s="2" t="str"/>
      <x:c r="L680" s="2" t="str">
        <x:v>陳矯</x:v>
      </x:c>
      <x:c r="M680" s="2" t="str">
        <x:v>san14-candidate-0672</x:v>
      </x:c>
      <x:c r="N680" s="2" t="str">
        <x:v>陳矯</x:v>
      </x:c>
      <x:c r="O680" s="2" t="str">
        <x:v>チンキョウ</x:v>
      </x:c>
    </x:row>
    <x:row r="681" ht="23" customHeight="1">
      <x:c r="A681" s="13" t="n">
        <x:v>673</x:v>
      </x:c>
      <x:c r="B681" s="2" t="str">
        <x:v>陈群</x:v>
      </x:c>
      <x:c r="C681" s="2" t="str">
        <x:v>陳群</x:v>
      </x:c>
      <x:c r="D681" s="2" t="str"/>
      <x:c r="E681" s="13" t="n">
        <x:v>167</x:v>
      </x:c>
      <x:c r="F681" s="13" t="n">
        <x:v>186</x:v>
      </x:c>
      <x:c r="G681" s="13" t="n">
        <x:v>235</x:v>
      </x:c>
      <x:c r="H681" s="2" t="str">
        <x:f>IF(OR($E$4="",NOT(ISNUMBER($E$4)),$E$4&lt;1,$E$4&gt;400),"参考年待填",IF(OR(E681="",F681="",G681=""),"年代待核",IF($E$4&lt;E681,"未出生",IF($E$4&lt;F681,"未登场",IF($E$4&gt;G681,"已过卒年",IF($E$4=G681,"卒年边界待核","年表可登场"))))))</x:f>
        <x:v>年表可登场</x:v>
      </x:c>
      <x:c r="I681" s="12"/>
      <x:c r="J681" s="2" t="str">
        <x:v>SAN14游戏设定</x:v>
      </x:c>
      <x:c r="K681" s="2" t="str"/>
      <x:c r="L681" s="2" t="str">
        <x:v>陳群</x:v>
      </x:c>
      <x:c r="M681" s="2" t="str">
        <x:v>san14-candidate-0673</x:v>
      </x:c>
      <x:c r="N681" s="2" t="str">
        <x:v>陳羣</x:v>
      </x:c>
      <x:c r="O681" s="2" t="str">
        <x:v>チングン</x:v>
      </x:c>
    </x:row>
    <x:row r="682" ht="23" customHeight="1">
      <x:c r="A682" s="13" t="n">
        <x:v>674</x:v>
      </x:c>
      <x:c r="B682" s="2" t="str">
        <x:v>陈珪</x:v>
      </x:c>
      <x:c r="C682" s="2" t="str">
        <x:v>陳珪</x:v>
      </x:c>
      <x:c r="D682" s="2" t="str"/>
      <x:c r="E682" s="13" t="n">
        <x:v>132</x:v>
      </x:c>
      <x:c r="F682" s="13" t="n">
        <x:v>184</x:v>
      </x:c>
      <x:c r="G682" s="13" t="n">
        <x:v>206</x:v>
      </x:c>
      <x:c r="H682" s="2" t="str">
        <x:f>IF(OR($E$4="",NOT(ISNUMBER($E$4)),$E$4&lt;1,$E$4&gt;400),"参考年待填",IF(OR(E682="",F682="",G682=""),"年代待核",IF($E$4&lt;E682,"未出生",IF($E$4&lt;F682,"未登场",IF($E$4&gt;G682,"已过卒年",IF($E$4=G682,"卒年边界待核","年表可登场"))))))</x:f>
        <x:v>已过卒年</x:v>
      </x:c>
      <x:c r="I682" s="12"/>
      <x:c r="J682" s="2" t="str">
        <x:v>SAN14游戏设定</x:v>
      </x:c>
      <x:c r="K682" s="2" t="str"/>
      <x:c r="L682" s="2" t="str">
        <x:v>陳珪</x:v>
      </x:c>
      <x:c r="M682" s="2" t="str">
        <x:v>san14-candidate-0674</x:v>
      </x:c>
      <x:c r="N682" s="2" t="str">
        <x:v>陳珪</x:v>
      </x:c>
      <x:c r="O682" s="2" t="str">
        <x:v>チンケイ</x:v>
      </x:c>
    </x:row>
    <x:row r="683" ht="23" customHeight="1">
      <x:c r="A683" s="13" t="n">
        <x:v>675</x:v>
      </x:c>
      <x:c r="B683" s="2" t="str">
        <x:v>陈骞</x:v>
      </x:c>
      <x:c r="C683" s="2" t="str">
        <x:v>陳騫</x:v>
      </x:c>
      <x:c r="D683" s="2" t="str"/>
      <x:c r="E683" s="13" t="n">
        <x:v>214</x:v>
      </x:c>
      <x:c r="F683" s="13" t="n">
        <x:v>233</x:v>
      </x:c>
      <x:c r="G683" s="13" t="n">
        <x:v>292</x:v>
      </x:c>
      <x:c r="H683" s="2" t="str">
        <x:f>IF(OR($E$4="",NOT(ISNUMBER($E$4)),$E$4&lt;1,$E$4&gt;400),"参考年待填",IF(OR(E683="",F683="",G683=""),"年代待核",IF($E$4&lt;E683,"未出生",IF($E$4&lt;F683,"未登场",IF($E$4&gt;G683,"已过卒年",IF($E$4=G683,"卒年边界待核","年表可登场"))))))</x:f>
        <x:v>未登场</x:v>
      </x:c>
      <x:c r="I683" s="12"/>
      <x:c r="J683" s="2" t="str">
        <x:v>SAN14游戏设定</x:v>
      </x:c>
      <x:c r="K683" s="2" t="str"/>
      <x:c r="L683" s="2" t="str">
        <x:v>陳騫</x:v>
      </x:c>
      <x:c r="M683" s="2" t="str">
        <x:v>san14-candidate-0675</x:v>
      </x:c>
      <x:c r="N683" s="2" t="str">
        <x:v>陳騫</x:v>
      </x:c>
      <x:c r="O683" s="2" t="str">
        <x:v>チンケン</x:v>
      </x:c>
    </x:row>
    <x:row r="684" ht="23" customHeight="1">
      <x:c r="A684" s="13" t="n">
        <x:v>676</x:v>
      </x:c>
      <x:c r="B684" s="2" t="str">
        <x:v>陈祗</x:v>
      </x:c>
      <x:c r="C684" s="2" t="str">
        <x:v>陳祗</x:v>
      </x:c>
      <x:c r="D684" s="2" t="str"/>
      <x:c r="E684" s="13" t="n">
        <x:v>216</x:v>
      </x:c>
      <x:c r="F684" s="13" t="n">
        <x:v>235</x:v>
      </x:c>
      <x:c r="G684" s="13" t="n">
        <x:v>258</x:v>
      </x:c>
      <x:c r="H684" s="2" t="str">
        <x:f>IF(OR($E$4="",NOT(ISNUMBER($E$4)),$E$4&lt;1,$E$4&gt;400),"参考年待填",IF(OR(E684="",F684="",G684=""),"年代待核",IF($E$4&lt;E684,"未出生",IF($E$4&lt;F684,"未登场",IF($E$4&gt;G684,"已过卒年",IF($E$4=G684,"卒年边界待核","年表可登场"))))))</x:f>
        <x:v>未登场</x:v>
      </x:c>
      <x:c r="I684" s="12"/>
      <x:c r="J684" s="2" t="str">
        <x:v>SAN14游戏设定</x:v>
      </x:c>
      <x:c r="K684" s="2" t="str"/>
      <x:c r="L684" s="2" t="str">
        <x:v>陳祗</x:v>
      </x:c>
      <x:c r="M684" s="2" t="str">
        <x:v>san14-candidate-0676</x:v>
      </x:c>
      <x:c r="N684" s="2" t="str">
        <x:v>陳祗</x:v>
      </x:c>
      <x:c r="O684" s="2" t="str">
        <x:v>チンシ</x:v>
      </x:c>
    </x:row>
    <x:row r="685" ht="23" customHeight="1">
      <x:c r="A685" s="13" t="n">
        <x:v>677</x:v>
      </x:c>
      <x:c r="B685" s="2" t="str">
        <x:v>陈寿</x:v>
      </x:c>
      <x:c r="C685" s="2" t="str">
        <x:v>陳壽</x:v>
      </x:c>
      <x:c r="D685" s="2" t="str"/>
      <x:c r="E685" s="13" t="n">
        <x:v>233</x:v>
      </x:c>
      <x:c r="F685" s="13" t="n">
        <x:v>252</x:v>
      </x:c>
      <x:c r="G685" s="13" t="n">
        <x:v>297</x:v>
      </x:c>
      <x:c r="H685" s="2" t="str">
        <x:f>IF(OR($E$4="",NOT(ISNUMBER($E$4)),$E$4&lt;1,$E$4&gt;400),"参考年待填",IF(OR(E685="",F685="",G685=""),"年代待核",IF($E$4&lt;E685,"未出生",IF($E$4&lt;F685,"未登场",IF($E$4&gt;G685,"已过卒年",IF($E$4=G685,"卒年边界待核","年表可登场"))))))</x:f>
        <x:v>未出生</x:v>
      </x:c>
      <x:c r="I685" s="12"/>
      <x:c r="J685" s="2" t="str">
        <x:v>SAN14游戏设定</x:v>
      </x:c>
      <x:c r="K685" s="2" t="str"/>
      <x:c r="L685" s="2" t="str">
        <x:v>陳壽</x:v>
      </x:c>
      <x:c r="M685" s="2" t="str">
        <x:v>san14-candidate-0677</x:v>
      </x:c>
      <x:c r="N685" s="2" t="str">
        <x:v>陳寿</x:v>
      </x:c>
      <x:c r="O685" s="2" t="str">
        <x:v>チンジュ</x:v>
      </x:c>
    </x:row>
    <x:row r="686" ht="23" customHeight="1">
      <x:c r="A686" s="13" t="n">
        <x:v>678</x:v>
      </x:c>
      <x:c r="B686" s="2" t="str">
        <x:v>陈就</x:v>
      </x:c>
      <x:c r="C686" s="2" t="str">
        <x:v>陳就</x:v>
      </x:c>
      <x:c r="D686" s="2" t="str"/>
      <x:c r="E686" s="13" t="n">
        <x:v>169</x:v>
      </x:c>
      <x:c r="F686" s="13" t="n">
        <x:v>196</x:v>
      </x:c>
      <x:c r="G686" s="13" t="n">
        <x:v>208</x:v>
      </x:c>
      <x:c r="H686" s="2" t="str">
        <x:f>IF(OR($E$4="",NOT(ISNUMBER($E$4)),$E$4&lt;1,$E$4&gt;400),"参考年待填",IF(OR(E686="",F686="",G686=""),"年代待核",IF($E$4&lt;E686,"未出生",IF($E$4&lt;F686,"未登场",IF($E$4&gt;G686,"已过卒年",IF($E$4=G686,"卒年边界待核","年表可登场"))))))</x:f>
        <x:v>已过卒年</x:v>
      </x:c>
      <x:c r="I686" s="12"/>
      <x:c r="J686" s="2" t="str">
        <x:v>SAN14游戏设定</x:v>
      </x:c>
      <x:c r="K686" s="2" t="str"/>
      <x:c r="L686" s="2" t="str">
        <x:v>陳就</x:v>
      </x:c>
      <x:c r="M686" s="2" t="str">
        <x:v>san14-candidate-0678</x:v>
      </x:c>
      <x:c r="N686" s="2" t="str">
        <x:v>陳就</x:v>
      </x:c>
      <x:c r="O686" s="2" t="str">
        <x:v>チンシュウ</x:v>
      </x:c>
    </x:row>
    <x:row r="687" ht="23" customHeight="1">
      <x:c r="A687" s="13" t="n">
        <x:v>679</x:v>
      </x:c>
      <x:c r="B687" s="2" t="str">
        <x:v>陈修</x:v>
      </x:c>
      <x:c r="C687" s="2" t="str">
        <x:v>陳脩</x:v>
      </x:c>
      <x:c r="D687" s="2" t="str"/>
      <x:c r="E687" s="13" t="n">
        <x:v>197</x:v>
      </x:c>
      <x:c r="F687" s="13" t="n">
        <x:v>215</x:v>
      </x:c>
      <x:c r="G687" s="13" t="n">
        <x:v>229</x:v>
      </x:c>
      <x:c r="H687" s="2" t="str">
        <x:f>IF(OR($E$4="",NOT(ISNUMBER($E$4)),$E$4&lt;1,$E$4&gt;400),"参考年待填",IF(OR(E687="",F687="",G687=""),"年代待核",IF($E$4&lt;E687,"未出生",IF($E$4&lt;F687,"未登场",IF($E$4&gt;G687,"已过卒年",IF($E$4=G687,"卒年边界待核","年表可登场"))))))</x:f>
        <x:v>已过卒年</x:v>
      </x:c>
      <x:c r="I687" s="12"/>
      <x:c r="J687" s="2" t="str">
        <x:v>SAN14游戏设定</x:v>
      </x:c>
      <x:c r="K687" s="2" t="str"/>
      <x:c r="L687" s="2" t="str">
        <x:v>陳脩</x:v>
      </x:c>
      <x:c r="M687" s="2" t="str">
        <x:v>san14-candidate-0679</x:v>
      </x:c>
      <x:c r="N687" s="2" t="str">
        <x:v>陳脩</x:v>
      </x:c>
      <x:c r="O687" s="2" t="str">
        <x:v>チンシュウ</x:v>
      </x:c>
    </x:row>
    <x:row r="688" ht="23" customHeight="1">
      <x:c r="A688" s="13" t="n">
        <x:v>680</x:v>
      </x:c>
      <x:c r="B688" s="2" t="str">
        <x:v>陈式</x:v>
      </x:c>
      <x:c r="C688" s="2" t="str">
        <x:v>陳式</x:v>
      </x:c>
      <x:c r="D688" s="2" t="str"/>
      <x:c r="E688" s="13" t="n">
        <x:v>191</x:v>
      </x:c>
      <x:c r="F688" s="13" t="n">
        <x:v>210</x:v>
      </x:c>
      <x:c r="G688" s="13" t="n">
        <x:v>230</x:v>
      </x:c>
      <x:c r="H688" s="2" t="str">
        <x:f>IF(OR($E$4="",NOT(ISNUMBER($E$4)),$E$4&lt;1,$E$4&gt;400),"参考年待填",IF(OR(E688="",F688="",G688=""),"年代待核",IF($E$4&lt;E688,"未出生",IF($E$4&lt;F688,"未登场",IF($E$4&gt;G688,"已过卒年",IF($E$4=G688,"卒年边界待核","年表可登场"))))))</x:f>
        <x:v>卒年边界待核</x:v>
      </x:c>
      <x:c r="I688" s="12"/>
      <x:c r="J688" s="2" t="str">
        <x:v>SAN14游戏设定</x:v>
      </x:c>
      <x:c r="K688" s="2" t="str"/>
      <x:c r="L688" s="2" t="str">
        <x:v>陳式</x:v>
      </x:c>
      <x:c r="M688" s="2" t="str">
        <x:v>san14-candidate-0680</x:v>
      </x:c>
      <x:c r="N688" s="2" t="str">
        <x:v>陳式</x:v>
      </x:c>
      <x:c r="O688" s="2" t="str">
        <x:v>チンショク</x:v>
      </x:c>
    </x:row>
    <x:row r="689" ht="23" customHeight="1">
      <x:c r="A689" s="13" t="n">
        <x:v>681</x:v>
      </x:c>
      <x:c r="B689" s="2" t="str">
        <x:v>陈震</x:v>
      </x:c>
      <x:c r="C689" s="2" t="str">
        <x:v>陳震</x:v>
      </x:c>
      <x:c r="D689" s="2" t="str"/>
      <x:c r="E689" s="13" t="n">
        <x:v>170</x:v>
      </x:c>
      <x:c r="F689" s="13" t="n">
        <x:v>189</x:v>
      </x:c>
      <x:c r="G689" s="13" t="n">
        <x:v>235</x:v>
      </x:c>
      <x:c r="H689" s="2" t="str">
        <x:f>IF(OR($E$4="",NOT(ISNUMBER($E$4)),$E$4&lt;1,$E$4&gt;400),"参考年待填",IF(OR(E689="",F689="",G689=""),"年代待核",IF($E$4&lt;E689,"未出生",IF($E$4&lt;F689,"未登场",IF($E$4&gt;G689,"已过卒年",IF($E$4=G689,"卒年边界待核","年表可登场"))))))</x:f>
        <x:v>年表可登场</x:v>
      </x:c>
      <x:c r="I689" s="12"/>
      <x:c r="J689" s="2" t="str">
        <x:v>SAN14游戏设定</x:v>
      </x:c>
      <x:c r="K689" s="2" t="str"/>
      <x:c r="L689" s="2" t="str">
        <x:v>陳震</x:v>
      </x:c>
      <x:c r="M689" s="2" t="str">
        <x:v>san14-candidate-0681</x:v>
      </x:c>
      <x:c r="N689" s="2" t="str">
        <x:v>陳震</x:v>
      </x:c>
      <x:c r="O689" s="2" t="str">
        <x:v>チンシン</x:v>
      </x:c>
    </x:row>
    <x:row r="690" ht="23" customHeight="1">
      <x:c r="A690" s="13" t="n">
        <x:v>682</x:v>
      </x:c>
      <x:c r="B690" s="2" t="str">
        <x:v>陈泰</x:v>
      </x:c>
      <x:c r="C690" s="2" t="str">
        <x:v>陳泰</x:v>
      </x:c>
      <x:c r="D690" s="2" t="str"/>
      <x:c r="E690" s="13" t="n">
        <x:v>210</x:v>
      </x:c>
      <x:c r="F690" s="13" t="n">
        <x:v>224</x:v>
      </x:c>
      <x:c r="G690" s="13" t="n">
        <x:v>260</x:v>
      </x:c>
      <x:c r="H690" s="2" t="str">
        <x:f>IF(OR($E$4="",NOT(ISNUMBER($E$4)),$E$4&lt;1,$E$4&gt;400),"参考年待填",IF(OR(E690="",F690="",G690=""),"年代待核",IF($E$4&lt;E690,"未出生",IF($E$4&lt;F690,"未登场",IF($E$4&gt;G690,"已过卒年",IF($E$4=G690,"卒年边界待核","年表可登场"))))))</x:f>
        <x:v>年表可登场</x:v>
      </x:c>
      <x:c r="I690" s="12"/>
      <x:c r="J690" s="2" t="str">
        <x:v>SAN14游戏设定</x:v>
      </x:c>
      <x:c r="K690" s="2" t="str"/>
      <x:c r="L690" s="2" t="str">
        <x:v>陳泰</x:v>
      </x:c>
      <x:c r="M690" s="2" t="str">
        <x:v>san14-candidate-0682</x:v>
      </x:c>
      <x:c r="N690" s="2" t="str">
        <x:v>陳泰</x:v>
      </x:c>
      <x:c r="O690" s="2" t="str">
        <x:v>チンタイ</x:v>
      </x:c>
    </x:row>
    <x:row r="691" ht="23" customHeight="1">
      <x:c r="A691" s="13" t="n">
        <x:v>683</x:v>
      </x:c>
      <x:c r="B691" s="2" t="str">
        <x:v>陈登</x:v>
      </x:c>
      <x:c r="C691" s="2" t="str">
        <x:v>陳登</x:v>
      </x:c>
      <x:c r="D691" s="2" t="str"/>
      <x:c r="E691" s="13" t="n">
        <x:v>169</x:v>
      </x:c>
      <x:c r="F691" s="13" t="n">
        <x:v>188</x:v>
      </x:c>
      <x:c r="G691" s="13" t="n">
        <x:v>207</x:v>
      </x:c>
      <x:c r="H691" s="2" t="str">
        <x:f>IF(OR($E$4="",NOT(ISNUMBER($E$4)),$E$4&lt;1,$E$4&gt;400),"参考年待填",IF(OR(E691="",F691="",G691=""),"年代待核",IF($E$4&lt;E691,"未出生",IF($E$4&lt;F691,"未登场",IF($E$4&gt;G691,"已过卒年",IF($E$4=G691,"卒年边界待核","年表可登场"))))))</x:f>
        <x:v>已过卒年</x:v>
      </x:c>
      <x:c r="I691" s="12"/>
      <x:c r="J691" s="2" t="str">
        <x:v>SAN14游戏设定</x:v>
      </x:c>
      <x:c r="K691" s="2" t="str"/>
      <x:c r="L691" s="2" t="str">
        <x:v>陳登</x:v>
      </x:c>
      <x:c r="M691" s="2" t="str">
        <x:v>san14-candidate-0683</x:v>
      </x:c>
      <x:c r="N691" s="2" t="str">
        <x:v>陳登</x:v>
      </x:c>
      <x:c r="O691" s="2" t="str">
        <x:v>チントウ</x:v>
      </x:c>
    </x:row>
    <x:row r="692" ht="23" customHeight="1">
      <x:c r="A692" s="13" t="n">
        <x:v>684</x:v>
      </x:c>
      <x:c r="B692" s="2" t="str">
        <x:v>陈到</x:v>
      </x:c>
      <x:c r="C692" s="2" t="str">
        <x:v>陳到</x:v>
      </x:c>
      <x:c r="D692" s="2" t="str"/>
      <x:c r="E692" s="13" t="n">
        <x:v>171</x:v>
      </x:c>
      <x:c r="F692" s="13" t="n">
        <x:v>194</x:v>
      </x:c>
      <x:c r="G692" s="13" t="n">
        <x:v>237</x:v>
      </x:c>
      <x:c r="H692" s="2" t="str">
        <x:f>IF(OR($E$4="",NOT(ISNUMBER($E$4)),$E$4&lt;1,$E$4&gt;400),"参考年待填",IF(OR(E692="",F692="",G692=""),"年代待核",IF($E$4&lt;E692,"未出生",IF($E$4&lt;F692,"未登场",IF($E$4&gt;G692,"已过卒年",IF($E$4=G692,"卒年边界待核","年表可登场"))))))</x:f>
        <x:v>年表可登场</x:v>
      </x:c>
      <x:c r="I692" s="12"/>
      <x:c r="J692" s="2" t="str">
        <x:v>SAN14游戏设定</x:v>
      </x:c>
      <x:c r="K692" s="2" t="str"/>
      <x:c r="L692" s="2" t="str">
        <x:v>陳到</x:v>
      </x:c>
      <x:c r="M692" s="2" t="str">
        <x:v>san14-candidate-0684</x:v>
      </x:c>
      <x:c r="N692" s="2" t="str">
        <x:v>陳到</x:v>
      </x:c>
      <x:c r="O692" s="2" t="str">
        <x:v>チントウ</x:v>
      </x:c>
    </x:row>
    <x:row r="693" ht="23" customHeight="1">
      <x:c r="A693" s="13" t="n">
        <x:v>685</x:v>
      </x:c>
      <x:c r="B693" s="2" t="str">
        <x:v>陈表</x:v>
      </x:c>
      <x:c r="C693" s="2" t="str">
        <x:v>陳表</x:v>
      </x:c>
      <x:c r="D693" s="2" t="str"/>
      <x:c r="E693" s="13" t="n">
        <x:v>204</x:v>
      </x:c>
      <x:c r="F693" s="13" t="n">
        <x:v>218</x:v>
      </x:c>
      <x:c r="G693" s="13" t="n">
        <x:v>237</x:v>
      </x:c>
      <x:c r="H693" s="2" t="str">
        <x:f>IF(OR($E$4="",NOT(ISNUMBER($E$4)),$E$4&lt;1,$E$4&gt;400),"参考年待填",IF(OR(E693="",F693="",G693=""),"年代待核",IF($E$4&lt;E693,"未出生",IF($E$4&lt;F693,"未登场",IF($E$4&gt;G693,"已过卒年",IF($E$4=G693,"卒年边界待核","年表可登场"))))))</x:f>
        <x:v>年表可登场</x:v>
      </x:c>
      <x:c r="I693" s="12"/>
      <x:c r="J693" s="2" t="str">
        <x:v>SAN14游戏设定</x:v>
      </x:c>
      <x:c r="K693" s="2" t="str"/>
      <x:c r="L693" s="2" t="str">
        <x:v>陳表</x:v>
      </x:c>
      <x:c r="M693" s="2" t="str">
        <x:v>san14-candidate-0685</x:v>
      </x:c>
      <x:c r="N693" s="2" t="str">
        <x:v>陳表</x:v>
      </x:c>
      <x:c r="O693" s="2" t="str">
        <x:v>チンヒョウ</x:v>
      </x:c>
    </x:row>
    <x:row r="694" ht="23" customHeight="1">
      <x:c r="A694" s="13" t="n">
        <x:v>686</x:v>
      </x:c>
      <x:c r="B694" s="2" t="str">
        <x:v>陈武</x:v>
      </x:c>
      <x:c r="C694" s="2" t="str">
        <x:v>陳武</x:v>
      </x:c>
      <x:c r="D694" s="2" t="str"/>
      <x:c r="E694" s="13" t="n">
        <x:v>176</x:v>
      </x:c>
      <x:c r="F694" s="13" t="n">
        <x:v>195</x:v>
      </x:c>
      <x:c r="G694" s="13" t="n">
        <x:v>215</x:v>
      </x:c>
      <x:c r="H694" s="2" t="str">
        <x:f>IF(OR($E$4="",NOT(ISNUMBER($E$4)),$E$4&lt;1,$E$4&gt;400),"参考年待填",IF(OR(E694="",F694="",G694=""),"年代待核",IF($E$4&lt;E694,"未出生",IF($E$4&lt;F694,"未登场",IF($E$4&gt;G694,"已过卒年",IF($E$4=G694,"卒年边界待核","年表可登场"))))))</x:f>
        <x:v>已过卒年</x:v>
      </x:c>
      <x:c r="I694" s="12"/>
      <x:c r="J694" s="2" t="str">
        <x:v>SAN14游戏设定</x:v>
      </x:c>
      <x:c r="K694" s="2" t="str"/>
      <x:c r="L694" s="2" t="str">
        <x:v>陳武</x:v>
      </x:c>
      <x:c r="M694" s="2" t="str">
        <x:v>san14-candidate-0686</x:v>
      </x:c>
      <x:c r="N694" s="2" t="str">
        <x:v>陳武</x:v>
      </x:c>
      <x:c r="O694" s="2" t="str">
        <x:v>チンブ</x:v>
      </x:c>
    </x:row>
    <x:row r="695" ht="23" customHeight="1">
      <x:c r="A695" s="13" t="n">
        <x:v>687</x:v>
      </x:c>
      <x:c r="B695" s="2" t="str">
        <x:v>陈兰</x:v>
      </x:c>
      <x:c r="C695" s="2" t="str">
        <x:v>陳蘭</x:v>
      </x:c>
      <x:c r="D695" s="2" t="str"/>
      <x:c r="E695" s="13" t="n">
        <x:v>157</x:v>
      </x:c>
      <x:c r="F695" s="13" t="n">
        <x:v>184</x:v>
      </x:c>
      <x:c r="G695" s="13" t="n">
        <x:v>204</x:v>
      </x:c>
      <x:c r="H695" s="2" t="str">
        <x:f>IF(OR($E$4="",NOT(ISNUMBER($E$4)),$E$4&lt;1,$E$4&gt;400),"参考年待填",IF(OR(E695="",F695="",G695=""),"年代待核",IF($E$4&lt;E695,"未出生",IF($E$4&lt;F695,"未登场",IF($E$4&gt;G695,"已过卒年",IF($E$4=G695,"卒年边界待核","年表可登场"))))))</x:f>
        <x:v>已过卒年</x:v>
      </x:c>
      <x:c r="I695" s="12"/>
      <x:c r="J695" s="2" t="str">
        <x:v>SAN14游戏设定</x:v>
      </x:c>
      <x:c r="K695" s="2" t="str"/>
      <x:c r="L695" s="2" t="str">
        <x:v>陳蘭</x:v>
      </x:c>
      <x:c r="M695" s="2" t="str">
        <x:v>san14-candidate-0687</x:v>
      </x:c>
      <x:c r="N695" s="2" t="str">
        <x:v>陳蘭</x:v>
      </x:c>
      <x:c r="O695" s="2" t="str">
        <x:v>チンラン</x:v>
      </x:c>
    </x:row>
    <x:row r="696" ht="23" customHeight="1">
      <x:c r="A696" s="13" t="n">
        <x:v>688</x:v>
      </x:c>
      <x:c r="B696" s="2" t="str">
        <x:v>陈琳</x:v>
      </x:c>
      <x:c r="C696" s="2" t="str">
        <x:v>陳琳</x:v>
      </x:c>
      <x:c r="D696" s="2" t="str"/>
      <x:c r="E696" s="13" t="n">
        <x:v>160</x:v>
      </x:c>
      <x:c r="F696" s="13" t="n">
        <x:v>184</x:v>
      </x:c>
      <x:c r="G696" s="13" t="n">
        <x:v>217</x:v>
      </x:c>
      <x:c r="H696" s="2" t="str">
        <x:f>IF(OR($E$4="",NOT(ISNUMBER($E$4)),$E$4&lt;1,$E$4&gt;400),"参考年待填",IF(OR(E696="",F696="",G696=""),"年代待核",IF($E$4&lt;E696,"未出生",IF($E$4&lt;F696,"未登场",IF($E$4&gt;G696,"已过卒年",IF($E$4=G696,"卒年边界待核","年表可登场"))))))</x:f>
        <x:v>已过卒年</x:v>
      </x:c>
      <x:c r="I696" s="12"/>
      <x:c r="J696" s="2" t="str">
        <x:v>SAN14游戏设定</x:v>
      </x:c>
      <x:c r="K696" s="2" t="str"/>
      <x:c r="L696" s="2" t="str">
        <x:v>陳琳</x:v>
      </x:c>
      <x:c r="M696" s="2" t="str">
        <x:v>san14-candidate-0688</x:v>
      </x:c>
      <x:c r="N696" s="2" t="str">
        <x:v>陳琳</x:v>
      </x:c>
      <x:c r="O696" s="2" t="str">
        <x:v>チンリン</x:v>
      </x:c>
    </x:row>
    <x:row r="697" ht="23" customHeight="1">
      <x:c r="A697" s="13" t="n">
        <x:v>689</x:v>
      </x:c>
      <x:c r="B697" s="2" t="str">
        <x:v>程昱</x:v>
      </x:c>
      <x:c r="C697" s="2" t="str">
        <x:v>程昱</x:v>
      </x:c>
      <x:c r="D697" s="2" t="str"/>
      <x:c r="E697" s="13" t="n">
        <x:v>141</x:v>
      </x:c>
      <x:c r="F697" s="13" t="n">
        <x:v>184</x:v>
      </x:c>
      <x:c r="G697" s="13" t="n">
        <x:v>220</x:v>
      </x:c>
      <x:c r="H697" s="2" t="str">
        <x:f>IF(OR($E$4="",NOT(ISNUMBER($E$4)),$E$4&lt;1,$E$4&gt;400),"参考年待填",IF(OR(E697="",F697="",G697=""),"年代待核",IF($E$4&lt;E697,"未出生",IF($E$4&lt;F697,"未登场",IF($E$4&gt;G697,"已过卒年",IF($E$4=G697,"卒年边界待核","年表可登场"))))))</x:f>
        <x:v>已过卒年</x:v>
      </x:c>
      <x:c r="I697" s="12"/>
      <x:c r="J697" s="2" t="str">
        <x:v>SAN14游戏设定</x:v>
      </x:c>
      <x:c r="K697" s="2" t="str"/>
      <x:c r="L697" s="2" t="str">
        <x:v>程昱</x:v>
      </x:c>
      <x:c r="M697" s="2" t="str">
        <x:v>san14-candidate-0689</x:v>
      </x:c>
      <x:c r="N697" s="2" t="str">
        <x:v>程昱</x:v>
      </x:c>
      <x:c r="O697" s="2" t="str">
        <x:v>テイイク</x:v>
      </x:c>
    </x:row>
    <x:row r="698" ht="23" customHeight="1">
      <x:c r="A698" s="13" t="n">
        <x:v>690</x:v>
      </x:c>
      <x:c r="B698" s="2" t="str">
        <x:v>程远志</x:v>
      </x:c>
      <x:c r="C698" s="2" t="str">
        <x:v>程遠志</x:v>
      </x:c>
      <x:c r="D698" s="2" t="str"/>
      <x:c r="E698" s="13" t="n">
        <x:v>145</x:v>
      </x:c>
      <x:c r="F698" s="13" t="n">
        <x:v>184</x:v>
      </x:c>
      <x:c r="G698" s="13" t="n">
        <x:v>184</x:v>
      </x:c>
      <x:c r="H698" s="2" t="str">
        <x:f>IF(OR($E$4="",NOT(ISNUMBER($E$4)),$E$4&lt;1,$E$4&gt;400),"参考年待填",IF(OR(E698="",F698="",G698=""),"年代待核",IF($E$4&lt;E698,"未出生",IF($E$4&lt;F698,"未登场",IF($E$4&gt;G698,"已过卒年",IF($E$4=G698,"卒年边界待核","年表可登场"))))))</x:f>
        <x:v>已过卒年</x:v>
      </x:c>
      <x:c r="I698" s="12"/>
      <x:c r="J698" s="2" t="str">
        <x:v>SAN14游戏设定</x:v>
      </x:c>
      <x:c r="K698" s="2" t="str"/>
      <x:c r="L698" s="2" t="str">
        <x:v>程遠志</x:v>
      </x:c>
      <x:c r="M698" s="2" t="str">
        <x:v>san14-candidate-0690</x:v>
      </x:c>
      <x:c r="N698" s="2" t="str">
        <x:v>程遠志</x:v>
      </x:c>
      <x:c r="O698" s="2" t="str">
        <x:v>テイエンシ</x:v>
      </x:c>
    </x:row>
    <x:row r="699" ht="23" customHeight="1">
      <x:c r="A699" s="13" t="n">
        <x:v>691</x:v>
      </x:c>
      <x:c r="B699" s="2" t="str">
        <x:v>程畿</x:v>
      </x:c>
      <x:c r="C699" s="2" t="str">
        <x:v>程畿</x:v>
      </x:c>
      <x:c r="D699" s="2" t="str"/>
      <x:c r="E699" s="13" t="n">
        <x:v>158</x:v>
      </x:c>
      <x:c r="F699" s="13" t="n">
        <x:v>187</x:v>
      </x:c>
      <x:c r="G699" s="13" t="n">
        <x:v>222</x:v>
      </x:c>
      <x:c r="H699" s="2" t="str">
        <x:f>IF(OR($E$4="",NOT(ISNUMBER($E$4)),$E$4&lt;1,$E$4&gt;400),"参考年待填",IF(OR(E699="",F699="",G699=""),"年代待核",IF($E$4&lt;E699,"未出生",IF($E$4&lt;F699,"未登场",IF($E$4&gt;G699,"已过卒年",IF($E$4=G699,"卒年边界待核","年表可登场"))))))</x:f>
        <x:v>已过卒年</x:v>
      </x:c>
      <x:c r="I699" s="12"/>
      <x:c r="J699" s="2" t="str">
        <x:v>SAN14游戏设定</x:v>
      </x:c>
      <x:c r="K699" s="2" t="str"/>
      <x:c r="L699" s="2" t="str">
        <x:v>程畿</x:v>
      </x:c>
      <x:c r="M699" s="2" t="str">
        <x:v>san14-candidate-0691</x:v>
      </x:c>
      <x:c r="N699" s="2" t="str">
        <x:v>程畿</x:v>
      </x:c>
      <x:c r="O699" s="2" t="str">
        <x:v>テイキ</x:v>
      </x:c>
    </x:row>
    <x:row r="700" ht="23" customHeight="1">
      <x:c r="A700" s="13" t="n">
        <x:v>692</x:v>
      </x:c>
      <x:c r="B700" s="2" t="str">
        <x:v>丁仪</x:v>
      </x:c>
      <x:c r="C700" s="2" t="str">
        <x:v>丁儀</x:v>
      </x:c>
      <x:c r="D700" s="2" t="str"/>
      <x:c r="E700" s="13" t="n">
        <x:v>184</x:v>
      </x:c>
      <x:c r="F700" s="13" t="n">
        <x:v>203</x:v>
      </x:c>
      <x:c r="G700" s="13" t="n">
        <x:v>220</x:v>
      </x:c>
      <x:c r="H700" s="2" t="str">
        <x:f>IF(OR($E$4="",NOT(ISNUMBER($E$4)),$E$4&lt;1,$E$4&gt;400),"参考年待填",IF(OR(E700="",F700="",G700=""),"年代待核",IF($E$4&lt;E700,"未出生",IF($E$4&lt;F700,"未登场",IF($E$4&gt;G700,"已过卒年",IF($E$4=G700,"卒年边界待核","年表可登场"))))))</x:f>
        <x:v>已过卒年</x:v>
      </x:c>
      <x:c r="I700" s="12"/>
      <x:c r="J700" s="2" t="str">
        <x:v>SAN14游戏设定</x:v>
      </x:c>
      <x:c r="K700" s="2" t="str"/>
      <x:c r="L700" s="2" t="str">
        <x:v>丁儀</x:v>
      </x:c>
      <x:c r="M700" s="2" t="str">
        <x:v>san14-candidate-0692</x:v>
      </x:c>
      <x:c r="N700" s="2" t="str">
        <x:v>丁儀</x:v>
      </x:c>
      <x:c r="O700" s="2" t="str">
        <x:v>テイギ</x:v>
      </x:c>
    </x:row>
    <x:row r="701" ht="23" customHeight="1">
      <x:c r="A701" s="13" t="n">
        <x:v>693</x:v>
      </x:c>
      <x:c r="B701" s="2" t="str">
        <x:v>程银</x:v>
      </x:c>
      <x:c r="C701" s="2" t="str">
        <x:v>程銀</x:v>
      </x:c>
      <x:c r="D701" s="2" t="str"/>
      <x:c r="E701" s="13" t="n">
        <x:v>169</x:v>
      </x:c>
      <x:c r="F701" s="13" t="n">
        <x:v>184</x:v>
      </x:c>
      <x:c r="G701" s="13" t="n">
        <x:v>211</x:v>
      </x:c>
      <x:c r="H701" s="2" t="str">
        <x:f>IF(OR($E$4="",NOT(ISNUMBER($E$4)),$E$4&lt;1,$E$4&gt;400),"参考年待填",IF(OR(E701="",F701="",G701=""),"年代待核",IF($E$4&lt;E701,"未出生",IF($E$4&lt;F701,"未登场",IF($E$4&gt;G701,"已过卒年",IF($E$4=G701,"卒年边界待核","年表可登场"))))))</x:f>
        <x:v>已过卒年</x:v>
      </x:c>
      <x:c r="I701" s="12"/>
      <x:c r="J701" s="2" t="str">
        <x:v>SAN14游戏设定</x:v>
      </x:c>
      <x:c r="K701" s="2" t="str"/>
      <x:c r="L701" s="2" t="str">
        <x:v>程銀</x:v>
      </x:c>
      <x:c r="M701" s="2" t="str">
        <x:v>san14-candidate-0693</x:v>
      </x:c>
      <x:c r="N701" s="2" t="str">
        <x:v>程銀</x:v>
      </x:c>
      <x:c r="O701" s="2" t="str">
        <x:v>テイギン</x:v>
      </x:c>
    </x:row>
    <x:row r="702" ht="23" customHeight="1">
      <x:c r="A702" s="13" t="n">
        <x:v>694</x:v>
      </x:c>
      <x:c r="B702" s="2" t="str">
        <x:v>丁原</x:v>
      </x:c>
      <x:c r="C702" s="2" t="str">
        <x:v>丁原</x:v>
      </x:c>
      <x:c r="D702" s="2" t="str"/>
      <x:c r="E702" s="13" t="n">
        <x:v>137</x:v>
      </x:c>
      <x:c r="F702" s="13" t="n">
        <x:v>184</x:v>
      </x:c>
      <x:c r="G702" s="13" t="n">
        <x:v>189</x:v>
      </x:c>
      <x:c r="H702" s="2" t="str">
        <x:f>IF(OR($E$4="",NOT(ISNUMBER($E$4)),$E$4&lt;1,$E$4&gt;400),"参考年待填",IF(OR(E702="",F702="",G702=""),"年代待核",IF($E$4&lt;E702,"未出生",IF($E$4&lt;F702,"未登场",IF($E$4&gt;G702,"已过卒年",IF($E$4=G702,"卒年边界待核","年表可登场"))))))</x:f>
        <x:v>已过卒年</x:v>
      </x:c>
      <x:c r="I702" s="12"/>
      <x:c r="J702" s="2" t="str">
        <x:v>SAN14游戏设定</x:v>
      </x:c>
      <x:c r="K702" s="2" t="str"/>
      <x:c r="L702" s="2" t="str">
        <x:v>丁原</x:v>
      </x:c>
      <x:c r="M702" s="2" t="str">
        <x:v>san14-candidate-0694</x:v>
      </x:c>
      <x:c r="N702" s="2" t="str">
        <x:v>丁原</x:v>
      </x:c>
      <x:c r="O702" s="2" t="str">
        <x:v>テイゲン</x:v>
      </x:c>
    </x:row>
    <x:row r="703" ht="23" customHeight="1">
      <x:c r="A703" s="13" t="n">
        <x:v>695</x:v>
      </x:c>
      <x:c r="B703" s="2" t="str">
        <x:v>丁固</x:v>
      </x:c>
      <x:c r="C703" s="2" t="str">
        <x:v>丁固</x:v>
      </x:c>
      <x:c r="D703" s="2" t="str"/>
      <x:c r="E703" s="13" t="n">
        <x:v>198</x:v>
      </x:c>
      <x:c r="F703" s="13" t="n">
        <x:v>217</x:v>
      </x:c>
      <x:c r="G703" s="13" t="n">
        <x:v>273</x:v>
      </x:c>
      <x:c r="H703" s="2" t="str">
        <x:f>IF(OR($E$4="",NOT(ISNUMBER($E$4)),$E$4&lt;1,$E$4&gt;400),"参考年待填",IF(OR(E703="",F703="",G703=""),"年代待核",IF($E$4&lt;E703,"未出生",IF($E$4&lt;F703,"未登场",IF($E$4&gt;G703,"已过卒年",IF($E$4=G703,"卒年边界待核","年表可登场"))))))</x:f>
        <x:v>年表可登场</x:v>
      </x:c>
      <x:c r="I703" s="12"/>
      <x:c r="J703" s="2" t="str">
        <x:v>SAN14游戏设定</x:v>
      </x:c>
      <x:c r="K703" s="2" t="str"/>
      <x:c r="L703" s="2" t="str">
        <x:v>丁固</x:v>
      </x:c>
      <x:c r="M703" s="2" t="str">
        <x:v>san14-candidate-0695</x:v>
      </x:c>
      <x:c r="N703" s="2" t="str">
        <x:v>丁固</x:v>
      </x:c>
      <x:c r="O703" s="2" t="str">
        <x:v>テイコ</x:v>
      </x:c>
    </x:row>
    <x:row r="704" ht="23" customHeight="1">
      <x:c r="A704" s="13" t="n">
        <x:v>696</x:v>
      </x:c>
      <x:c r="B704" s="2" t="str">
        <x:v>郑浑</x:v>
      </x:c>
      <x:c r="C704" s="2" t="str">
        <x:v>鄭渾</x:v>
      </x:c>
      <x:c r="D704" s="2" t="str"/>
      <x:c r="E704" s="13" t="n">
        <x:v>159</x:v>
      </x:c>
      <x:c r="F704" s="13" t="n">
        <x:v>184</x:v>
      </x:c>
      <x:c r="G704" s="13" t="n">
        <x:v>223</x:v>
      </x:c>
      <x:c r="H704" s="2" t="str">
        <x:f>IF(OR($E$4="",NOT(ISNUMBER($E$4)),$E$4&lt;1,$E$4&gt;400),"参考年待填",IF(OR(E704="",F704="",G704=""),"年代待核",IF($E$4&lt;E704,"未出生",IF($E$4&lt;F704,"未登场",IF($E$4&gt;G704,"已过卒年",IF($E$4=G704,"卒年边界待核","年表可登场"))))))</x:f>
        <x:v>已过卒年</x:v>
      </x:c>
      <x:c r="I704" s="12"/>
      <x:c r="J704" s="2" t="str">
        <x:v>SAN14游戏设定</x:v>
      </x:c>
      <x:c r="K704" s="2" t="str"/>
      <x:c r="L704" s="2" t="str">
        <x:v>鄭渾</x:v>
      </x:c>
      <x:c r="M704" s="2" t="str">
        <x:v>san14-candidate-0696</x:v>
      </x:c>
      <x:c r="N704" s="2" t="str">
        <x:v>鄭渾</x:v>
      </x:c>
      <x:c r="O704" s="2" t="str">
        <x:v>テイコン</x:v>
      </x:c>
    </x:row>
    <x:row r="705" ht="23" customHeight="1">
      <x:c r="A705" s="13" t="n">
        <x:v>697</x:v>
      </x:c>
      <x:c r="B705" s="2" t="str">
        <x:v>程咨</x:v>
      </x:c>
      <x:c r="C705" s="2" t="str">
        <x:v>程咨</x:v>
      </x:c>
      <x:c r="D705" s="2" t="str"/>
      <x:c r="E705" s="13" t="n">
        <x:v>182</x:v>
      </x:c>
      <x:c r="F705" s="13" t="n">
        <x:v>201</x:v>
      </x:c>
      <x:c r="G705" s="13" t="n">
        <x:v>226</x:v>
      </x:c>
      <x:c r="H705" s="2" t="str">
        <x:f>IF(OR($E$4="",NOT(ISNUMBER($E$4)),$E$4&lt;1,$E$4&gt;400),"参考年待填",IF(OR(E705="",F705="",G705=""),"年代待核",IF($E$4&lt;E705,"未出生",IF($E$4&lt;F705,"未登场",IF($E$4&gt;G705,"已过卒年",IF($E$4=G705,"卒年边界待核","年表可登场"))))))</x:f>
        <x:v>已过卒年</x:v>
      </x:c>
      <x:c r="I705" s="12"/>
      <x:c r="J705" s="2" t="str">
        <x:v>SAN14游戏设定</x:v>
      </x:c>
      <x:c r="K705" s="2" t="str"/>
      <x:c r="L705" s="2" t="str">
        <x:v>程咨</x:v>
      </x:c>
      <x:c r="M705" s="2" t="str">
        <x:v>san14-candidate-0697</x:v>
      </x:c>
      <x:c r="N705" s="2" t="str">
        <x:v>程咨</x:v>
      </x:c>
      <x:c r="O705" s="2" t="str">
        <x:v>テイシ</x:v>
      </x:c>
    </x:row>
    <x:row r="706" ht="23" customHeight="1">
      <x:c r="A706" s="13" t="n">
        <x:v>698</x:v>
      </x:c>
      <x:c r="B706" s="2" t="str">
        <x:v>郑泉</x:v>
      </x:c>
      <x:c r="C706" s="2" t="str">
        <x:v>鄭泉</x:v>
      </x:c>
      <x:c r="D706" s="2" t="str"/>
      <x:c r="E706" s="13" t="n">
        <x:v>185</x:v>
      </x:c>
      <x:c r="F706" s="13" t="n">
        <x:v>204</x:v>
      </x:c>
      <x:c r="G706" s="13" t="n">
        <x:v>230</x:v>
      </x:c>
      <x:c r="H706" s="2" t="str">
        <x:f>IF(OR($E$4="",NOT(ISNUMBER($E$4)),$E$4&lt;1,$E$4&gt;400),"参考年待填",IF(OR(E706="",F706="",G706=""),"年代待核",IF($E$4&lt;E706,"未出生",IF($E$4&lt;F706,"未登场",IF($E$4&gt;G706,"已过卒年",IF($E$4=G706,"卒年边界待核","年表可登场"))))))</x:f>
        <x:v>卒年边界待核</x:v>
      </x:c>
      <x:c r="I706" s="12"/>
      <x:c r="J706" s="2" t="str">
        <x:v>SAN14游戏设定</x:v>
      </x:c>
      <x:c r="K706" s="2" t="str"/>
      <x:c r="L706" s="2" t="str">
        <x:v>鄭泉</x:v>
      </x:c>
      <x:c r="M706" s="2" t="str">
        <x:v>san14-candidate-0698</x:v>
      </x:c>
      <x:c r="N706" s="2" t="str">
        <x:v>鄭泉</x:v>
      </x:c>
      <x:c r="O706" s="2" t="str">
        <x:v>テイセン</x:v>
      </x:c>
    </x:row>
    <x:row r="707" ht="23" customHeight="1">
      <x:c r="A707" s="13" t="n">
        <x:v>699</x:v>
      </x:c>
      <x:c r="B707" s="2" t="str">
        <x:v>郑泰</x:v>
      </x:c>
      <x:c r="C707" s="2" t="str">
        <x:v>鄭泰</x:v>
      </x:c>
      <x:c r="D707" s="2" t="str"/>
      <x:c r="E707" s="13" t="n">
        <x:v>154</x:v>
      </x:c>
      <x:c r="F707" s="13" t="n">
        <x:v>184</x:v>
      </x:c>
      <x:c r="G707" s="13" t="n">
        <x:v>194</x:v>
      </x:c>
      <x:c r="H707" s="2" t="str">
        <x:f>IF(OR($E$4="",NOT(ISNUMBER($E$4)),$E$4&lt;1,$E$4&gt;400),"参考年待填",IF(OR(E707="",F707="",G707=""),"年代待核",IF($E$4&lt;E707,"未出生",IF($E$4&lt;F707,"未登场",IF($E$4&gt;G707,"已过卒年",IF($E$4=G707,"卒年边界待核","年表可登场"))))))</x:f>
        <x:v>已过卒年</x:v>
      </x:c>
      <x:c r="I707" s="12"/>
      <x:c r="J707" s="2" t="str">
        <x:v>SAN14游戏设定</x:v>
      </x:c>
      <x:c r="K707" s="2" t="str"/>
      <x:c r="L707" s="2" t="str">
        <x:v>鄭泰</x:v>
      </x:c>
      <x:c r="M707" s="2" t="str">
        <x:v>san14-candidate-0699</x:v>
      </x:c>
      <x:c r="N707" s="2" t="str">
        <x:v>鄭泰</x:v>
      </x:c>
      <x:c r="O707" s="2" t="str">
        <x:v>テイタイ</x:v>
      </x:c>
    </x:row>
    <x:row r="708" ht="23" customHeight="1">
      <x:c r="A708" s="13" t="n">
        <x:v>700</x:v>
      </x:c>
      <x:c r="B708" s="2" t="str">
        <x:v>郑胄</x:v>
      </x:c>
      <x:c r="C708" s="2" t="str">
        <x:v>鄭冑</x:v>
      </x:c>
      <x:c r="D708" s="2" t="str"/>
      <x:c r="E708" s="13" t="n">
        <x:v>201</x:v>
      </x:c>
      <x:c r="F708" s="13" t="n">
        <x:v>220</x:v>
      </x:c>
      <x:c r="G708" s="13" t="n">
        <x:v>267</x:v>
      </x:c>
      <x:c r="H708" s="2" t="str">
        <x:f>IF(OR($E$4="",NOT(ISNUMBER($E$4)),$E$4&lt;1,$E$4&gt;400),"参考年待填",IF(OR(E708="",F708="",G708=""),"年代待核",IF($E$4&lt;E708,"未出生",IF($E$4&lt;F708,"未登场",IF($E$4&gt;G708,"已过卒年",IF($E$4=G708,"卒年边界待核","年表可登场"))))))</x:f>
        <x:v>年表可登场</x:v>
      </x:c>
      <x:c r="I708" s="12"/>
      <x:c r="J708" s="2" t="str">
        <x:v>SAN14游戏设定</x:v>
      </x:c>
      <x:c r="K708" s="2" t="str"/>
      <x:c r="L708" s="2" t="str">
        <x:v>鄭冑</x:v>
      </x:c>
      <x:c r="M708" s="2" t="str">
        <x:v>san14-candidate-0700</x:v>
      </x:c>
      <x:c r="N708" s="2" t="str">
        <x:v>鄭冑</x:v>
      </x:c>
      <x:c r="O708" s="2" t="str">
        <x:v>テイチュウ</x:v>
      </x:c>
    </x:row>
    <x:row r="709" ht="23" customHeight="1">
      <x:c r="A709" s="13" t="n">
        <x:v>701</x:v>
      </x:c>
      <x:c r="B709" s="2" t="str">
        <x:v>郑度</x:v>
      </x:c>
      <x:c r="C709" s="2" t="str">
        <x:v>鄭度</x:v>
      </x:c>
      <x:c r="D709" s="2" t="str"/>
      <x:c r="E709" s="13" t="n">
        <x:v>168</x:v>
      </x:c>
      <x:c r="F709" s="13" t="n">
        <x:v>192</x:v>
      </x:c>
      <x:c r="G709" s="13" t="n">
        <x:v>215</x:v>
      </x:c>
      <x:c r="H709" s="2" t="str">
        <x:f>IF(OR($E$4="",NOT(ISNUMBER($E$4)),$E$4&lt;1,$E$4&gt;400),"参考年待填",IF(OR(E709="",F709="",G709=""),"年代待核",IF($E$4&lt;E709,"未出生",IF($E$4&lt;F709,"未登场",IF($E$4&gt;G709,"已过卒年",IF($E$4=G709,"卒年边界待核","年表可登场"))))))</x:f>
        <x:v>已过卒年</x:v>
      </x:c>
      <x:c r="I709" s="12"/>
      <x:c r="J709" s="2" t="str">
        <x:v>SAN14游戏设定</x:v>
      </x:c>
      <x:c r="K709" s="2" t="str"/>
      <x:c r="L709" s="2" t="str">
        <x:v>鄭度</x:v>
      </x:c>
      <x:c r="M709" s="2" t="str">
        <x:v>san14-candidate-0701</x:v>
      </x:c>
      <x:c r="N709" s="2" t="str">
        <x:v>鄭度</x:v>
      </x:c>
      <x:c r="O709" s="2" t="str">
        <x:v>テイド</x:v>
      </x:c>
    </x:row>
    <x:row r="710" ht="23" customHeight="1">
      <x:c r="A710" s="13" t="n">
        <x:v>702</x:v>
      </x:c>
      <x:c r="B710" s="2" t="str">
        <x:v>丁斐</x:v>
      </x:c>
      <x:c r="C710" s="2" t="str">
        <x:v>丁斐</x:v>
      </x:c>
      <x:c r="D710" s="2" t="str"/>
      <x:c r="E710" s="13" t="n">
        <x:v>167</x:v>
      </x:c>
      <x:c r="F710" s="13" t="n">
        <x:v>189</x:v>
      </x:c>
      <x:c r="G710" s="13" t="n">
        <x:v>219</x:v>
      </x:c>
      <x:c r="H710" s="2" t="str">
        <x:f>IF(OR($E$4="",NOT(ISNUMBER($E$4)),$E$4&lt;1,$E$4&gt;400),"参考年待填",IF(OR(E710="",F710="",G710=""),"年代待核",IF($E$4&lt;E710,"未出生",IF($E$4&lt;F710,"未登场",IF($E$4&gt;G710,"已过卒年",IF($E$4=G710,"卒年边界待核","年表可登场"))))))</x:f>
        <x:v>已过卒年</x:v>
      </x:c>
      <x:c r="I710" s="12"/>
      <x:c r="J710" s="2" t="str">
        <x:v>SAN14游戏设定</x:v>
      </x:c>
      <x:c r="K710" s="2" t="str"/>
      <x:c r="L710" s="2" t="str">
        <x:v>丁斐</x:v>
      </x:c>
      <x:c r="M710" s="2" t="str">
        <x:v>san14-candidate-0702</x:v>
      </x:c>
      <x:c r="N710" s="2" t="str">
        <x:v>丁斐</x:v>
      </x:c>
      <x:c r="O710" s="2" t="str">
        <x:v>テイヒ</x:v>
      </x:c>
    </x:row>
    <x:row r="711" ht="23" customHeight="1">
      <x:c r="A711" s="13" t="n">
        <x:v>703</x:v>
      </x:c>
      <x:c r="B711" s="2" t="str">
        <x:v>程普</x:v>
      </x:c>
      <x:c r="C711" s="2" t="str">
        <x:v>程普</x:v>
      </x:c>
      <x:c r="D711" s="2" t="str"/>
      <x:c r="E711" s="13" t="n">
        <x:v>151</x:v>
      </x:c>
      <x:c r="F711" s="13" t="n">
        <x:v>184</x:v>
      </x:c>
      <x:c r="G711" s="13" t="n">
        <x:v>216</x:v>
      </x:c>
      <x:c r="H711" s="2" t="str">
        <x:f>IF(OR($E$4="",NOT(ISNUMBER($E$4)),$E$4&lt;1,$E$4&gt;400),"参考年待填",IF(OR(E711="",F711="",G711=""),"年代待核",IF($E$4&lt;E711,"未出生",IF($E$4&lt;F711,"未登场",IF($E$4&gt;G711,"已过卒年",IF($E$4=G711,"卒年边界待核","年表可登场"))))))</x:f>
        <x:v>已过卒年</x:v>
      </x:c>
      <x:c r="I711" s="12"/>
      <x:c r="J711" s="2" t="str">
        <x:v>SAN14游戏设定</x:v>
      </x:c>
      <x:c r="K711" s="2" t="str"/>
      <x:c r="L711" s="2" t="str">
        <x:v>程普</x:v>
      </x:c>
      <x:c r="M711" s="2" t="str">
        <x:v>san14-candidate-0703</x:v>
      </x:c>
      <x:c r="N711" s="2" t="str">
        <x:v>程普</x:v>
      </x:c>
      <x:c r="O711" s="2" t="str">
        <x:v>テイフ</x:v>
      </x:c>
    </x:row>
    <x:row r="712" ht="23" customHeight="1">
      <x:c r="A712" s="13" t="n">
        <x:v>704</x:v>
      </x:c>
      <x:c r="B712" s="2" t="str">
        <x:v>程武</x:v>
      </x:c>
      <x:c r="C712" s="2" t="str">
        <x:v>程武</x:v>
      </x:c>
      <x:c r="D712" s="2" t="str"/>
      <x:c r="E712" s="13" t="n">
        <x:v>201</x:v>
      </x:c>
      <x:c r="F712" s="13" t="n">
        <x:v>215</x:v>
      </x:c>
      <x:c r="G712" s="13" t="n">
        <x:v>265</x:v>
      </x:c>
      <x:c r="H712" s="2" t="str">
        <x:f>IF(OR($E$4="",NOT(ISNUMBER($E$4)),$E$4&lt;1,$E$4&gt;400),"参考年待填",IF(OR(E712="",F712="",G712=""),"年代待核",IF($E$4&lt;E712,"未出生",IF($E$4&lt;F712,"未登场",IF($E$4&gt;G712,"已过卒年",IF($E$4=G712,"卒年边界待核","年表可登场"))))))</x:f>
        <x:v>年表可登场</x:v>
      </x:c>
      <x:c r="I712" s="12"/>
      <x:c r="J712" s="2" t="str">
        <x:v>SAN14游戏设定</x:v>
      </x:c>
      <x:c r="K712" s="2" t="str"/>
      <x:c r="L712" s="2" t="str">
        <x:v>程武</x:v>
      </x:c>
      <x:c r="M712" s="2" t="str">
        <x:v>san14-candidate-0704</x:v>
      </x:c>
      <x:c r="N712" s="2" t="str">
        <x:v>程武</x:v>
      </x:c>
      <x:c r="O712" s="2" t="str">
        <x:v>テイブ</x:v>
      </x:c>
    </x:row>
    <x:row r="713" ht="23" customHeight="1">
      <x:c r="A713" s="13" t="n">
        <x:v>705</x:v>
      </x:c>
      <x:c r="B713" s="2" t="str">
        <x:v>程秉</x:v>
      </x:c>
      <x:c r="C713" s="2" t="str">
        <x:v>程秉</x:v>
      </x:c>
      <x:c r="D713" s="2" t="str"/>
      <x:c r="E713" s="13" t="n">
        <x:v>172</x:v>
      </x:c>
      <x:c r="F713" s="13" t="n">
        <x:v>191</x:v>
      </x:c>
      <x:c r="G713" s="13" t="n">
        <x:v>226</x:v>
      </x:c>
      <x:c r="H713" s="2" t="str">
        <x:f>IF(OR($E$4="",NOT(ISNUMBER($E$4)),$E$4&lt;1,$E$4&gt;400),"参考年待填",IF(OR(E713="",F713="",G713=""),"年代待核",IF($E$4&lt;E713,"未出生",IF($E$4&lt;F713,"未登场",IF($E$4&gt;G713,"已过卒年",IF($E$4=G713,"卒年边界待核","年表可登场"))))))</x:f>
        <x:v>已过卒年</x:v>
      </x:c>
      <x:c r="I713" s="12"/>
      <x:c r="J713" s="2" t="str">
        <x:v>SAN14游戏设定</x:v>
      </x:c>
      <x:c r="K713" s="2" t="str"/>
      <x:c r="L713" s="2" t="str">
        <x:v>程秉</x:v>
      </x:c>
      <x:c r="M713" s="2" t="str">
        <x:v>san14-candidate-0705</x:v>
      </x:c>
      <x:c r="N713" s="2" t="str">
        <x:v>程秉</x:v>
      </x:c>
      <x:c r="O713" s="2" t="str">
        <x:v>テイヘイ</x:v>
      </x:c>
    </x:row>
    <x:row r="714" ht="23" customHeight="1">
      <x:c r="A714" s="13" t="n">
        <x:v>706</x:v>
      </x:c>
      <x:c r="B714" s="2" t="str">
        <x:v>丁奉</x:v>
      </x:c>
      <x:c r="C714" s="2" t="str">
        <x:v>丁奉</x:v>
      </x:c>
      <x:c r="D714" s="2" t="str"/>
      <x:c r="E714" s="13" t="n">
        <x:v>190</x:v>
      </x:c>
      <x:c r="F714" s="13" t="n">
        <x:v>207</x:v>
      </x:c>
      <x:c r="G714" s="13" t="n">
        <x:v>271</x:v>
      </x:c>
      <x:c r="H714" s="2" t="str">
        <x:f>IF(OR($E$4="",NOT(ISNUMBER($E$4)),$E$4&lt;1,$E$4&gt;400),"参考年待填",IF(OR(E714="",F714="",G714=""),"年代待核",IF($E$4&lt;E714,"未出生",IF($E$4&lt;F714,"未登场",IF($E$4&gt;G714,"已过卒年",IF($E$4=G714,"卒年边界待核","年表可登场"))))))</x:f>
        <x:v>年表可登场</x:v>
      </x:c>
      <x:c r="I714" s="12"/>
      <x:c r="J714" s="2" t="str">
        <x:v>SAN14游戏设定</x:v>
      </x:c>
      <x:c r="K714" s="2" t="str"/>
      <x:c r="L714" s="2" t="str">
        <x:v>丁奉</x:v>
      </x:c>
      <x:c r="M714" s="2" t="str">
        <x:v>san14-candidate-0706</x:v>
      </x:c>
      <x:c r="N714" s="2" t="str">
        <x:v>丁奉</x:v>
      </x:c>
      <x:c r="O714" s="2" t="str">
        <x:v>テイホウ</x:v>
      </x:c>
    </x:row>
    <x:row r="715" ht="23" customHeight="1">
      <x:c r="A715" s="13" t="n">
        <x:v>707</x:v>
      </x:c>
      <x:c r="B715" s="2" t="str">
        <x:v>丁封</x:v>
      </x:c>
      <x:c r="C715" s="2" t="str">
        <x:v>丁封</x:v>
      </x:c>
      <x:c r="D715" s="2" t="str"/>
      <x:c r="E715" s="13" t="n">
        <x:v>198</x:v>
      </x:c>
      <x:c r="F715" s="13" t="n">
        <x:v>217</x:v>
      </x:c>
      <x:c r="G715" s="13" t="n">
        <x:v>266</x:v>
      </x:c>
      <x:c r="H715" s="2" t="str">
        <x:f>IF(OR($E$4="",NOT(ISNUMBER($E$4)),$E$4&lt;1,$E$4&gt;400),"参考年待填",IF(OR(E715="",F715="",G715=""),"年代待核",IF($E$4&lt;E715,"未出生",IF($E$4&lt;F715,"未登场",IF($E$4&gt;G715,"已过卒年",IF($E$4=G715,"卒年边界待核","年表可登场"))))))</x:f>
        <x:v>年表可登场</x:v>
      </x:c>
      <x:c r="I715" s="12"/>
      <x:c r="J715" s="2" t="str">
        <x:v>SAN14游戏设定</x:v>
      </x:c>
      <x:c r="K715" s="2" t="str"/>
      <x:c r="L715" s="2" t="str">
        <x:v>丁封</x:v>
      </x:c>
      <x:c r="M715" s="2" t="str">
        <x:v>san14-candidate-0707</x:v>
      </x:c>
      <x:c r="N715" s="2" t="str">
        <x:v>丁封</x:v>
      </x:c>
      <x:c r="O715" s="2" t="str">
        <x:v>テイホウ</x:v>
      </x:c>
    </x:row>
    <x:row r="716" ht="23" customHeight="1">
      <x:c r="A716" s="13" t="n">
        <x:v>708</x:v>
      </x:c>
      <x:c r="B716" s="2" t="str">
        <x:v>彻里吉</x:v>
      </x:c>
      <x:c r="C716" s="2" t="str">
        <x:v>徹里吉</x:v>
      </x:c>
      <x:c r="D716" s="2" t="str"/>
      <x:c r="E716" s="13" t="n">
        <x:v>179</x:v>
      </x:c>
      <x:c r="F716" s="13" t="n">
        <x:v>210</x:v>
      </x:c>
      <x:c r="G716" s="13" t="n">
        <x:v>259</x:v>
      </x:c>
      <x:c r="H716" s="2" t="str">
        <x:f>IF(OR($E$4="",NOT(ISNUMBER($E$4)),$E$4&lt;1,$E$4&gt;400),"参考年待填",IF(OR(E716="",F716="",G716=""),"年代待核",IF($E$4&lt;E716,"未出生",IF($E$4&lt;F716,"未登场",IF($E$4&gt;G716,"已过卒年",IF($E$4=G716,"卒年边界待核","年表可登场"))))))</x:f>
        <x:v>年表可登场</x:v>
      </x:c>
      <x:c r="I716" s="12"/>
      <x:c r="J716" s="2" t="str">
        <x:v>SAN14游戏设定</x:v>
      </x:c>
      <x:c r="K716" s="2" t="str"/>
      <x:c r="L716" s="2" t="str">
        <x:v>徹里吉</x:v>
      </x:c>
      <x:c r="M716" s="2" t="str">
        <x:v>san14-candidate-0708</x:v>
      </x:c>
      <x:c r="N716" s="2" t="str">
        <x:v>徹里吉</x:v>
      </x:c>
      <x:c r="O716" s="2" t="str">
        <x:v>テツリキツ</x:v>
      </x:c>
    </x:row>
    <x:row r="717" ht="23" customHeight="1">
      <x:c r="A717" s="13" t="n">
        <x:v>709</x:v>
      </x:c>
      <x:c r="B717" s="2" t="str">
        <x:v>典韦</x:v>
      </x:c>
      <x:c r="C717" s="2" t="str">
        <x:v>典韋</x:v>
      </x:c>
      <x:c r="D717" s="2" t="str"/>
      <x:c r="E717" s="13" t="n">
        <x:v>160</x:v>
      </x:c>
      <x:c r="F717" s="13" t="n">
        <x:v>184</x:v>
      </x:c>
      <x:c r="G717" s="13" t="n">
        <x:v>197</x:v>
      </x:c>
      <x:c r="H717" s="2" t="str">
        <x:f>IF(OR($E$4="",NOT(ISNUMBER($E$4)),$E$4&lt;1,$E$4&gt;400),"参考年待填",IF(OR(E717="",F717="",G717=""),"年代待核",IF($E$4&lt;E717,"未出生",IF($E$4&lt;F717,"未登场",IF($E$4&gt;G717,"已过卒年",IF($E$4=G717,"卒年边界待核","年表可登场"))))))</x:f>
        <x:v>已过卒年</x:v>
      </x:c>
      <x:c r="I717" s="12"/>
      <x:c r="J717" s="2" t="str">
        <x:v>SAN14游戏设定</x:v>
      </x:c>
      <x:c r="K717" s="2" t="str"/>
      <x:c r="L717" s="2" t="str">
        <x:v>典韋</x:v>
      </x:c>
      <x:c r="M717" s="2" t="str">
        <x:v>san14-candidate-0709</x:v>
      </x:c>
      <x:c r="N717" s="2" t="str">
        <x:v>典韋</x:v>
      </x:c>
      <x:c r="O717" s="2" t="str">
        <x:v>テンイ</x:v>
      </x:c>
    </x:row>
    <x:row r="718" ht="23" customHeight="1">
      <x:c r="A718" s="13" t="n">
        <x:v>710</x:v>
      </x:c>
      <x:c r="B718" s="2" t="str">
        <x:v>田楷</x:v>
      </x:c>
      <x:c r="C718" s="2" t="str">
        <x:v>田楷</x:v>
      </x:c>
      <x:c r="D718" s="2" t="str"/>
      <x:c r="E718" s="13" t="n">
        <x:v>154</x:v>
      </x:c>
      <x:c r="F718" s="13" t="n">
        <x:v>184</x:v>
      </x:c>
      <x:c r="G718" s="13" t="n">
        <x:v>199</x:v>
      </x:c>
      <x:c r="H718" s="2" t="str">
        <x:f>IF(OR($E$4="",NOT(ISNUMBER($E$4)),$E$4&lt;1,$E$4&gt;400),"参考年待填",IF(OR(E718="",F718="",G718=""),"年代待核",IF($E$4&lt;E718,"未出生",IF($E$4&lt;F718,"未登场",IF($E$4&gt;G718,"已过卒年",IF($E$4=G718,"卒年边界待核","年表可登场"))))))</x:f>
        <x:v>已过卒年</x:v>
      </x:c>
      <x:c r="I718" s="12"/>
      <x:c r="J718" s="2" t="str">
        <x:v>SAN14游戏设定</x:v>
      </x:c>
      <x:c r="K718" s="2" t="str"/>
      <x:c r="L718" s="2" t="str">
        <x:v>田楷</x:v>
      </x:c>
      <x:c r="M718" s="2" t="str">
        <x:v>san14-candidate-0710</x:v>
      </x:c>
      <x:c r="N718" s="2" t="str">
        <x:v>田楷</x:v>
      </x:c>
      <x:c r="O718" s="2" t="str">
        <x:v>デンカイ</x:v>
      </x:c>
    </x:row>
    <x:row r="719" ht="23" customHeight="1">
      <x:c r="A719" s="13" t="n">
        <x:v>711</x:v>
      </x:c>
      <x:c r="B719" s="2" t="str">
        <x:v>田续</x:v>
      </x:c>
      <x:c r="C719" s="2" t="str">
        <x:v>田續</x:v>
      </x:c>
      <x:c r="D719" s="2" t="str"/>
      <x:c r="E719" s="13" t="n">
        <x:v>218</x:v>
      </x:c>
      <x:c r="F719" s="13" t="n">
        <x:v>237</x:v>
      </x:c>
      <x:c r="G719" s="13" t="n">
        <x:v>272</x:v>
      </x:c>
      <x:c r="H719" s="2" t="str">
        <x:f>IF(OR($E$4="",NOT(ISNUMBER($E$4)),$E$4&lt;1,$E$4&gt;400),"参考年待填",IF(OR(E719="",F719="",G719=""),"年代待核",IF($E$4&lt;E719,"未出生",IF($E$4&lt;F719,"未登场",IF($E$4&gt;G719,"已过卒年",IF($E$4=G719,"卒年边界待核","年表可登场"))))))</x:f>
        <x:v>未登场</x:v>
      </x:c>
      <x:c r="I719" s="12"/>
      <x:c r="J719" s="2" t="str">
        <x:v>SAN14游戏设定</x:v>
      </x:c>
      <x:c r="K719" s="2" t="str"/>
      <x:c r="L719" s="2" t="str">
        <x:v>田續</x:v>
      </x:c>
      <x:c r="M719" s="2" t="str">
        <x:v>san14-candidate-0711</x:v>
      </x:c>
      <x:c r="N719" s="2" t="str">
        <x:v>田続</x:v>
      </x:c>
      <x:c r="O719" s="2" t="str">
        <x:v>デンショク</x:v>
      </x:c>
    </x:row>
    <x:row r="720" ht="23" customHeight="1">
      <x:c r="A720" s="13" t="n">
        <x:v>712</x:v>
      </x:c>
      <x:c r="B720" s="2" t="str">
        <x:v>田畴</x:v>
      </x:c>
      <x:c r="C720" s="2" t="str">
        <x:v>田疇</x:v>
      </x:c>
      <x:c r="D720" s="2" t="str"/>
      <x:c r="E720" s="13" t="n">
        <x:v>169</x:v>
      </x:c>
      <x:c r="F720" s="13" t="n">
        <x:v>188</x:v>
      </x:c>
      <x:c r="G720" s="13" t="n">
        <x:v>214</x:v>
      </x:c>
      <x:c r="H720" s="2" t="str">
        <x:f>IF(OR($E$4="",NOT(ISNUMBER($E$4)),$E$4&lt;1,$E$4&gt;400),"参考年待填",IF(OR(E720="",F720="",G720=""),"年代待核",IF($E$4&lt;E720,"未出生",IF($E$4&lt;F720,"未登场",IF($E$4&gt;G720,"已过卒年",IF($E$4=G720,"卒年边界待核","年表可登场"))))))</x:f>
        <x:v>已过卒年</x:v>
      </x:c>
      <x:c r="I720" s="12"/>
      <x:c r="J720" s="2" t="str">
        <x:v>SAN14游戏设定</x:v>
      </x:c>
      <x:c r="K720" s="2" t="str"/>
      <x:c r="L720" s="2" t="str">
        <x:v>田疇</x:v>
      </x:c>
      <x:c r="M720" s="2" t="str">
        <x:v>san14-candidate-0712</x:v>
      </x:c>
      <x:c r="N720" s="2" t="str">
        <x:v>田疇</x:v>
      </x:c>
      <x:c r="O720" s="2" t="str">
        <x:v>デンチュウ</x:v>
      </x:c>
    </x:row>
    <x:row r="721" ht="23" customHeight="1">
      <x:c r="A721" s="13" t="n">
        <x:v>713</x:v>
      </x:c>
      <x:c r="B721" s="2" t="str">
        <x:v>田丰</x:v>
      </x:c>
      <x:c r="C721" s="2" t="str">
        <x:v>田豐</x:v>
      </x:c>
      <x:c r="D721" s="2" t="str"/>
      <x:c r="E721" s="13" t="n">
        <x:v>162</x:v>
      </x:c>
      <x:c r="F721" s="13" t="n">
        <x:v>184</x:v>
      </x:c>
      <x:c r="G721" s="13" t="n">
        <x:v>200</x:v>
      </x:c>
      <x:c r="H721" s="2" t="str">
        <x:f>IF(OR($E$4="",NOT(ISNUMBER($E$4)),$E$4&lt;1,$E$4&gt;400),"参考年待填",IF(OR(E721="",F721="",G721=""),"年代待核",IF($E$4&lt;E721,"未出生",IF($E$4&lt;F721,"未登场",IF($E$4&gt;G721,"已过卒年",IF($E$4=G721,"卒年边界待核","年表可登场"))))))</x:f>
        <x:v>已过卒年</x:v>
      </x:c>
      <x:c r="I721" s="12"/>
      <x:c r="J721" s="2" t="str">
        <x:v>SAN14游戏设定</x:v>
      </x:c>
      <x:c r="K721" s="2" t="str"/>
      <x:c r="L721" s="2" t="str">
        <x:v>田豐</x:v>
      </x:c>
      <x:c r="M721" s="2" t="str">
        <x:v>san14-candidate-0713</x:v>
      </x:c>
      <x:c r="N721" s="2" t="str">
        <x:v>田豊</x:v>
      </x:c>
      <x:c r="O721" s="2" t="str">
        <x:v>デンポウ</x:v>
      </x:c>
    </x:row>
    <x:row r="722" ht="23" customHeight="1">
      <x:c r="A722" s="13" t="n">
        <x:v>714</x:v>
      </x:c>
      <x:c r="B722" s="2" t="str">
        <x:v>典满</x:v>
      </x:c>
      <x:c r="C722" s="2" t="str">
        <x:v>典滿</x:v>
      </x:c>
      <x:c r="D722" s="2" t="str"/>
      <x:c r="E722" s="13" t="n">
        <x:v>181</x:v>
      </x:c>
      <x:c r="F722" s="13" t="n">
        <x:v>195</x:v>
      </x:c>
      <x:c r="G722" s="13" t="n">
        <x:v>235</x:v>
      </x:c>
      <x:c r="H722" s="2" t="str">
        <x:f>IF(OR($E$4="",NOT(ISNUMBER($E$4)),$E$4&lt;1,$E$4&gt;400),"参考年待填",IF(OR(E722="",F722="",G722=""),"年代待核",IF($E$4&lt;E722,"未出生",IF($E$4&lt;F722,"未登场",IF($E$4&gt;G722,"已过卒年",IF($E$4=G722,"卒年边界待核","年表可登场"))))))</x:f>
        <x:v>年表可登场</x:v>
      </x:c>
      <x:c r="I722" s="12"/>
      <x:c r="J722" s="2" t="str">
        <x:v>SAN14游戏设定</x:v>
      </x:c>
      <x:c r="K722" s="2" t="str"/>
      <x:c r="L722" s="2" t="str">
        <x:v>典滿</x:v>
      </x:c>
      <x:c r="M722" s="2" t="str">
        <x:v>san14-candidate-0714</x:v>
      </x:c>
      <x:c r="N722" s="2" t="str">
        <x:v>典満</x:v>
      </x:c>
      <x:c r="O722" s="2" t="str">
        <x:v>テンマン</x:v>
      </x:c>
    </x:row>
    <x:row r="723" ht="23" customHeight="1">
      <x:c r="A723" s="13" t="n">
        <x:v>715</x:v>
      </x:c>
      <x:c r="B723" s="2" t="str">
        <x:v>田豫</x:v>
      </x:c>
      <x:c r="C723" s="2" t="str">
        <x:v>田豫</x:v>
      </x:c>
      <x:c r="D723" s="2" t="str"/>
      <x:c r="E723" s="13" t="n">
        <x:v>171</x:v>
      </x:c>
      <x:c r="F723" s="13" t="n">
        <x:v>189</x:v>
      </x:c>
      <x:c r="G723" s="13" t="n">
        <x:v>252</x:v>
      </x:c>
      <x:c r="H723" s="2" t="str">
        <x:f>IF(OR($E$4="",NOT(ISNUMBER($E$4)),$E$4&lt;1,$E$4&gt;400),"参考年待填",IF(OR(E723="",F723="",G723=""),"年代待核",IF($E$4&lt;E723,"未出生",IF($E$4&lt;F723,"未登场",IF($E$4&gt;G723,"已过卒年",IF($E$4=G723,"卒年边界待核","年表可登场"))))))</x:f>
        <x:v>年表可登场</x:v>
      </x:c>
      <x:c r="I723" s="12"/>
      <x:c r="J723" s="2" t="str">
        <x:v>SAN14游戏设定</x:v>
      </x:c>
      <x:c r="K723" s="2" t="str"/>
      <x:c r="L723" s="2" t="str">
        <x:v>田豫</x:v>
      </x:c>
      <x:c r="M723" s="2" t="str">
        <x:v>san14-candidate-0715</x:v>
      </x:c>
      <x:c r="N723" s="2" t="str">
        <x:v>田豫</x:v>
      </x:c>
      <x:c r="O723" s="2" t="str">
        <x:v>デンヨ</x:v>
      </x:c>
    </x:row>
    <x:row r="724" ht="23" customHeight="1">
      <x:c r="A724" s="13" t="n">
        <x:v>716</x:v>
      </x:c>
      <x:c r="B724" s="2" t="str">
        <x:v>土安</x:v>
      </x:c>
      <x:c r="C724" s="2" t="str">
        <x:v>土安</x:v>
      </x:c>
      <x:c r="D724" s="2" t="str"/>
      <x:c r="E724" s="13" t="n">
        <x:v>191</x:v>
      </x:c>
      <x:c r="F724" s="13" t="n">
        <x:v>217</x:v>
      </x:c>
      <x:c r="G724" s="13" t="n">
        <x:v>225</x:v>
      </x:c>
      <x:c r="H724" s="2" t="str">
        <x:f>IF(OR($E$4="",NOT(ISNUMBER($E$4)),$E$4&lt;1,$E$4&gt;400),"参考年待填",IF(OR(E724="",F724="",G724=""),"年代待核",IF($E$4&lt;E724,"未出生",IF($E$4&lt;F724,"未登场",IF($E$4&gt;G724,"已过卒年",IF($E$4=G724,"卒年边界待核","年表可登场"))))))</x:f>
        <x:v>已过卒年</x:v>
      </x:c>
      <x:c r="I724" s="12"/>
      <x:c r="J724" s="2" t="str">
        <x:v>SAN14游戏设定</x:v>
      </x:c>
      <x:c r="K724" s="2" t="str"/>
      <x:c r="L724" s="2" t="str">
        <x:v>土安</x:v>
      </x:c>
      <x:c r="M724" s="2" t="str">
        <x:v>san14-candidate-0716</x:v>
      </x:c>
      <x:c r="N724" s="2" t="str">
        <x:v>土安</x:v>
      </x:c>
      <x:c r="O724" s="2" t="str">
        <x:v>ドアン</x:v>
      </x:c>
    </x:row>
    <x:row r="725" ht="23" customHeight="1">
      <x:c r="A725" s="13" t="n">
        <x:v>717</x:v>
      </x:c>
      <x:c r="B725" s="2" t="str">
        <x:v>滕胤</x:v>
      </x:c>
      <x:c r="C725" s="2" t="str">
        <x:v>滕胤</x:v>
      </x:c>
      <x:c r="D725" s="2" t="str"/>
      <x:c r="E725" s="13" t="n">
        <x:v>194</x:v>
      </x:c>
      <x:c r="F725" s="13" t="n">
        <x:v>221</x:v>
      </x:c>
      <x:c r="G725" s="13" t="n">
        <x:v>256</x:v>
      </x:c>
      <x:c r="H725" s="2" t="str">
        <x:f>IF(OR($E$4="",NOT(ISNUMBER($E$4)),$E$4&lt;1,$E$4&gt;400),"参考年待填",IF(OR(E725="",F725="",G725=""),"年代待核",IF($E$4&lt;E725,"未出生",IF($E$4&lt;F725,"未登场",IF($E$4&gt;G725,"已过卒年",IF($E$4=G725,"卒年边界待核","年表可登场"))))))</x:f>
        <x:v>年表可登场</x:v>
      </x:c>
      <x:c r="I725" s="12"/>
      <x:c r="J725" s="2" t="str">
        <x:v>SAN14游戏设定</x:v>
      </x:c>
      <x:c r="K725" s="2" t="str"/>
      <x:c r="L725" s="2" t="str">
        <x:v>滕胤</x:v>
      </x:c>
      <x:c r="M725" s="2" t="str">
        <x:v>san14-candidate-0717</x:v>
      </x:c>
      <x:c r="N725" s="2" t="str">
        <x:v>滕胤</x:v>
      </x:c>
      <x:c r="O725" s="2" t="str">
        <x:v>トウイン</x:v>
      </x:c>
    </x:row>
    <x:row r="726" ht="23" customHeight="1">
      <x:c r="A726" s="13" t="n">
        <x:v>718</x:v>
      </x:c>
      <x:c r="B726" s="2" t="str">
        <x:v>董允</x:v>
      </x:c>
      <x:c r="C726" s="2" t="str">
        <x:v>董允</x:v>
      </x:c>
      <x:c r="D726" s="2" t="str"/>
      <x:c r="E726" s="13" t="n">
        <x:v>192</x:v>
      </x:c>
      <x:c r="F726" s="13" t="n">
        <x:v>214</x:v>
      </x:c>
      <x:c r="G726" s="13" t="n">
        <x:v>246</x:v>
      </x:c>
      <x:c r="H726" s="2" t="str">
        <x:f>IF(OR($E$4="",NOT(ISNUMBER($E$4)),$E$4&lt;1,$E$4&gt;400),"参考年待填",IF(OR(E726="",F726="",G726=""),"年代待核",IF($E$4&lt;E726,"未出生",IF($E$4&lt;F726,"未登场",IF($E$4&gt;G726,"已过卒年",IF($E$4=G726,"卒年边界待核","年表可登场"))))))</x:f>
        <x:v>年表可登场</x:v>
      </x:c>
      <x:c r="I726" s="12"/>
      <x:c r="J726" s="2" t="str">
        <x:v>SAN14游戏设定</x:v>
      </x:c>
      <x:c r="K726" s="2" t="str"/>
      <x:c r="L726" s="2" t="str">
        <x:v>董允</x:v>
      </x:c>
      <x:c r="M726" s="2" t="str">
        <x:v>san14-candidate-0718</x:v>
      </x:c>
      <x:c r="N726" s="2" t="str">
        <x:v>董允</x:v>
      </x:c>
      <x:c r="O726" s="2" t="str">
        <x:v>トウイン</x:v>
      </x:c>
    </x:row>
    <x:row r="727" ht="23" customHeight="1">
      <x:c r="A727" s="13" t="n">
        <x:v>719</x:v>
      </x:c>
      <x:c r="B727" s="2" t="str">
        <x:v>董和</x:v>
      </x:c>
      <x:c r="C727" s="2" t="str">
        <x:v>董和</x:v>
      </x:c>
      <x:c r="D727" s="2" t="str"/>
      <x:c r="E727" s="13" t="n">
        <x:v>168</x:v>
      </x:c>
      <x:c r="F727" s="13" t="n">
        <x:v>187</x:v>
      </x:c>
      <x:c r="G727" s="13" t="n">
        <x:v>219</x:v>
      </x:c>
      <x:c r="H727" s="2" t="str">
        <x:f>IF(OR($E$4="",NOT(ISNUMBER($E$4)),$E$4&lt;1,$E$4&gt;400),"参考年待填",IF(OR(E727="",F727="",G727=""),"年代待核",IF($E$4&lt;E727,"未出生",IF($E$4&lt;F727,"未登场",IF($E$4&gt;G727,"已过卒年",IF($E$4=G727,"卒年边界待核","年表可登场"))))))</x:f>
        <x:v>已过卒年</x:v>
      </x:c>
      <x:c r="I727" s="12"/>
      <x:c r="J727" s="2" t="str">
        <x:v>SAN14游戏设定</x:v>
      </x:c>
      <x:c r="K727" s="2" t="str"/>
      <x:c r="L727" s="2" t="str">
        <x:v>董和</x:v>
      </x:c>
      <x:c r="M727" s="2" t="str">
        <x:v>san14-candidate-0719</x:v>
      </x:c>
      <x:c r="N727" s="2" t="str">
        <x:v>董和</x:v>
      </x:c>
      <x:c r="O727" s="2" t="str">
        <x:v>トウカ</x:v>
      </x:c>
    </x:row>
    <x:row r="728" ht="23" customHeight="1">
      <x:c r="A728" s="13" t="n">
        <x:v>720</x:v>
      </x:c>
      <x:c r="B728" s="2" t="str">
        <x:v>邓艾</x:v>
      </x:c>
      <x:c r="C728" s="2" t="str">
        <x:v>鄧艾</x:v>
      </x:c>
      <x:c r="D728" s="2" t="str"/>
      <x:c r="E728" s="13" t="n">
        <x:v>197</x:v>
      </x:c>
      <x:c r="F728" s="13" t="n">
        <x:v>216</x:v>
      </x:c>
      <x:c r="G728" s="13" t="n">
        <x:v>264</x:v>
      </x:c>
      <x:c r="H728" s="2" t="str">
        <x:f>IF(OR($E$4="",NOT(ISNUMBER($E$4)),$E$4&lt;1,$E$4&gt;400),"参考年待填",IF(OR(E728="",F728="",G728=""),"年代待核",IF($E$4&lt;E728,"未出生",IF($E$4&lt;F728,"未登场",IF($E$4&gt;G728,"已过卒年",IF($E$4=G728,"卒年边界待核","年表可登场"))))))</x:f>
        <x:v>年表可登场</x:v>
      </x:c>
      <x:c r="I728" s="12"/>
      <x:c r="J728" s="2" t="str">
        <x:v>SAN14游戏设定</x:v>
      </x:c>
      <x:c r="K728" s="2" t="str"/>
      <x:c r="L728" s="2" t="str">
        <x:v>鄧艾</x:v>
      </x:c>
      <x:c r="M728" s="2" t="str">
        <x:v>san14-candidate-0720</x:v>
      </x:c>
      <x:c r="N728" s="2" t="str">
        <x:v>鄧艾</x:v>
      </x:c>
      <x:c r="O728" s="2" t="str">
        <x:v>トウガイ</x:v>
      </x:c>
    </x:row>
    <x:row r="729" ht="23" customHeight="1">
      <x:c r="A729" s="13" t="n">
        <x:v>721</x:v>
      </x:c>
      <x:c r="B729" s="2" t="str">
        <x:v>邓义</x:v>
      </x:c>
      <x:c r="C729" s="2" t="str">
        <x:v>鄧義</x:v>
      </x:c>
      <x:c r="D729" s="2" t="str"/>
      <x:c r="E729" s="13" t="n">
        <x:v>165</x:v>
      </x:c>
      <x:c r="F729" s="13" t="n">
        <x:v>189</x:v>
      </x:c>
      <x:c r="G729" s="13" t="n">
        <x:v>216</x:v>
      </x:c>
      <x:c r="H729" s="2" t="str">
        <x:f>IF(OR($E$4="",NOT(ISNUMBER($E$4)),$E$4&lt;1,$E$4&gt;400),"参考年待填",IF(OR(E729="",F729="",G729=""),"年代待核",IF($E$4&lt;E729,"未出生",IF($E$4&lt;F729,"未登场",IF($E$4&gt;G729,"已过卒年",IF($E$4=G729,"卒年边界待核","年表可登场"))))))</x:f>
        <x:v>已过卒年</x:v>
      </x:c>
      <x:c r="I729" s="12"/>
      <x:c r="J729" s="2" t="str">
        <x:v>SAN14游戏设定</x:v>
      </x:c>
      <x:c r="K729" s="2" t="str"/>
      <x:c r="L729" s="2" t="str">
        <x:v>鄧義</x:v>
      </x:c>
      <x:c r="M729" s="2" t="str">
        <x:v>san14-candidate-0721</x:v>
      </x:c>
      <x:c r="N729" s="2" t="str">
        <x:v>鄧義</x:v>
      </x:c>
      <x:c r="O729" s="2" t="str">
        <x:v>トウギ</x:v>
      </x:c>
    </x:row>
    <x:row r="730" ht="23" customHeight="1">
      <x:c r="A730" s="13" t="n">
        <x:v>722</x:v>
      </x:c>
      <x:c r="B730" s="2" t="str">
        <x:v>党均</x:v>
      </x:c>
      <x:c r="C730" s="2" t="str">
        <x:v>党均</x:v>
      </x:c>
      <x:c r="D730" s="2" t="str"/>
      <x:c r="E730" s="13" t="n">
        <x:v>229</x:v>
      </x:c>
      <x:c r="F730" s="13" t="n">
        <x:v>248</x:v>
      </x:c>
      <x:c r="G730" s="13" t="n">
        <x:v>264</x:v>
      </x:c>
      <x:c r="H730" s="2" t="str">
        <x:f>IF(OR($E$4="",NOT(ISNUMBER($E$4)),$E$4&lt;1,$E$4&gt;400),"参考年待填",IF(OR(E730="",F730="",G730=""),"年代待核",IF($E$4&lt;E730,"未出生",IF($E$4&lt;F730,"未登场",IF($E$4&gt;G730,"已过卒年",IF($E$4=G730,"卒年边界待核","年表可登场"))))))</x:f>
        <x:v>未登场</x:v>
      </x:c>
      <x:c r="I730" s="12"/>
      <x:c r="J730" s="2" t="str">
        <x:v>SAN14游戏设定</x:v>
      </x:c>
      <x:c r="K730" s="2" t="str"/>
      <x:c r="L730" s="2" t="str">
        <x:v>党均</x:v>
      </x:c>
      <x:c r="M730" s="2" t="str">
        <x:v>san14-candidate-0722</x:v>
      </x:c>
      <x:c r="N730" s="2" t="str">
        <x:v>党均</x:v>
      </x:c>
      <x:c r="O730" s="2" t="str">
        <x:v>トウキン</x:v>
      </x:c>
    </x:row>
    <x:row r="731" ht="23" customHeight="1">
      <x:c r="A731" s="13" t="n">
        <x:v>723</x:v>
      </x:c>
      <x:c r="B731" s="2" t="str">
        <x:v>董厥</x:v>
      </x:c>
      <x:c r="C731" s="2" t="str">
        <x:v>董厥</x:v>
      </x:c>
      <x:c r="D731" s="2" t="str"/>
      <x:c r="E731" s="13" t="n">
        <x:v>204</x:v>
      </x:c>
      <x:c r="F731" s="13" t="n">
        <x:v>223</x:v>
      </x:c>
      <x:c r="G731" s="13" t="n">
        <x:v>271</x:v>
      </x:c>
      <x:c r="H731" s="2" t="str">
        <x:f>IF(OR($E$4="",NOT(ISNUMBER($E$4)),$E$4&lt;1,$E$4&gt;400),"参考年待填",IF(OR(E731="",F731="",G731=""),"年代待核",IF($E$4&lt;E731,"未出生",IF($E$4&lt;F731,"未登场",IF($E$4&gt;G731,"已过卒年",IF($E$4=G731,"卒年边界待核","年表可登场"))))))</x:f>
        <x:v>年表可登场</x:v>
      </x:c>
      <x:c r="I731" s="12"/>
      <x:c r="J731" s="2" t="str">
        <x:v>SAN14游戏设定</x:v>
      </x:c>
      <x:c r="K731" s="2" t="str"/>
      <x:c r="L731" s="2" t="str">
        <x:v>董厥</x:v>
      </x:c>
      <x:c r="M731" s="2" t="str">
        <x:v>san14-candidate-0723</x:v>
      </x:c>
      <x:c r="N731" s="2" t="str">
        <x:v>董厥</x:v>
      </x:c>
      <x:c r="O731" s="2" t="str">
        <x:v>トウケツ</x:v>
      </x:c>
    </x:row>
    <x:row r="732" ht="23" customHeight="1">
      <x:c r="A732" s="13" t="n">
        <x:v>724</x:v>
      </x:c>
      <x:c r="B732" s="2" t="str">
        <x:v>陶谦</x:v>
      </x:c>
      <x:c r="C732" s="2" t="str">
        <x:v>陶謙</x:v>
      </x:c>
      <x:c r="D732" s="2" t="str"/>
      <x:c r="E732" s="13" t="n">
        <x:v>132</x:v>
      </x:c>
      <x:c r="F732" s="13" t="n">
        <x:v>184</x:v>
      </x:c>
      <x:c r="G732" s="13" t="n">
        <x:v>194</x:v>
      </x:c>
      <x:c r="H732" s="2" t="str">
        <x:f>IF(OR($E$4="",NOT(ISNUMBER($E$4)),$E$4&lt;1,$E$4&gt;400),"参考年待填",IF(OR(E732="",F732="",G732=""),"年代待核",IF($E$4&lt;E732,"未出生",IF($E$4&lt;F732,"未登场",IF($E$4&gt;G732,"已过卒年",IF($E$4=G732,"卒年边界待核","年表可登场"))))))</x:f>
        <x:v>已过卒年</x:v>
      </x:c>
      <x:c r="I732" s="12"/>
      <x:c r="J732" s="2" t="str">
        <x:v>SAN14游戏设定</x:v>
      </x:c>
      <x:c r="K732" s="2" t="str"/>
      <x:c r="L732" s="2" t="str">
        <x:v>陶謙</x:v>
      </x:c>
      <x:c r="M732" s="2" t="str">
        <x:v>san14-candidate-0724</x:v>
      </x:c>
      <x:c r="N732" s="2" t="str">
        <x:v>陶謙</x:v>
      </x:c>
      <x:c r="O732" s="2" t="str">
        <x:v>トウケン</x:v>
      </x:c>
    </x:row>
    <x:row r="733" ht="23" customHeight="1">
      <x:c r="A733" s="13" t="n">
        <x:v>725</x:v>
      </x:c>
      <x:c r="B733" s="2" t="str">
        <x:v>邓贤</x:v>
      </x:c>
      <x:c r="C733" s="2" t="str">
        <x:v>鄧賢</x:v>
      </x:c>
      <x:c r="D733" s="2" t="str"/>
      <x:c r="E733" s="13" t="n">
        <x:v>188</x:v>
      </x:c>
      <x:c r="F733" s="13" t="n">
        <x:v>208</x:v>
      </x:c>
      <x:c r="G733" s="13" t="n">
        <x:v>248</x:v>
      </x:c>
      <x:c r="H733" s="2" t="str">
        <x:f>IF(OR($E$4="",NOT(ISNUMBER($E$4)),$E$4&lt;1,$E$4&gt;400),"参考年待填",IF(OR(E733="",F733="",G733=""),"年代待核",IF($E$4&lt;E733,"未出生",IF($E$4&lt;F733,"未登场",IF($E$4&gt;G733,"已过卒年",IF($E$4=G733,"卒年边界待核","年表可登场"))))))</x:f>
        <x:v>年表可登场</x:v>
      </x:c>
      <x:c r="I733" s="12"/>
      <x:c r="J733" s="2" t="str">
        <x:v>SAN14游戏设定</x:v>
      </x:c>
      <x:c r="K733" s="2" t="str"/>
      <x:c r="L733" s="2" t="str">
        <x:v>鄧賢</x:v>
      </x:c>
      <x:c r="M733" s="2" t="str">
        <x:v>san14-candidate-0725</x:v>
      </x:c>
      <x:c r="N733" s="2" t="str">
        <x:v>鄧賢</x:v>
      </x:c>
      <x:c r="O733" s="2" t="str">
        <x:v>トウケン</x:v>
      </x:c>
    </x:row>
    <x:row r="734" ht="23" customHeight="1">
      <x:c r="A734" s="13" t="n">
        <x:v>726</x:v>
      </x:c>
      <x:c r="B734" s="2" t="str">
        <x:v>陶璜</x:v>
      </x:c>
      <x:c r="C734" s="2" t="str">
        <x:v>陶璜</x:v>
      </x:c>
      <x:c r="D734" s="2" t="str"/>
      <x:c r="E734" s="13" t="n">
        <x:v>232</x:v>
      </x:c>
      <x:c r="F734" s="13" t="n">
        <x:v>246</x:v>
      </x:c>
      <x:c r="G734" s="13" t="n">
        <x:v>290</x:v>
      </x:c>
      <x:c r="H734" s="2" t="str">
        <x:f>IF(OR($E$4="",NOT(ISNUMBER($E$4)),$E$4&lt;1,$E$4&gt;400),"参考年待填",IF(OR(E734="",F734="",G734=""),"年代待核",IF($E$4&lt;E734,"未出生",IF($E$4&lt;F734,"未登场",IF($E$4&gt;G734,"已过卒年",IF($E$4=G734,"卒年边界待核","年表可登场"))))))</x:f>
        <x:v>未出生</x:v>
      </x:c>
      <x:c r="I734" s="12"/>
      <x:c r="J734" s="2" t="str">
        <x:v>SAN14游戏设定</x:v>
      </x:c>
      <x:c r="K734" s="2" t="str"/>
      <x:c r="L734" s="2" t="str">
        <x:v>陶璜</x:v>
      </x:c>
      <x:c r="M734" s="2" t="str">
        <x:v>san14-candidate-0726</x:v>
      </x:c>
      <x:c r="N734" s="2" t="str">
        <x:v>陶コウ</x:v>
      </x:c>
      <x:c r="O734" s="2" t="str">
        <x:v>トウコウ</x:v>
      </x:c>
    </x:row>
    <x:row r="735" ht="23" customHeight="1">
      <x:c r="A735" s="13" t="n">
        <x:v>727</x:v>
      </x:c>
      <x:c r="B735" s="2" t="str">
        <x:v>董璜</x:v>
      </x:c>
      <x:c r="C735" s="2" t="str">
        <x:v>董璜</x:v>
      </x:c>
      <x:c r="D735" s="2" t="str"/>
      <x:c r="E735" s="13" t="n">
        <x:v>168</x:v>
      </x:c>
      <x:c r="F735" s="13" t="n">
        <x:v>185</x:v>
      </x:c>
      <x:c r="G735" s="13" t="n">
        <x:v>192</x:v>
      </x:c>
      <x:c r="H735" s="2" t="str">
        <x:f>IF(OR($E$4="",NOT(ISNUMBER($E$4)),$E$4&lt;1,$E$4&gt;400),"参考年待填",IF(OR(E735="",F735="",G735=""),"年代待核",IF($E$4&lt;E735,"未出生",IF($E$4&lt;F735,"未登场",IF($E$4&gt;G735,"已过卒年",IF($E$4=G735,"卒年边界待核","年表可登场"))))))</x:f>
        <x:v>已过卒年</x:v>
      </x:c>
      <x:c r="I735" s="12"/>
      <x:c r="J735" s="2" t="str">
        <x:v>SAN14游戏设定</x:v>
      </x:c>
      <x:c r="K735" s="2" t="str"/>
      <x:c r="L735" s="2" t="str">
        <x:v>董璜</x:v>
      </x:c>
      <x:c r="M735" s="2" t="str">
        <x:v>san14-candidate-0727</x:v>
      </x:c>
      <x:c r="N735" s="2" t="str">
        <x:v>董コウ</x:v>
      </x:c>
      <x:c r="O735" s="2" t="str">
        <x:v>トウコウ</x:v>
      </x:c>
    </x:row>
    <x:row r="736" ht="23" customHeight="1">
      <x:c r="A736" s="13" t="n">
        <x:v>728</x:v>
      </x:c>
      <x:c r="B736" s="2" t="str">
        <x:v>董衡</x:v>
      </x:c>
      <x:c r="C736" s="2" t="str">
        <x:v>董衡</x:v>
      </x:c>
      <x:c r="D736" s="2" t="str"/>
      <x:c r="E736" s="13" t="n">
        <x:v>169</x:v>
      </x:c>
      <x:c r="F736" s="13" t="n">
        <x:v>193</x:v>
      </x:c>
      <x:c r="G736" s="13" t="n">
        <x:v>219</x:v>
      </x:c>
      <x:c r="H736" s="2" t="str">
        <x:f>IF(OR($E$4="",NOT(ISNUMBER($E$4)),$E$4&lt;1,$E$4&gt;400),"参考年待填",IF(OR(E736="",F736="",G736=""),"年代待核",IF($E$4&lt;E736,"未出生",IF($E$4&lt;F736,"未登场",IF($E$4&gt;G736,"已过卒年",IF($E$4=G736,"卒年边界待核","年表可登场"))))))</x:f>
        <x:v>已过卒年</x:v>
      </x:c>
      <x:c r="I736" s="12"/>
      <x:c r="J736" s="2" t="str">
        <x:v>SAN14游戏设定</x:v>
      </x:c>
      <x:c r="K736" s="2" t="str"/>
      <x:c r="L736" s="2" t="str">
        <x:v>董衡</x:v>
      </x:c>
      <x:c r="M736" s="2" t="str">
        <x:v>san14-candidate-0728</x:v>
      </x:c>
      <x:c r="N736" s="2" t="str">
        <x:v>董衡</x:v>
      </x:c>
      <x:c r="O736" s="2" t="str">
        <x:v>トウコウ</x:v>
      </x:c>
    </x:row>
    <x:row r="737" ht="23" customHeight="1">
      <x:c r="A737" s="13" t="n">
        <x:v>729</x:v>
      </x:c>
      <x:c r="B737" s="2" t="str">
        <x:v>邓芝</x:v>
      </x:c>
      <x:c r="C737" s="2" t="str">
        <x:v>鄧芝</x:v>
      </x:c>
      <x:c r="D737" s="2" t="str"/>
      <x:c r="E737" s="13" t="n">
        <x:v>182</x:v>
      </x:c>
      <x:c r="F737" s="13" t="n">
        <x:v>201</x:v>
      </x:c>
      <x:c r="G737" s="13" t="n">
        <x:v>251</x:v>
      </x:c>
      <x:c r="H737" s="2" t="str">
        <x:f>IF(OR($E$4="",NOT(ISNUMBER($E$4)),$E$4&lt;1,$E$4&gt;400),"参考年待填",IF(OR(E737="",F737="",G737=""),"年代待核",IF($E$4&lt;E737,"未出生",IF($E$4&lt;F737,"未登场",IF($E$4&gt;G737,"已过卒年",IF($E$4=G737,"卒年边界待核","年表可登场"))))))</x:f>
        <x:v>年表可登场</x:v>
      </x:c>
      <x:c r="I737" s="12"/>
      <x:c r="J737" s="2" t="str">
        <x:v>SAN14游戏设定</x:v>
      </x:c>
      <x:c r="K737" s="2" t="str"/>
      <x:c r="L737" s="2" t="str">
        <x:v>鄧芝</x:v>
      </x:c>
      <x:c r="M737" s="2" t="str">
        <x:v>san14-candidate-0729</x:v>
      </x:c>
      <x:c r="N737" s="2" t="str">
        <x:v>鄧芝</x:v>
      </x:c>
      <x:c r="O737" s="2" t="str">
        <x:v>トウシ</x:v>
      </x:c>
    </x:row>
    <x:row r="738" ht="23" customHeight="1">
      <x:c r="A738" s="13" t="n">
        <x:v>730</x:v>
      </x:c>
      <x:c r="B738" s="2" t="str">
        <x:v>唐咨</x:v>
      </x:c>
      <x:c r="C738" s="2" t="str">
        <x:v>唐咨</x:v>
      </x:c>
      <x:c r="D738" s="2" t="str"/>
      <x:c r="E738" s="13" t="n">
        <x:v>196</x:v>
      </x:c>
      <x:c r="F738" s="13" t="n">
        <x:v>225</x:v>
      </x:c>
      <x:c r="G738" s="13" t="n">
        <x:v>265</x:v>
      </x:c>
      <x:c r="H738" s="2" t="str">
        <x:f>IF(OR($E$4="",NOT(ISNUMBER($E$4)),$E$4&lt;1,$E$4&gt;400),"参考年待填",IF(OR(E738="",F738="",G738=""),"年代待核",IF($E$4&lt;E738,"未出生",IF($E$4&lt;F738,"未登场",IF($E$4&gt;G738,"已过卒年",IF($E$4=G738,"卒年边界待核","年表可登场"))))))</x:f>
        <x:v>年表可登场</x:v>
      </x:c>
      <x:c r="I738" s="12"/>
      <x:c r="J738" s="2" t="str">
        <x:v>SAN14游戏设定</x:v>
      </x:c>
      <x:c r="K738" s="2" t="str"/>
      <x:c r="L738" s="2" t="str">
        <x:v>唐咨</x:v>
      </x:c>
      <x:c r="M738" s="2" t="str">
        <x:v>san14-candidate-0730</x:v>
      </x:c>
      <x:c r="N738" s="2" t="str">
        <x:v>唐咨</x:v>
      </x:c>
      <x:c r="O738" s="2" t="str">
        <x:v>トウシ</x:v>
      </x:c>
    </x:row>
    <x:row r="739" ht="23" customHeight="1">
      <x:c r="A739" s="13" t="n">
        <x:v>731</x:v>
      </x:c>
      <x:c r="B739" s="2" t="str">
        <x:v>董袭</x:v>
      </x:c>
      <x:c r="C739" s="2" t="str">
        <x:v>董襲</x:v>
      </x:c>
      <x:c r="D739" s="2" t="str"/>
      <x:c r="E739" s="13" t="n">
        <x:v>169</x:v>
      </x:c>
      <x:c r="F739" s="13" t="n">
        <x:v>188</x:v>
      </x:c>
      <x:c r="G739" s="13" t="n">
        <x:v>215</x:v>
      </x:c>
      <x:c r="H739" s="2" t="str">
        <x:f>IF(OR($E$4="",NOT(ISNUMBER($E$4)),$E$4&lt;1,$E$4&gt;400),"参考年待填",IF(OR(E739="",F739="",G739=""),"年代待核",IF($E$4&lt;E739,"未出生",IF($E$4&lt;F739,"未登场",IF($E$4&gt;G739,"已过卒年",IF($E$4=G739,"卒年边界待核","年表可登场"))))))</x:f>
        <x:v>已过卒年</x:v>
      </x:c>
      <x:c r="I739" s="12"/>
      <x:c r="J739" s="2" t="str">
        <x:v>SAN14游戏设定</x:v>
      </x:c>
      <x:c r="K739" s="2" t="str"/>
      <x:c r="L739" s="2" t="str">
        <x:v>董襲</x:v>
      </x:c>
      <x:c r="M739" s="2" t="str">
        <x:v>san14-candidate-0731</x:v>
      </x:c>
      <x:c r="N739" s="2" t="str">
        <x:v>董襲</x:v>
      </x:c>
      <x:c r="O739" s="2" t="str">
        <x:v>トウシュウ</x:v>
      </x:c>
    </x:row>
    <x:row r="740" ht="23" customHeight="1">
      <x:c r="A740" s="13" t="n">
        <x:v>732</x:v>
      </x:c>
      <x:c r="B740" s="2" t="str">
        <x:v>滕修</x:v>
      </x:c>
      <x:c r="C740" s="2" t="str">
        <x:v>滕脩</x:v>
      </x:c>
      <x:c r="D740" s="2" t="str"/>
      <x:c r="E740" s="13" t="n">
        <x:v>228</x:v>
      </x:c>
      <x:c r="F740" s="13" t="n">
        <x:v>247</x:v>
      </x:c>
      <x:c r="G740" s="13" t="n">
        <x:v>288</x:v>
      </x:c>
      <x:c r="H740" s="2" t="str">
        <x:f>IF(OR($E$4="",NOT(ISNUMBER($E$4)),$E$4&lt;1,$E$4&gt;400),"参考年待填",IF(OR(E740="",F740="",G740=""),"年代待核",IF($E$4&lt;E740,"未出生",IF($E$4&lt;F740,"未登场",IF($E$4&gt;G740,"已过卒年",IF($E$4=G740,"卒年边界待核","年表可登场"))))))</x:f>
        <x:v>未登场</x:v>
      </x:c>
      <x:c r="I740" s="12"/>
      <x:c r="J740" s="2" t="str">
        <x:v>SAN14游戏设定</x:v>
      </x:c>
      <x:c r="K740" s="2" t="str"/>
      <x:c r="L740" s="2" t="str">
        <x:v>滕脩</x:v>
      </x:c>
      <x:c r="M740" s="2" t="str">
        <x:v>san14-candidate-0732</x:v>
      </x:c>
      <x:c r="N740" s="2" t="str">
        <x:v>滕脩</x:v>
      </x:c>
      <x:c r="O740" s="2" t="str">
        <x:v>トウシュウ</x:v>
      </x:c>
    </x:row>
    <x:row r="741" ht="23" customHeight="1">
      <x:c r="A741" s="13" t="n">
        <x:v>733</x:v>
      </x:c>
      <x:c r="B741" s="2" t="str">
        <x:v>陶濬</x:v>
      </x:c>
      <x:c r="C741" s="2" t="str">
        <x:v>陶濬</x:v>
      </x:c>
      <x:c r="D741" s="2" t="str"/>
      <x:c r="E741" s="13" t="n">
        <x:v>238</x:v>
      </x:c>
      <x:c r="F741" s="13" t="n">
        <x:v>253</x:v>
      </x:c>
      <x:c r="G741" s="13" t="n">
        <x:v>285</x:v>
      </x:c>
      <x:c r="H741" s="2" t="str">
        <x:f>IF(OR($E$4="",NOT(ISNUMBER($E$4)),$E$4&lt;1,$E$4&gt;400),"参考年待填",IF(OR(E741="",F741="",G741=""),"年代待核",IF($E$4&lt;E741,"未出生",IF($E$4&lt;F741,"未登场",IF($E$4&gt;G741,"已过卒年",IF($E$4=G741,"卒年边界待核","年表可登场"))))))</x:f>
        <x:v>未出生</x:v>
      </x:c>
      <x:c r="I741" s="12"/>
      <x:c r="J741" s="2" t="str">
        <x:v>SAN14游戏设定</x:v>
      </x:c>
      <x:c r="K741" s="2" t="str"/>
      <x:c r="L741" s="2" t="str">
        <x:v>陶濬</x:v>
      </x:c>
      <x:c r="M741" s="2" t="str">
        <x:v>san14-candidate-0733</x:v>
      </x:c>
      <x:c r="N741" s="2" t="str">
        <x:v>陶濬</x:v>
      </x:c>
      <x:c r="O741" s="2" t="str">
        <x:v>トウシュン</x:v>
      </x:c>
    </x:row>
    <x:row r="742" ht="23" customHeight="1">
      <x:c r="A742" s="13" t="n">
        <x:v>734</x:v>
      </x:c>
      <x:c r="B742" s="2" t="str">
        <x:v>董承</x:v>
      </x:c>
      <x:c r="C742" s="2" t="str">
        <x:v>董承</x:v>
      </x:c>
      <x:c r="D742" s="2" t="str"/>
      <x:c r="E742" s="13" t="n">
        <x:v>154</x:v>
      </x:c>
      <x:c r="F742" s="13" t="n">
        <x:v>184</x:v>
      </x:c>
      <x:c r="G742" s="13" t="n">
        <x:v>200</x:v>
      </x:c>
      <x:c r="H742" s="2" t="str">
        <x:f>IF(OR($E$4="",NOT(ISNUMBER($E$4)),$E$4&lt;1,$E$4&gt;400),"参考年待填",IF(OR(E742="",F742="",G742=""),"年代待核",IF($E$4&lt;E742,"未出生",IF($E$4&lt;F742,"未登场",IF($E$4&gt;G742,"已过卒年",IF($E$4=G742,"卒年边界待核","年表可登场"))))))</x:f>
        <x:v>已过卒年</x:v>
      </x:c>
      <x:c r="I742" s="12"/>
      <x:c r="J742" s="2" t="str">
        <x:v>SAN14游戏设定</x:v>
      </x:c>
      <x:c r="K742" s="2" t="str"/>
      <x:c r="L742" s="2" t="str">
        <x:v>董承</x:v>
      </x:c>
      <x:c r="M742" s="2" t="str">
        <x:v>san14-candidate-0734</x:v>
      </x:c>
      <x:c r="N742" s="2" t="str">
        <x:v>董承</x:v>
      </x:c>
      <x:c r="O742" s="2" t="str">
        <x:v>トウショウ</x:v>
      </x:c>
    </x:row>
    <x:row r="743" ht="23" customHeight="1">
      <x:c r="A743" s="13" t="n">
        <x:v>735</x:v>
      </x:c>
      <x:c r="B743" s="2" t="str">
        <x:v>董昭</x:v>
      </x:c>
      <x:c r="C743" s="2" t="str">
        <x:v>董昭</x:v>
      </x:c>
      <x:c r="D743" s="2" t="str"/>
      <x:c r="E743" s="13" t="n">
        <x:v>156</x:v>
      </x:c>
      <x:c r="F743" s="13" t="n">
        <x:v>184</x:v>
      </x:c>
      <x:c r="G743" s="13" t="n">
        <x:v>236</x:v>
      </x:c>
      <x:c r="H743" s="2" t="str">
        <x:f>IF(OR($E$4="",NOT(ISNUMBER($E$4)),$E$4&lt;1,$E$4&gt;400),"参考年待填",IF(OR(E743="",F743="",G743=""),"年代待核",IF($E$4&lt;E743,"未出生",IF($E$4&lt;F743,"未登场",IF($E$4&gt;G743,"已过卒年",IF($E$4=G743,"卒年边界待核","年表可登场"))))))</x:f>
        <x:v>年表可登场</x:v>
      </x:c>
      <x:c r="I743" s="12"/>
      <x:c r="J743" s="2" t="str">
        <x:v>SAN14游戏设定</x:v>
      </x:c>
      <x:c r="K743" s="2" t="str"/>
      <x:c r="L743" s="2" t="str">
        <x:v>董昭</x:v>
      </x:c>
      <x:c r="M743" s="2" t="str">
        <x:v>san14-candidate-0735</x:v>
      </x:c>
      <x:c r="N743" s="2" t="str">
        <x:v>董昭</x:v>
      </x:c>
      <x:c r="O743" s="2" t="str">
        <x:v>トウショウ</x:v>
      </x:c>
    </x:row>
    <x:row r="744" ht="23" customHeight="1">
      <x:c r="A744" s="13" t="n">
        <x:v>736</x:v>
      </x:c>
      <x:c r="B744" s="2" t="str">
        <x:v>董卓</x:v>
      </x:c>
      <x:c r="C744" s="2" t="str">
        <x:v>董卓</x:v>
      </x:c>
      <x:c r="D744" s="2" t="str"/>
      <x:c r="E744" s="13" t="n">
        <x:v>139</x:v>
      </x:c>
      <x:c r="F744" s="13" t="n">
        <x:v>184</x:v>
      </x:c>
      <x:c r="G744" s="13" t="n">
        <x:v>192</x:v>
      </x:c>
      <x:c r="H744" s="2" t="str">
        <x:f>IF(OR($E$4="",NOT(ISNUMBER($E$4)),$E$4&lt;1,$E$4&gt;400),"参考年待填",IF(OR(E744="",F744="",G744=""),"年代待核",IF($E$4&lt;E744,"未出生",IF($E$4&lt;F744,"未登场",IF($E$4&gt;G744,"已过卒年",IF($E$4=G744,"卒年边界待核","年表可登场"))))))</x:f>
        <x:v>已过卒年</x:v>
      </x:c>
      <x:c r="I744" s="12"/>
      <x:c r="J744" s="2" t="str">
        <x:v>SAN14游戏设定</x:v>
      </x:c>
      <x:c r="K744" s="2" t="str"/>
      <x:c r="L744" s="2" t="str">
        <x:v>董卓</x:v>
      </x:c>
      <x:c r="M744" s="2" t="str">
        <x:v>san14-candidate-0736</x:v>
      </x:c>
      <x:c r="N744" s="2" t="str">
        <x:v>董卓</x:v>
      </x:c>
      <x:c r="O744" s="2" t="str">
        <x:v>トウタク</x:v>
      </x:c>
    </x:row>
    <x:row r="745" ht="23" customHeight="1">
      <x:c r="A745" s="13" t="n">
        <x:v>737</x:v>
      </x:c>
      <x:c r="B745" s="2" t="str">
        <x:v>邓忠</x:v>
      </x:c>
      <x:c r="C745" s="2" t="str">
        <x:v>鄧忠</x:v>
      </x:c>
      <x:c r="D745" s="2" t="str"/>
      <x:c r="E745" s="13" t="n">
        <x:v>230</x:v>
      </x:c>
      <x:c r="F745" s="13" t="n">
        <x:v>244</x:v>
      </x:c>
      <x:c r="G745" s="13" t="n">
        <x:v>264</x:v>
      </x:c>
      <x:c r="H745" s="2" t="str">
        <x:f>IF(OR($E$4="",NOT(ISNUMBER($E$4)),$E$4&lt;1,$E$4&gt;400),"参考年待填",IF(OR(E745="",F745="",G745=""),"年代待核",IF($E$4&lt;E745,"未出生",IF($E$4&lt;F745,"未登场",IF($E$4&gt;G745,"已过卒年",IF($E$4=G745,"卒年边界待核","年表可登场"))))))</x:f>
        <x:v>未登场</x:v>
      </x:c>
      <x:c r="I745" s="12"/>
      <x:c r="J745" s="2" t="str">
        <x:v>SAN14游戏设定</x:v>
      </x:c>
      <x:c r="K745" s="2" t="str"/>
      <x:c r="L745" s="2" t="str">
        <x:v>鄧忠</x:v>
      </x:c>
      <x:c r="M745" s="2" t="str">
        <x:v>san14-candidate-0737</x:v>
      </x:c>
      <x:c r="N745" s="2" t="str">
        <x:v>鄧忠</x:v>
      </x:c>
      <x:c r="O745" s="2" t="str">
        <x:v>トウチュウ</x:v>
      </x:c>
    </x:row>
    <x:row r="746" ht="23" customHeight="1">
      <x:c r="A746" s="13" t="n">
        <x:v>738</x:v>
      </x:c>
      <x:c r="B746" s="2" t="str">
        <x:v>董朝</x:v>
      </x:c>
      <x:c r="C746" s="2" t="str">
        <x:v>董朝</x:v>
      </x:c>
      <x:c r="D746" s="2" t="str"/>
      <x:c r="E746" s="13" t="n">
        <x:v>221</x:v>
      </x:c>
      <x:c r="F746" s="13" t="n">
        <x:v>240</x:v>
      </x:c>
      <x:c r="G746" s="13" t="n">
        <x:v>281</x:v>
      </x:c>
      <x:c r="H746" s="2" t="str">
        <x:f>IF(OR($E$4="",NOT(ISNUMBER($E$4)),$E$4&lt;1,$E$4&gt;400),"参考年待填",IF(OR(E746="",F746="",G746=""),"年代待核",IF($E$4&lt;E746,"未出生",IF($E$4&lt;F746,"未登场",IF($E$4&gt;G746,"已过卒年",IF($E$4=G746,"卒年边界待核","年表可登场"))))))</x:f>
        <x:v>未登场</x:v>
      </x:c>
      <x:c r="I746" s="12"/>
      <x:c r="J746" s="2" t="str">
        <x:v>SAN14游戏设定</x:v>
      </x:c>
      <x:c r="K746" s="2" t="str"/>
      <x:c r="L746" s="2" t="str">
        <x:v>董朝</x:v>
      </x:c>
      <x:c r="M746" s="2" t="str">
        <x:v>san14-candidate-0738</x:v>
      </x:c>
      <x:c r="N746" s="2" t="str">
        <x:v>董朝</x:v>
      </x:c>
      <x:c r="O746" s="2" t="str">
        <x:v>トウチョウ</x:v>
      </x:c>
    </x:row>
    <x:row r="747" ht="23" customHeight="1">
      <x:c r="A747" s="13" t="n">
        <x:v>739</x:v>
      </x:c>
      <x:c r="B747" s="2" t="str">
        <x:v>董荼那</x:v>
      </x:c>
      <x:c r="C747" s="2" t="str">
        <x:v>董荼那</x:v>
      </x:c>
      <x:c r="D747" s="2" t="str"/>
      <x:c r="E747" s="13" t="n">
        <x:v>189</x:v>
      </x:c>
      <x:c r="F747" s="13" t="n">
        <x:v>217</x:v>
      </x:c>
      <x:c r="G747" s="13" t="n">
        <x:v>225</x:v>
      </x:c>
      <x:c r="H747" s="2" t="str">
        <x:f>IF(OR($E$4="",NOT(ISNUMBER($E$4)),$E$4&lt;1,$E$4&gt;400),"参考年待填",IF(OR(E747="",F747="",G747=""),"年代待核",IF($E$4&lt;E747,"未出生",IF($E$4&lt;F747,"未登场",IF($E$4&gt;G747,"已过卒年",IF($E$4=G747,"卒年边界待核","年表可登场"))))))</x:f>
        <x:v>已过卒年</x:v>
      </x:c>
      <x:c r="I747" s="12"/>
      <x:c r="J747" s="2" t="str">
        <x:v>SAN14游戏设定</x:v>
      </x:c>
      <x:c r="K747" s="2" t="str"/>
      <x:c r="L747" s="2" t="str">
        <x:v>董荼那</x:v>
      </x:c>
      <x:c r="M747" s="2" t="str">
        <x:v>san14-candidate-0739</x:v>
      </x:c>
      <x:c r="N747" s="2" t="str">
        <x:v>董荼那</x:v>
      </x:c>
      <x:c r="O747" s="2" t="str">
        <x:v>トウトナ</x:v>
      </x:c>
    </x:row>
    <x:row r="748" ht="23" customHeight="1">
      <x:c r="A748" s="13" t="n">
        <x:v>740</x:v>
      </x:c>
      <x:c r="B748" s="2" t="str">
        <x:v>蹋顿</x:v>
      </x:c>
      <x:c r="C748" s="2" t="str">
        <x:v>蹋頓</x:v>
      </x:c>
      <x:c r="D748" s="2" t="str"/>
      <x:c r="E748" s="13" t="n">
        <x:v>158</x:v>
      </x:c>
      <x:c r="F748" s="13" t="n">
        <x:v>184</x:v>
      </x:c>
      <x:c r="G748" s="13" t="n">
        <x:v>207</x:v>
      </x:c>
      <x:c r="H748" s="2" t="str">
        <x:f>IF(OR($E$4="",NOT(ISNUMBER($E$4)),$E$4&lt;1,$E$4&gt;400),"参考年待填",IF(OR(E748="",F748="",G748=""),"年代待核",IF($E$4&lt;E748,"未出生",IF($E$4&lt;F748,"未登场",IF($E$4&gt;G748,"已过卒年",IF($E$4=G748,"卒年边界待核","年表可登场"))))))</x:f>
        <x:v>已过卒年</x:v>
      </x:c>
      <x:c r="I748" s="12"/>
      <x:c r="J748" s="2" t="str">
        <x:v>SAN14游戏设定</x:v>
      </x:c>
      <x:c r="K748" s="2" t="str"/>
      <x:c r="L748" s="2" t="str">
        <x:v>蹋頓</x:v>
      </x:c>
      <x:c r="M748" s="2" t="str">
        <x:v>san14-candidate-0740</x:v>
      </x:c>
      <x:c r="N748" s="2" t="str">
        <x:v>トウ頓</x:v>
      </x:c>
      <x:c r="O748" s="2" t="str">
        <x:v>トウトン</x:v>
      </x:c>
    </x:row>
    <x:row r="749" ht="23" customHeight="1">
      <x:c r="A749" s="13" t="n">
        <x:v>741</x:v>
      </x:c>
      <x:c r="B749" s="2" t="str">
        <x:v>董白</x:v>
      </x:c>
      <x:c r="C749" s="2" t="str">
        <x:v>董白</x:v>
      </x:c>
      <x:c r="D749" s="2" t="str"/>
      <x:c r="E749" s="13" t="n">
        <x:v>177</x:v>
      </x:c>
      <x:c r="F749" s="13" t="n">
        <x:v>190</x:v>
      </x:c>
      <x:c r="G749" s="13" t="n">
        <x:v>192</x:v>
      </x:c>
      <x:c r="H749" s="2" t="str">
        <x:f>IF(OR($E$4="",NOT(ISNUMBER($E$4)),$E$4&lt;1,$E$4&gt;400),"参考年待填",IF(OR(E749="",F749="",G749=""),"年代待核",IF($E$4&lt;E749,"未出生",IF($E$4&lt;F749,"未登场",IF($E$4&gt;G749,"已过卒年",IF($E$4=G749,"卒年边界待核","年表可登场"))))))</x:f>
        <x:v>已过卒年</x:v>
      </x:c>
      <x:c r="I749" s="12"/>
      <x:c r="J749" s="2" t="str">
        <x:v>SAN14游戏设定</x:v>
      </x:c>
      <x:c r="K749" s="2" t="str"/>
      <x:c r="L749" s="2" t="str">
        <x:v>董白</x:v>
      </x:c>
      <x:c r="M749" s="2" t="str">
        <x:v>san14-candidate-0741</x:v>
      </x:c>
      <x:c r="N749" s="2" t="str">
        <x:v>董白</x:v>
      </x:c>
      <x:c r="O749" s="2" t="str">
        <x:v>トウハク</x:v>
      </x:c>
    </x:row>
    <x:row r="750" ht="23" customHeight="1">
      <x:c r="A750" s="13" t="n">
        <x:v>742</x:v>
      </x:c>
      <x:c r="B750" s="2" t="str">
        <x:v>唐彬</x:v>
      </x:c>
      <x:c r="C750" s="2" t="str">
        <x:v>唐彬</x:v>
      </x:c>
      <x:c r="D750" s="2" t="str"/>
      <x:c r="E750" s="13" t="n">
        <x:v>235</x:v>
      </x:c>
      <x:c r="F750" s="13" t="n">
        <x:v>253</x:v>
      </x:c>
      <x:c r="G750" s="13" t="n">
        <x:v>294</x:v>
      </x:c>
      <x:c r="H750" s="2" t="str">
        <x:f>IF(OR($E$4="",NOT(ISNUMBER($E$4)),$E$4&lt;1,$E$4&gt;400),"参考年待填",IF(OR(E750="",F750="",G750=""),"年代待核",IF($E$4&lt;E750,"未出生",IF($E$4&lt;F750,"未登场",IF($E$4&gt;G750,"已过卒年",IF($E$4=G750,"卒年边界待核","年表可登场"))))))</x:f>
        <x:v>未出生</x:v>
      </x:c>
      <x:c r="I750" s="12"/>
      <x:c r="J750" s="2" t="str">
        <x:v>SAN14游戏设定</x:v>
      </x:c>
      <x:c r="K750" s="2" t="str"/>
      <x:c r="L750" s="2" t="str">
        <x:v>唐彬</x:v>
      </x:c>
      <x:c r="M750" s="2" t="str">
        <x:v>san14-candidate-0742</x:v>
      </x:c>
      <x:c r="N750" s="2" t="str">
        <x:v>唐彬</x:v>
      </x:c>
      <x:c r="O750" s="2" t="str">
        <x:v>トウヒン</x:v>
      </x:c>
    </x:row>
    <x:row r="751" ht="23" customHeight="1">
      <x:c r="A751" s="13" t="n">
        <x:v>743</x:v>
      </x:c>
      <x:c r="B751" s="2" t="str">
        <x:v>董旻</x:v>
      </x:c>
      <x:c r="C751" s="2" t="str">
        <x:v>董旻</x:v>
      </x:c>
      <x:c r="D751" s="2" t="str"/>
      <x:c r="E751" s="13" t="n">
        <x:v>149</x:v>
      </x:c>
      <x:c r="F751" s="13" t="n">
        <x:v>184</x:v>
      </x:c>
      <x:c r="G751" s="13" t="n">
        <x:v>192</x:v>
      </x:c>
      <x:c r="H751" s="2" t="str">
        <x:f>IF(OR($E$4="",NOT(ISNUMBER($E$4)),$E$4&lt;1,$E$4&gt;400),"参考年待填",IF(OR(E751="",F751="",G751=""),"年代待核",IF($E$4&lt;E751,"未出生",IF($E$4&lt;F751,"未登场",IF($E$4&gt;G751,"已过卒年",IF($E$4=G751,"卒年边界待核","年表可登场"))))))</x:f>
        <x:v>已过卒年</x:v>
      </x:c>
      <x:c r="I751" s="12"/>
      <x:c r="J751" s="2" t="str">
        <x:v>SAN14游戏设定</x:v>
      </x:c>
      <x:c r="K751" s="2" t="str"/>
      <x:c r="L751" s="2" t="str">
        <x:v>董旻</x:v>
      </x:c>
      <x:c r="M751" s="2" t="str">
        <x:v>san14-candidate-0743</x:v>
      </x:c>
      <x:c r="N751" s="2" t="str">
        <x:v>董旻</x:v>
      </x:c>
      <x:c r="O751" s="2" t="str">
        <x:v>トウビン</x:v>
      </x:c>
    </x:row>
    <x:row r="752" ht="23" customHeight="1">
      <x:c r="A752" s="13" t="n">
        <x:v>744</x:v>
      </x:c>
      <x:c r="B752" s="2" t="str">
        <x:v>董扶</x:v>
      </x:c>
      <x:c r="C752" s="2" t="str">
        <x:v>董扶</x:v>
      </x:c>
      <x:c r="D752" s="2" t="str"/>
      <x:c r="E752" s="13" t="n">
        <x:v>111</x:v>
      </x:c>
      <x:c r="F752" s="13" t="n">
        <x:v>184</x:v>
      </x:c>
      <x:c r="G752" s="13" t="n">
        <x:v>192</x:v>
      </x:c>
      <x:c r="H752" s="2" t="str">
        <x:f>IF(OR($E$4="",NOT(ISNUMBER($E$4)),$E$4&lt;1,$E$4&gt;400),"参考年待填",IF(OR(E752="",F752="",G752=""),"年代待核",IF($E$4&lt;E752,"未出生",IF($E$4&lt;F752,"未登场",IF($E$4&gt;G752,"已过卒年",IF($E$4=G752,"卒年边界待核","年表可登场"))))))</x:f>
        <x:v>已过卒年</x:v>
      </x:c>
      <x:c r="I752" s="12"/>
      <x:c r="J752" s="2" t="str">
        <x:v>SAN14游戏设定</x:v>
      </x:c>
      <x:c r="K752" s="2" t="str"/>
      <x:c r="L752" s="2" t="str">
        <x:v>董扶</x:v>
      </x:c>
      <x:c r="M752" s="2" t="str">
        <x:v>san14-candidate-0744</x:v>
      </x:c>
      <x:c r="N752" s="2" t="str">
        <x:v>董扶</x:v>
      </x:c>
      <x:c r="O752" s="2" t="str">
        <x:v>トウフ</x:v>
      </x:c>
    </x:row>
    <x:row r="753" ht="23" customHeight="1">
      <x:c r="A753" s="13" t="n">
        <x:v>745</x:v>
      </x:c>
      <x:c r="B753" s="2" t="str">
        <x:v>邓方</x:v>
      </x:c>
      <x:c r="C753" s="2" t="str">
        <x:v>鄧方</x:v>
      </x:c>
      <x:c r="D753" s="2" t="str"/>
      <x:c r="E753" s="13" t="n">
        <x:v>178</x:v>
      </x:c>
      <x:c r="F753" s="13" t="n">
        <x:v>202</x:v>
      </x:c>
      <x:c r="G753" s="13" t="n">
        <x:v>222</x:v>
      </x:c>
      <x:c r="H753" s="2" t="str">
        <x:f>IF(OR($E$4="",NOT(ISNUMBER($E$4)),$E$4&lt;1,$E$4&gt;400),"参考年待填",IF(OR(E753="",F753="",G753=""),"年代待核",IF($E$4&lt;E753,"未出生",IF($E$4&lt;F753,"未登场",IF($E$4&gt;G753,"已过卒年",IF($E$4=G753,"卒年边界待核","年表可登场"))))))</x:f>
        <x:v>已过卒年</x:v>
      </x:c>
      <x:c r="I753" s="12"/>
      <x:c r="J753" s="2" t="str">
        <x:v>SAN14游戏设定</x:v>
      </x:c>
      <x:c r="K753" s="2" t="str"/>
      <x:c r="L753" s="2" t="str">
        <x:v>鄧方</x:v>
      </x:c>
      <x:c r="M753" s="2" t="str">
        <x:v>san14-candidate-0745</x:v>
      </x:c>
      <x:c r="N753" s="2" t="str">
        <x:v>鄧方</x:v>
      </x:c>
      <x:c r="O753" s="2" t="str">
        <x:v>トウホウ</x:v>
      </x:c>
    </x:row>
    <x:row r="754" ht="23" customHeight="1">
      <x:c r="A754" s="13" t="n">
        <x:v>746</x:v>
      </x:c>
      <x:c r="B754" s="2" t="str">
        <x:v>邓茂</x:v>
      </x:c>
      <x:c r="C754" s="2" t="str">
        <x:v>鄧茂</x:v>
      </x:c>
      <x:c r="D754" s="2" t="str"/>
      <x:c r="E754" s="13" t="n">
        <x:v>147</x:v>
      </x:c>
      <x:c r="F754" s="13" t="n">
        <x:v>184</x:v>
      </x:c>
      <x:c r="G754" s="13" t="n">
        <x:v>184</x:v>
      </x:c>
      <x:c r="H754" s="2" t="str">
        <x:f>IF(OR($E$4="",NOT(ISNUMBER($E$4)),$E$4&lt;1,$E$4&gt;400),"参考年待填",IF(OR(E754="",F754="",G754=""),"年代待核",IF($E$4&lt;E754,"未出生",IF($E$4&lt;F754,"未登场",IF($E$4&gt;G754,"已过卒年",IF($E$4=G754,"卒年边界待核","年表可登场"))))))</x:f>
        <x:v>已过卒年</x:v>
      </x:c>
      <x:c r="I754" s="12"/>
      <x:c r="J754" s="2" t="str">
        <x:v>SAN14游戏设定</x:v>
      </x:c>
      <x:c r="K754" s="2" t="str"/>
      <x:c r="L754" s="2" t="str">
        <x:v>鄧茂</x:v>
      </x:c>
      <x:c r="M754" s="2" t="str">
        <x:v>san14-candidate-0746</x:v>
      </x:c>
      <x:c r="N754" s="2" t="str">
        <x:v>鄧茂</x:v>
      </x:c>
      <x:c r="O754" s="2" t="str">
        <x:v>トウモ</x:v>
      </x:c>
    </x:row>
    <x:row r="755" ht="23" customHeight="1">
      <x:c r="A755" s="13" t="n">
        <x:v>747</x:v>
      </x:c>
      <x:c r="B755" s="2" t="str">
        <x:v>邓龙</x:v>
      </x:c>
      <x:c r="C755" s="2" t="str">
        <x:v>鄧龍</x:v>
      </x:c>
      <x:c r="D755" s="2" t="str"/>
      <x:c r="E755" s="13" t="n">
        <x:v>172</x:v>
      </x:c>
      <x:c r="F755" s="13" t="n">
        <x:v>191</x:v>
      </x:c>
      <x:c r="G755" s="13" t="n">
        <x:v>208</x:v>
      </x:c>
      <x:c r="H755" s="2" t="str">
        <x:f>IF(OR($E$4="",NOT(ISNUMBER($E$4)),$E$4&lt;1,$E$4&gt;400),"参考年待填",IF(OR(E755="",F755="",G755=""),"年代待核",IF($E$4&lt;E755,"未出生",IF($E$4&lt;F755,"未登场",IF($E$4&gt;G755,"已过卒年",IF($E$4=G755,"卒年边界待核","年表可登场"))))))</x:f>
        <x:v>已过卒年</x:v>
      </x:c>
      <x:c r="I755" s="12"/>
      <x:c r="J755" s="2" t="str">
        <x:v>SAN14游戏设定</x:v>
      </x:c>
      <x:c r="K755" s="2" t="str"/>
      <x:c r="L755" s="2" t="str">
        <x:v>鄧龍</x:v>
      </x:c>
      <x:c r="M755" s="2" t="str">
        <x:v>san14-candidate-0747</x:v>
      </x:c>
      <x:c r="N755" s="2" t="str">
        <x:v>鄧龍</x:v>
      </x:c>
      <x:c r="O755" s="2" t="str">
        <x:v>トウリュウ</x:v>
      </x:c>
    </x:row>
    <x:row r="756" ht="23" customHeight="1">
      <x:c r="A756" s="13" t="n">
        <x:v>748</x:v>
      </x:c>
      <x:c r="B756" s="2" t="str">
        <x:v>杜畿</x:v>
      </x:c>
      <x:c r="C756" s="2" t="str">
        <x:v>杜畿</x:v>
      </x:c>
      <x:c r="D756" s="2" t="str"/>
      <x:c r="E756" s="13" t="n">
        <x:v>163</x:v>
      </x:c>
      <x:c r="F756" s="13" t="n">
        <x:v>184</x:v>
      </x:c>
      <x:c r="G756" s="13" t="n">
        <x:v>224</x:v>
      </x:c>
      <x:c r="H756" s="2" t="str">
        <x:f>IF(OR($E$4="",NOT(ISNUMBER($E$4)),$E$4&lt;1,$E$4&gt;400),"参考年待填",IF(OR(E756="",F756="",G756=""),"年代待核",IF($E$4&lt;E756,"未出生",IF($E$4&lt;F756,"未登场",IF($E$4&gt;G756,"已过卒年",IF($E$4=G756,"卒年边界待核","年表可登场"))))))</x:f>
        <x:v>已过卒年</x:v>
      </x:c>
      <x:c r="I756" s="12"/>
      <x:c r="J756" s="2" t="str">
        <x:v>SAN14游戏设定</x:v>
      </x:c>
      <x:c r="K756" s="2" t="str"/>
      <x:c r="L756" s="2" t="str">
        <x:v>杜畿</x:v>
      </x:c>
      <x:c r="M756" s="2" t="str">
        <x:v>san14-candidate-0748</x:v>
      </x:c>
      <x:c r="N756" s="2" t="str">
        <x:v>杜畿</x:v>
      </x:c>
      <x:c r="O756" s="2" t="str">
        <x:v>トキ</x:v>
      </x:c>
    </x:row>
    <x:row r="757" ht="23" customHeight="1">
      <x:c r="A757" s="13" t="n">
        <x:v>749</x:v>
      </x:c>
      <x:c r="B757" s="2" t="str">
        <x:v>杜琼</x:v>
      </x:c>
      <x:c r="C757" s="2" t="str">
        <x:v>杜瓊</x:v>
      </x:c>
      <x:c r="D757" s="2" t="str"/>
      <x:c r="E757" s="13" t="n">
        <x:v>167</x:v>
      </x:c>
      <x:c r="F757" s="13" t="n">
        <x:v>194</x:v>
      </x:c>
      <x:c r="G757" s="13" t="n">
        <x:v>250</x:v>
      </x:c>
      <x:c r="H757" s="2" t="str">
        <x:f>IF(OR($E$4="",NOT(ISNUMBER($E$4)),$E$4&lt;1,$E$4&gt;400),"参考年待填",IF(OR(E757="",F757="",G757=""),"年代待核",IF($E$4&lt;E757,"未出生",IF($E$4&lt;F757,"未登场",IF($E$4&gt;G757,"已过卒年",IF($E$4=G757,"卒年边界待核","年表可登场"))))))</x:f>
        <x:v>年表可登场</x:v>
      </x:c>
      <x:c r="I757" s="12"/>
      <x:c r="J757" s="2" t="str">
        <x:v>SAN14游戏设定</x:v>
      </x:c>
      <x:c r="K757" s="2" t="str"/>
      <x:c r="L757" s="2" t="str">
        <x:v>杜瓊</x:v>
      </x:c>
      <x:c r="M757" s="2" t="str">
        <x:v>san14-candidate-0749</x:v>
      </x:c>
      <x:c r="N757" s="2" t="str">
        <x:v>杜瓊</x:v>
      </x:c>
      <x:c r="O757" s="2" t="str">
        <x:v>トケイ</x:v>
      </x:c>
    </x:row>
    <x:row r="758" ht="23" customHeight="1">
      <x:c r="A758" s="13" t="n">
        <x:v>750</x:v>
      </x:c>
      <x:c r="B758" s="2" t="str">
        <x:v>杜氏</x:v>
      </x:c>
      <x:c r="C758" s="2" t="str">
        <x:v>杜氏</x:v>
      </x:c>
      <x:c r="D758" s="2" t="str"/>
      <x:c r="E758" s="13" t="n">
        <x:v>172</x:v>
      </x:c>
      <x:c r="F758" s="13" t="n">
        <x:v>191</x:v>
      </x:c>
      <x:c r="G758" s="13" t="n">
        <x:v>221</x:v>
      </x:c>
      <x:c r="H758" s="2" t="str">
        <x:f>IF(OR($E$4="",NOT(ISNUMBER($E$4)),$E$4&lt;1,$E$4&gt;400),"参考年待填",IF(OR(E758="",F758="",G758=""),"年代待核",IF($E$4&lt;E758,"未出生",IF($E$4&lt;F758,"未登场",IF($E$4&gt;G758,"已过卒年",IF($E$4=G758,"卒年边界待核","年表可登场"))))))</x:f>
        <x:v>已过卒年</x:v>
      </x:c>
      <x:c r="I758" s="12"/>
      <x:c r="J758" s="2" t="str">
        <x:v>SAN14游戏设定</x:v>
      </x:c>
      <x:c r="K758" s="2" t="str"/>
      <x:c r="L758" s="2" t="str">
        <x:v>杜氏</x:v>
      </x:c>
      <x:c r="M758" s="2" t="str">
        <x:v>san14-candidate-0750</x:v>
      </x:c>
      <x:c r="N758" s="2" t="str">
        <x:v>杜氏</x:v>
      </x:c>
      <x:c r="O758" s="2" t="str">
        <x:v>トシ</x:v>
      </x:c>
    </x:row>
    <x:row r="759" ht="23" customHeight="1">
      <x:c r="A759" s="13" t="n">
        <x:v>751</x:v>
      </x:c>
      <x:c r="B759" s="2" t="str">
        <x:v>杜袭</x:v>
      </x:c>
      <x:c r="C759" s="2" t="str">
        <x:v>杜襲</x:v>
      </x:c>
      <x:c r="D759" s="2" t="str"/>
      <x:c r="E759" s="13" t="n">
        <x:v>164</x:v>
      </x:c>
      <x:c r="F759" s="13" t="n">
        <x:v>184</x:v>
      </x:c>
      <x:c r="G759" s="13" t="n">
        <x:v>237</x:v>
      </x:c>
      <x:c r="H759" s="2" t="str">
        <x:f>IF(OR($E$4="",NOT(ISNUMBER($E$4)),$E$4&lt;1,$E$4&gt;400),"参考年待填",IF(OR(E759="",F759="",G759=""),"年代待核",IF($E$4&lt;E759,"未出生",IF($E$4&lt;F759,"未登场",IF($E$4&gt;G759,"已过卒年",IF($E$4=G759,"卒年边界待核","年表可登场"))))))</x:f>
        <x:v>年表可登场</x:v>
      </x:c>
      <x:c r="I759" s="12"/>
      <x:c r="J759" s="2" t="str">
        <x:v>SAN14游戏设定</x:v>
      </x:c>
      <x:c r="K759" s="2" t="str"/>
      <x:c r="L759" s="2" t="str">
        <x:v>杜襲</x:v>
      </x:c>
      <x:c r="M759" s="2" t="str">
        <x:v>san14-candidate-0751</x:v>
      </x:c>
      <x:c r="N759" s="2" t="str">
        <x:v>杜襲</x:v>
      </x:c>
      <x:c r="O759" s="2" t="str">
        <x:v>トシュウ</x:v>
      </x:c>
    </x:row>
    <x:row r="760" ht="23" customHeight="1">
      <x:c r="A760" s="13" t="n">
        <x:v>752</x:v>
      </x:c>
      <x:c r="B760" s="2" t="str">
        <x:v>杜预</x:v>
      </x:c>
      <x:c r="C760" s="2" t="str">
        <x:v>杜預</x:v>
      </x:c>
      <x:c r="D760" s="2" t="str"/>
      <x:c r="E760" s="13" t="n">
        <x:v>222</x:v>
      </x:c>
      <x:c r="F760" s="13" t="n">
        <x:v>241</x:v>
      </x:c>
      <x:c r="G760" s="13" t="n">
        <x:v>284</x:v>
      </x:c>
      <x:c r="H760" s="2" t="str">
        <x:f>IF(OR($E$4="",NOT(ISNUMBER($E$4)),$E$4&lt;1,$E$4&gt;400),"参考年待填",IF(OR(E760="",F760="",G760=""),"年代待核",IF($E$4&lt;E760,"未出生",IF($E$4&lt;F760,"未登场",IF($E$4&gt;G760,"已过卒年",IF($E$4=G760,"卒年边界待核","年表可登场"))))))</x:f>
        <x:v>未登场</x:v>
      </x:c>
      <x:c r="I760" s="12"/>
      <x:c r="J760" s="2" t="str">
        <x:v>SAN14游戏设定</x:v>
      </x:c>
      <x:c r="K760" s="2" t="str"/>
      <x:c r="L760" s="2" t="str">
        <x:v>杜預</x:v>
      </x:c>
      <x:c r="M760" s="2" t="str">
        <x:v>san14-candidate-0752</x:v>
      </x:c>
      <x:c r="N760" s="2" t="str">
        <x:v>杜預</x:v>
      </x:c>
      <x:c r="O760" s="2" t="str">
        <x:v>ドヨ</x:v>
      </x:c>
    </x:row>
    <x:row r="761" ht="23" customHeight="1">
      <x:c r="A761" s="13" t="n">
        <x:v>753</x:v>
      </x:c>
      <x:c r="B761" s="2" t="str">
        <x:v>甯随</x:v>
      </x:c>
      <x:c r="C761" s="2" t="str">
        <x:v>甯隨</x:v>
      </x:c>
      <x:c r="D761" s="2" t="str"/>
      <x:c r="E761" s="13" t="n">
        <x:v>234</x:v>
      </x:c>
      <x:c r="F761" s="13" t="n">
        <x:v>253</x:v>
      </x:c>
      <x:c r="G761" s="13" t="n">
        <x:v>264</x:v>
      </x:c>
      <x:c r="H761" s="2" t="str">
        <x:f>IF(OR($E$4="",NOT(ISNUMBER($E$4)),$E$4&lt;1,$E$4&gt;400),"参考年待填",IF(OR(E761="",F761="",G761=""),"年代待核",IF($E$4&lt;E761,"未出生",IF($E$4&lt;F761,"未登场",IF($E$4&gt;G761,"已过卒年",IF($E$4=G761,"卒年边界待核","年表可登场"))))))</x:f>
        <x:v>未出生</x:v>
      </x:c>
      <x:c r="I761" s="12"/>
      <x:c r="J761" s="2" t="str">
        <x:v>SAN14游戏设定</x:v>
      </x:c>
      <x:c r="K761" s="2" t="str"/>
      <x:c r="L761" s="2" t="str">
        <x:v>甯隨</x:v>
      </x:c>
      <x:c r="M761" s="2" t="str">
        <x:v>san14-candidate-0753</x:v>
      </x:c>
      <x:c r="N761" s="2" t="str">
        <x:v>甯随</x:v>
      </x:c>
      <x:c r="O761" s="2" t="str">
        <x:v>ネイズイ</x:v>
      </x:c>
    </x:row>
    <x:row r="762" ht="23" customHeight="1">
      <x:c r="A762" s="13" t="n">
        <x:v>754</x:v>
      </x:c>
      <x:c r="B762" s="2" t="str">
        <x:v>裴元绍</x:v>
      </x:c>
      <x:c r="C762" s="2" t="str">
        <x:v>裴元紹</x:v>
      </x:c>
      <x:c r="D762" s="2" t="str"/>
      <x:c r="E762" s="13" t="n">
        <x:v>169</x:v>
      </x:c>
      <x:c r="F762" s="13" t="n">
        <x:v>184</x:v>
      </x:c>
      <x:c r="G762" s="13" t="n">
        <x:v>200</x:v>
      </x:c>
      <x:c r="H762" s="2" t="str">
        <x:f>IF(OR($E$4="",NOT(ISNUMBER($E$4)),$E$4&lt;1,$E$4&gt;400),"参考年待填",IF(OR(E762="",F762="",G762=""),"年代待核",IF($E$4&lt;E762,"未出生",IF($E$4&lt;F762,"未登场",IF($E$4&gt;G762,"已过卒年",IF($E$4=G762,"卒年边界待核","年表可登场"))))))</x:f>
        <x:v>已过卒年</x:v>
      </x:c>
      <x:c r="I762" s="12"/>
      <x:c r="J762" s="2" t="str">
        <x:v>SAN14游戏设定</x:v>
      </x:c>
      <x:c r="K762" s="2" t="str"/>
      <x:c r="L762" s="2" t="str">
        <x:v>裴元紹</x:v>
      </x:c>
      <x:c r="M762" s="2" t="str">
        <x:v>san14-candidate-0754</x:v>
      </x:c>
      <x:c r="N762" s="2" t="str">
        <x:v>裴元紹</x:v>
      </x:c>
      <x:c r="O762" s="2" t="str">
        <x:v>ハイゲンショウ</x:v>
      </x:c>
    </x:row>
    <x:row r="763" ht="23" customHeight="1">
      <x:c r="A763" s="13" t="n">
        <x:v>755</x:v>
      </x:c>
      <x:c r="B763" s="2" t="str">
        <x:v>裴秀</x:v>
      </x:c>
      <x:c r="C763" s="2" t="str">
        <x:v>裴秀</x:v>
      </x:c>
      <x:c r="D763" s="2" t="str"/>
      <x:c r="E763" s="13" t="n">
        <x:v>224</x:v>
      </x:c>
      <x:c r="F763" s="13" t="n">
        <x:v>243</x:v>
      </x:c>
      <x:c r="G763" s="13" t="n">
        <x:v>271</x:v>
      </x:c>
      <x:c r="H763" s="2" t="str">
        <x:f>IF(OR($E$4="",NOT(ISNUMBER($E$4)),$E$4&lt;1,$E$4&gt;400),"参考年待填",IF(OR(E763="",F763="",G763=""),"年代待核",IF($E$4&lt;E763,"未出生",IF($E$4&lt;F763,"未登场",IF($E$4&gt;G763,"已过卒年",IF($E$4=G763,"卒年边界待核","年表可登场"))))))</x:f>
        <x:v>未登场</x:v>
      </x:c>
      <x:c r="I763" s="12"/>
      <x:c r="J763" s="2" t="str">
        <x:v>SAN14游戏设定</x:v>
      </x:c>
      <x:c r="K763" s="2" t="str"/>
      <x:c r="L763" s="2" t="str">
        <x:v>裴秀</x:v>
      </x:c>
      <x:c r="M763" s="2" t="str">
        <x:v>san14-candidate-0755</x:v>
      </x:c>
      <x:c r="N763" s="2" t="str">
        <x:v>裴秀</x:v>
      </x:c>
      <x:c r="O763" s="2" t="str">
        <x:v>ハイシュウ</x:v>
      </x:c>
    </x:row>
    <x:row r="764" ht="23" customHeight="1">
      <x:c r="A764" s="13" t="n">
        <x:v>756</x:v>
      </x:c>
      <x:c r="B764" s="2" t="str">
        <x:v>裴潜</x:v>
      </x:c>
      <x:c r="C764" s="2" t="str">
        <x:v>裴潛</x:v>
      </x:c>
      <x:c r="D764" s="2" t="str"/>
      <x:c r="E764" s="13" t="n">
        <x:v>183</x:v>
      </x:c>
      <x:c r="F764" s="13" t="n">
        <x:v>202</x:v>
      </x:c>
      <x:c r="G764" s="13" t="n">
        <x:v>244</x:v>
      </x:c>
      <x:c r="H764" s="2" t="str">
        <x:f>IF(OR($E$4="",NOT(ISNUMBER($E$4)),$E$4&lt;1,$E$4&gt;400),"参考年待填",IF(OR(E764="",F764="",G764=""),"年代待核",IF($E$4&lt;E764,"未出生",IF($E$4&lt;F764,"未登场",IF($E$4&gt;G764,"已过卒年",IF($E$4=G764,"卒年边界待核","年表可登场"))))))</x:f>
        <x:v>年表可登场</x:v>
      </x:c>
      <x:c r="I764" s="12"/>
      <x:c r="J764" s="2" t="str">
        <x:v>SAN14游戏设定</x:v>
      </x:c>
      <x:c r="K764" s="2" t="str"/>
      <x:c r="L764" s="2" t="str">
        <x:v>裴潛</x:v>
      </x:c>
      <x:c r="M764" s="2" t="str">
        <x:v>san14-candidate-0756</x:v>
      </x:c>
      <x:c r="N764" s="2" t="str">
        <x:v>裴潜</x:v>
      </x:c>
      <x:c r="O764" s="2" t="str">
        <x:v>ハイセン</x:v>
      </x:c>
    </x:row>
    <x:row r="765" ht="23" customHeight="1">
      <x:c r="A765" s="13" t="n">
        <x:v>757</x:v>
      </x:c>
      <x:c r="B765" s="2" t="str">
        <x:v>马云𫘧</x:v>
      </x:c>
      <x:c r="C765" s="2" t="str">
        <x:v>馬雲騄</x:v>
      </x:c>
      <x:c r="D765" s="2" t="str"/>
      <x:c r="E765" s="13" t="n">
        <x:v>183</x:v>
      </x:c>
      <x:c r="F765" s="13" t="n">
        <x:v>197</x:v>
      </x:c>
      <x:c r="G765" s="13" t="n">
        <x:v>225</x:v>
      </x:c>
      <x:c r="H765" s="2" t="str">
        <x:f>IF(OR($E$4="",NOT(ISNUMBER($E$4)),$E$4&lt;1,$E$4&gt;400),"参考年待填",IF(OR(E765="",F765="",G765=""),"年代待核",IF($E$4&lt;E765,"未出生",IF($E$4&lt;F765,"未登场",IF($E$4&gt;G765,"已过卒年",IF($E$4=G765,"卒年边界待核","年表可登场"))))))</x:f>
        <x:v>已过卒年</x:v>
      </x:c>
      <x:c r="I765" s="12"/>
      <x:c r="J765" s="2" t="str">
        <x:v>SAN14游戏设定</x:v>
      </x:c>
      <x:c r="K765" s="2" t="str"/>
      <x:c r="L765" s="2" t="str">
        <x:v>馬雲騄</x:v>
      </x:c>
      <x:c r="M765" s="2" t="str">
        <x:v>san14-candidate-0757</x:v>
      </x:c>
      <x:c r="N765" s="2" t="str">
        <x:v>馬雲リョク</x:v>
      </x:c>
      <x:c r="O765" s="2" t="str">
        <x:v>バウンリョク</x:v>
      </x:c>
    </x:row>
    <x:row r="766" ht="23" customHeight="1">
      <x:c r="A766" s="13" t="n">
        <x:v>758</x:v>
      </x:c>
      <x:c r="B766" s="2" t="str">
        <x:v>马延</x:v>
      </x:c>
      <x:c r="C766" s="2" t="str">
        <x:v>馬延</x:v>
      </x:c>
      <x:c r="D766" s="2" t="str"/>
      <x:c r="E766" s="13" t="n">
        <x:v>166</x:v>
      </x:c>
      <x:c r="F766" s="13" t="n">
        <x:v>185</x:v>
      </x:c>
      <x:c r="G766" s="13" t="n">
        <x:v>208</x:v>
      </x:c>
      <x:c r="H766" s="2" t="str">
        <x:f>IF(OR($E$4="",NOT(ISNUMBER($E$4)),$E$4&lt;1,$E$4&gt;400),"参考年待填",IF(OR(E766="",F766="",G766=""),"年代待核",IF($E$4&lt;E766,"未出生",IF($E$4&lt;F766,"未登场",IF($E$4&gt;G766,"已过卒年",IF($E$4=G766,"卒年边界待核","年表可登场"))))))</x:f>
        <x:v>已过卒年</x:v>
      </x:c>
      <x:c r="I766" s="12"/>
      <x:c r="J766" s="2" t="str">
        <x:v>SAN14游戏设定</x:v>
      </x:c>
      <x:c r="K766" s="2" t="str"/>
      <x:c r="L766" s="2" t="str">
        <x:v>馬延</x:v>
      </x:c>
      <x:c r="M766" s="2" t="str">
        <x:v>san14-candidate-0758</x:v>
      </x:c>
      <x:c r="N766" s="2" t="str">
        <x:v>馬延</x:v>
      </x:c>
      <x:c r="O766" s="2" t="str">
        <x:v>バエン</x:v>
      </x:c>
    </x:row>
    <x:row r="767" ht="23" customHeight="1">
      <x:c r="A767" s="13" t="n">
        <x:v>759</x:v>
      </x:c>
      <x:c r="B767" s="2" t="str">
        <x:v>马玩</x:v>
      </x:c>
      <x:c r="C767" s="2" t="str">
        <x:v>馬玩</x:v>
      </x:c>
      <x:c r="D767" s="2" t="str"/>
      <x:c r="E767" s="13" t="n">
        <x:v>170</x:v>
      </x:c>
      <x:c r="F767" s="13" t="n">
        <x:v>189</x:v>
      </x:c>
      <x:c r="G767" s="13" t="n">
        <x:v>211</x:v>
      </x:c>
      <x:c r="H767" s="2" t="str">
        <x:f>IF(OR($E$4="",NOT(ISNUMBER($E$4)),$E$4&lt;1,$E$4&gt;400),"参考年待填",IF(OR(E767="",F767="",G767=""),"年代待核",IF($E$4&lt;E767,"未出生",IF($E$4&lt;F767,"未登场",IF($E$4&gt;G767,"已过卒年",IF($E$4=G767,"卒年边界待核","年表可登场"))))))</x:f>
        <x:v>已过卒年</x:v>
      </x:c>
      <x:c r="I767" s="12"/>
      <x:c r="J767" s="2" t="str">
        <x:v>SAN14游戏设定</x:v>
      </x:c>
      <x:c r="K767" s="2" t="str"/>
      <x:c r="L767" s="2" t="str">
        <x:v>馬玩</x:v>
      </x:c>
      <x:c r="M767" s="2" t="str">
        <x:v>san14-candidate-0759</x:v>
      </x:c>
      <x:c r="N767" s="2" t="str">
        <x:v>馬玩</x:v>
      </x:c>
      <x:c r="O767" s="2" t="str">
        <x:v>バガン</x:v>
      </x:c>
    </x:row>
    <x:row r="768" ht="23" customHeight="1">
      <x:c r="A768" s="13" t="n">
        <x:v>760</x:v>
      </x:c>
      <x:c r="B768" s="2" t="str">
        <x:v>马休</x:v>
      </x:c>
      <x:c r="C768" s="2" t="str">
        <x:v>馬休</x:v>
      </x:c>
      <x:c r="D768" s="2" t="str"/>
      <x:c r="E768" s="13" t="n">
        <x:v>178</x:v>
      </x:c>
      <x:c r="F768" s="13" t="n">
        <x:v>192</x:v>
      </x:c>
      <x:c r="G768" s="13" t="n">
        <x:v>211</x:v>
      </x:c>
      <x:c r="H768" s="2" t="str">
        <x:f>IF(OR($E$4="",NOT(ISNUMBER($E$4)),$E$4&lt;1,$E$4&gt;400),"参考年待填",IF(OR(E768="",F768="",G768=""),"年代待核",IF($E$4&lt;E768,"未出生",IF($E$4&lt;F768,"未登场",IF($E$4&gt;G768,"已过卒年",IF($E$4=G768,"卒年边界待核","年表可登场"))))))</x:f>
        <x:v>已过卒年</x:v>
      </x:c>
      <x:c r="I768" s="12"/>
      <x:c r="J768" s="2" t="str">
        <x:v>SAN14游戏设定</x:v>
      </x:c>
      <x:c r="K768" s="2" t="str"/>
      <x:c r="L768" s="2" t="str">
        <x:v>馬休</x:v>
      </x:c>
      <x:c r="M768" s="2" t="str">
        <x:v>san14-candidate-0760</x:v>
      </x:c>
      <x:c r="N768" s="2" t="str">
        <x:v>馬休</x:v>
      </x:c>
      <x:c r="O768" s="2" t="str">
        <x:v>バキュウ</x:v>
      </x:c>
    </x:row>
    <x:row r="769" ht="23" customHeight="1">
      <x:c r="A769" s="13" t="n">
        <x:v>761</x:v>
      </x:c>
      <x:c r="B769" s="2" t="str">
        <x:v>马钧</x:v>
      </x:c>
      <x:c r="C769" s="2" t="str">
        <x:v>馬鈞</x:v>
      </x:c>
      <x:c r="D769" s="2" t="str"/>
      <x:c r="E769" s="13" t="n">
        <x:v>200</x:v>
      </x:c>
      <x:c r="F769" s="13" t="n">
        <x:v>219</x:v>
      </x:c>
      <x:c r="G769" s="13" t="n">
        <x:v>259</x:v>
      </x:c>
      <x:c r="H769" s="2" t="str">
        <x:f>IF(OR($E$4="",NOT(ISNUMBER($E$4)),$E$4&lt;1,$E$4&gt;400),"参考年待填",IF(OR(E769="",F769="",G769=""),"年代待核",IF($E$4&lt;E769,"未出生",IF($E$4&lt;F769,"未登场",IF($E$4&gt;G769,"已过卒年",IF($E$4=G769,"卒年边界待核","年表可登场"))))))</x:f>
        <x:v>年表可登场</x:v>
      </x:c>
      <x:c r="I769" s="12"/>
      <x:c r="J769" s="2" t="str">
        <x:v>SAN14游戏设定</x:v>
      </x:c>
      <x:c r="K769" s="2" t="str"/>
      <x:c r="L769" s="2" t="str">
        <x:v>馬鈞</x:v>
      </x:c>
      <x:c r="M769" s="2" t="str">
        <x:v>san14-candidate-0761</x:v>
      </x:c>
      <x:c r="N769" s="2" t="str">
        <x:v>馬鈞</x:v>
      </x:c>
      <x:c r="O769" s="2" t="str">
        <x:v>バキン</x:v>
      </x:c>
    </x:row>
    <x:row r="770" ht="23" customHeight="1">
      <x:c r="A770" s="13" t="n">
        <x:v>762</x:v>
      </x:c>
      <x:c r="B770" s="2" t="str">
        <x:v>波才</x:v>
      </x:c>
      <x:c r="C770" s="2" t="str">
        <x:v>波才</x:v>
      </x:c>
      <x:c r="D770" s="2" t="str"/>
      <x:c r="E770" s="13" t="n">
        <x:v>145</x:v>
      </x:c>
      <x:c r="F770" s="13" t="n">
        <x:v>184</x:v>
      </x:c>
      <x:c r="G770" s="13" t="n">
        <x:v>184</x:v>
      </x:c>
      <x:c r="H770" s="2" t="str">
        <x:f>IF(OR($E$4="",NOT(ISNUMBER($E$4)),$E$4&lt;1,$E$4&gt;400),"参考年待填",IF(OR(E770="",F770="",G770=""),"年代待核",IF($E$4&lt;E770,"未出生",IF($E$4&lt;F770,"未登场",IF($E$4&gt;G770,"已过卒年",IF($E$4=G770,"卒年边界待核","年表可登场"))))))</x:f>
        <x:v>已过卒年</x:v>
      </x:c>
      <x:c r="I770" s="12"/>
      <x:c r="J770" s="2" t="str">
        <x:v>SAN14游戏设定</x:v>
      </x:c>
      <x:c r="K770" s="2" t="str"/>
      <x:c r="L770" s="2" t="str">
        <x:v>波才</x:v>
      </x:c>
      <x:c r="M770" s="2" t="str">
        <x:v>san14-candidate-0762</x:v>
      </x:c>
      <x:c r="N770" s="2" t="str">
        <x:v>波才</x:v>
      </x:c>
      <x:c r="O770" s="2" t="str">
        <x:v>ハサイ</x:v>
      </x:c>
    </x:row>
    <x:row r="771" ht="23" customHeight="1">
      <x:c r="A771" s="13" t="n">
        <x:v>763</x:v>
      </x:c>
      <x:c r="B771" s="2" t="str">
        <x:v>马日䃅</x:v>
      </x:c>
      <x:c r="C771" s="2" t="str">
        <x:v>馬日磾</x:v>
      </x:c>
      <x:c r="D771" s="2" t="str"/>
      <x:c r="E771" s="13" t="n">
        <x:v>140</x:v>
      </x:c>
      <x:c r="F771" s="13" t="n">
        <x:v>184</x:v>
      </x:c>
      <x:c r="G771" s="13" t="n">
        <x:v>194</x:v>
      </x:c>
      <x:c r="H771" s="2" t="str">
        <x:f>IF(OR($E$4="",NOT(ISNUMBER($E$4)),$E$4&lt;1,$E$4&gt;400),"参考年待填",IF(OR(E771="",F771="",G771=""),"年代待核",IF($E$4&lt;E771,"未出生",IF($E$4&lt;F771,"未登场",IF($E$4&gt;G771,"已过卒年",IF($E$4=G771,"卒年边界待核","年表可登场"))))))</x:f>
        <x:v>已过卒年</x:v>
      </x:c>
      <x:c r="I771" s="12"/>
      <x:c r="J771" s="2" t="str">
        <x:v>SAN14游戏设定</x:v>
      </x:c>
      <x:c r="K771" s="2" t="str"/>
      <x:c r="L771" s="2" t="str">
        <x:v>馬日磾</x:v>
      </x:c>
      <x:c r="M771" s="2" t="str">
        <x:v>san14-candidate-0763</x:v>
      </x:c>
      <x:c r="N771" s="2" t="str">
        <x:v>馬日テイ</x:v>
      </x:c>
      <x:c r="O771" s="2" t="str">
        <x:v>バジツテイ</x:v>
      </x:c>
    </x:row>
    <x:row r="772" ht="23" customHeight="1">
      <x:c r="A772" s="13" t="n">
        <x:v>764</x:v>
      </x:c>
      <x:c r="B772" s="2" t="str">
        <x:v>马遵</x:v>
      </x:c>
      <x:c r="C772" s="2" t="str">
        <x:v>馬遵</x:v>
      </x:c>
      <x:c r="D772" s="2" t="str"/>
      <x:c r="E772" s="13" t="n">
        <x:v>196</x:v>
      </x:c>
      <x:c r="F772" s="13" t="n">
        <x:v>215</x:v>
      </x:c>
      <x:c r="G772" s="13" t="n">
        <x:v>260</x:v>
      </x:c>
      <x:c r="H772" s="2" t="str">
        <x:f>IF(OR($E$4="",NOT(ISNUMBER($E$4)),$E$4&lt;1,$E$4&gt;400),"参考年待填",IF(OR(E772="",F772="",G772=""),"年代待核",IF($E$4&lt;E772,"未出生",IF($E$4&lt;F772,"未登场",IF($E$4&gt;G772,"已过卒年",IF($E$4=G772,"卒年边界待核","年表可登场"))))))</x:f>
        <x:v>年表可登场</x:v>
      </x:c>
      <x:c r="I772" s="12"/>
      <x:c r="J772" s="2" t="str">
        <x:v>SAN14游戏设定</x:v>
      </x:c>
      <x:c r="K772" s="2" t="str"/>
      <x:c r="L772" s="2" t="str">
        <x:v>馬遵</x:v>
      </x:c>
      <x:c r="M772" s="2" t="str">
        <x:v>san14-candidate-0764</x:v>
      </x:c>
      <x:c r="N772" s="2" t="str">
        <x:v>馬遵</x:v>
      </x:c>
      <x:c r="O772" s="2" t="str">
        <x:v>バジュン</x:v>
      </x:c>
    </x:row>
    <x:row r="773" ht="23" customHeight="1">
      <x:c r="A773" s="13" t="n">
        <x:v>765</x:v>
      </x:c>
      <x:c r="B773" s="2" t="str">
        <x:v>马谡</x:v>
      </x:c>
      <x:c r="C773" s="2" t="str">
        <x:v>馬謖</x:v>
      </x:c>
      <x:c r="D773" s="2" t="str"/>
      <x:c r="E773" s="13" t="n">
        <x:v>190</x:v>
      </x:c>
      <x:c r="F773" s="13" t="n">
        <x:v>209</x:v>
      </x:c>
      <x:c r="G773" s="13" t="n">
        <x:v>228</x:v>
      </x:c>
      <x:c r="H773" s="2" t="str">
        <x:f>IF(OR($E$4="",NOT(ISNUMBER($E$4)),$E$4&lt;1,$E$4&gt;400),"参考年待填",IF(OR(E773="",F773="",G773=""),"年代待核",IF($E$4&lt;E773,"未出生",IF($E$4&lt;F773,"未登场",IF($E$4&gt;G773,"已过卒年",IF($E$4=G773,"卒年边界待核","年表可登场"))))))</x:f>
        <x:v>已过卒年</x:v>
      </x:c>
      <x:c r="I773" s="12"/>
      <x:c r="J773" s="2" t="str">
        <x:v>SAN14游戏设定</x:v>
      </x:c>
      <x:c r="K773" s="2" t="str"/>
      <x:c r="L773" s="2" t="str">
        <x:v>馬謖</x:v>
      </x:c>
      <x:c r="M773" s="2" t="str">
        <x:v>san14-candidate-0765</x:v>
      </x:c>
      <x:c r="N773" s="2" t="str">
        <x:v>馬謖</x:v>
      </x:c>
      <x:c r="O773" s="2" t="str">
        <x:v>バショク</x:v>
      </x:c>
    </x:row>
    <x:row r="774" ht="23" customHeight="1">
      <x:c r="A774" s="13" t="n">
        <x:v>766</x:v>
      </x:c>
      <x:c r="B774" s="2" t="str">
        <x:v>马岱</x:v>
      </x:c>
      <x:c r="C774" s="2" t="str">
        <x:v>馬岱</x:v>
      </x:c>
      <x:c r="D774" s="2" t="str"/>
      <x:c r="E774" s="13" t="n">
        <x:v>183</x:v>
      </x:c>
      <x:c r="F774" s="13" t="n">
        <x:v>197</x:v>
      </x:c>
      <x:c r="G774" s="13" t="n">
        <x:v>246</x:v>
      </x:c>
      <x:c r="H774" s="2" t="str">
        <x:f>IF(OR($E$4="",NOT(ISNUMBER($E$4)),$E$4&lt;1,$E$4&gt;400),"参考年待填",IF(OR(E774="",F774="",G774=""),"年代待核",IF($E$4&lt;E774,"未出生",IF($E$4&lt;F774,"未登场",IF($E$4&gt;G774,"已过卒年",IF($E$4=G774,"卒年边界待核","年表可登场"))))))</x:f>
        <x:v>年表可登场</x:v>
      </x:c>
      <x:c r="I774" s="12"/>
      <x:c r="J774" s="2" t="str">
        <x:v>SAN14游戏设定</x:v>
      </x:c>
      <x:c r="K774" s="2" t="str"/>
      <x:c r="L774" s="2" t="str">
        <x:v>馬岱</x:v>
      </x:c>
      <x:c r="M774" s="2" t="str">
        <x:v>san14-candidate-0766</x:v>
      </x:c>
      <x:c r="N774" s="2" t="str">
        <x:v>馬岱</x:v>
      </x:c>
      <x:c r="O774" s="2" t="str">
        <x:v>バタイ</x:v>
      </x:c>
    </x:row>
    <x:row r="775" ht="23" customHeight="1">
      <x:c r="A775" s="13" t="n">
        <x:v>767</x:v>
      </x:c>
      <x:c r="B775" s="2" t="str">
        <x:v>马忠</x:v>
      </x:c>
      <x:c r="C775" s="2" t="str">
        <x:v>馬忠</x:v>
      </x:c>
      <x:c r="D775" s="2" t="str">
        <x:v>孙吴系，第三方设定186—222</x:v>
      </x:c>
      <x:c r="E775" s="13" t="n">
        <x:v>186</x:v>
      </x:c>
      <x:c r="F775" s="13" t="n">
        <x:v>205</x:v>
      </x:c>
      <x:c r="G775" s="13" t="n">
        <x:v>222</x:v>
      </x:c>
      <x:c r="H775" s="2" t="str">
        <x:f>IF(OR($E$4="",NOT(ISNUMBER($E$4)),$E$4&lt;1,$E$4&gt;400),"参考年待填",IF(OR(E775="",F775="",G775=""),"年代待核",IF($E$4&lt;E775,"未出生",IF($E$4&lt;F775,"未登场",IF($E$4&gt;G775,"已过卒年",IF($E$4=G775,"卒年边界待核","年表可登场"))))))</x:f>
        <x:v>已过卒年</x:v>
      </x:c>
      <x:c r="I775" s="12"/>
      <x:c r="J775" s="2" t="str">
        <x:v>SAN14游戏设定</x:v>
      </x:c>
      <x:c r="K775" s="2" t="str">
        <x:v>同名异人，保留</x:v>
      </x:c>
      <x:c r="L775" s="2" t="str">
        <x:v>馬忠</x:v>
      </x:c>
      <x:c r="M775" s="2" t="str">
        <x:v>san14-candidate-0767</x:v>
      </x:c>
      <x:c r="N775" s="2" t="str">
        <x:v>馬忠</x:v>
      </x:c>
      <x:c r="O775" s="2" t="str">
        <x:v>バチュウ</x:v>
      </x:c>
    </x:row>
    <x:row r="776" ht="23" customHeight="1">
      <x:c r="A776" s="13" t="n">
        <x:v>768</x:v>
      </x:c>
      <x:c r="B776" s="2" t="str">
        <x:v>马忠</x:v>
      </x:c>
      <x:c r="C776" s="2" t="str">
        <x:v>馬忠</x:v>
      </x:c>
      <x:c r="D776" s="2" t="str">
        <x:v>蜀汉系，第三方设定187—249</x:v>
      </x:c>
      <x:c r="E776" s="13" t="n">
        <x:v>187</x:v>
      </x:c>
      <x:c r="F776" s="13" t="n">
        <x:v>205</x:v>
      </x:c>
      <x:c r="G776" s="13" t="n">
        <x:v>249</x:v>
      </x:c>
      <x:c r="H776" s="2" t="str">
        <x:f>IF(OR($E$4="",NOT(ISNUMBER($E$4)),$E$4&lt;1,$E$4&gt;400),"参考年待填",IF(OR(E776="",F776="",G776=""),"年代待核",IF($E$4&lt;E776,"未出生",IF($E$4&lt;F776,"未登场",IF($E$4&gt;G776,"已过卒年",IF($E$4=G776,"卒年边界待核","年表可登场"))))))</x:f>
        <x:v>年表可登场</x:v>
      </x:c>
      <x:c r="I776" s="12"/>
      <x:c r="J776" s="2" t="str">
        <x:v>SAN14游戏设定</x:v>
      </x:c>
      <x:c r="K776" s="2" t="str">
        <x:v>同名异人，保留</x:v>
      </x:c>
      <x:c r="L776" s="2" t="str">
        <x:v>馬忠</x:v>
      </x:c>
      <x:c r="M776" s="2" t="str">
        <x:v>san14-candidate-0768</x:v>
      </x:c>
      <x:c r="N776" s="2" t="str">
        <x:v>馬忠</x:v>
      </x:c>
      <x:c r="O776" s="2" t="str">
        <x:v>バチュウ</x:v>
      </x:c>
    </x:row>
    <x:row r="777" ht="23" customHeight="1">
      <x:c r="A777" s="13" t="n">
        <x:v>769</x:v>
      </x:c>
      <x:c r="B777" s="2" t="str">
        <x:v>马超</x:v>
      </x:c>
      <x:c r="C777" s="2" t="str">
        <x:v>馬超</x:v>
      </x:c>
      <x:c r="D777" s="2" t="str"/>
      <x:c r="E777" s="13" t="n">
        <x:v>176</x:v>
      </x:c>
      <x:c r="F777" s="13" t="n">
        <x:v>189</x:v>
      </x:c>
      <x:c r="G777" s="13" t="n">
        <x:v>226</x:v>
      </x:c>
      <x:c r="H777" s="2" t="str">
        <x:f>IF(OR($E$4="",NOT(ISNUMBER($E$4)),$E$4&lt;1,$E$4&gt;400),"参考年待填",IF(OR(E777="",F777="",G777=""),"年代待核",IF($E$4&lt;E777,"未出生",IF($E$4&lt;F777,"未登场",IF($E$4&gt;G777,"已过卒年",IF($E$4=G777,"卒年边界待核","年表可登场"))))))</x:f>
        <x:v>已过卒年</x:v>
      </x:c>
      <x:c r="I777" s="12"/>
      <x:c r="J777" s="2" t="str">
        <x:v>SAN14游戏设定</x:v>
      </x:c>
      <x:c r="K777" s="2" t="str"/>
      <x:c r="L777" s="2" t="str">
        <x:v>馬超</x:v>
      </x:c>
      <x:c r="M777" s="2" t="str">
        <x:v>san14-candidate-0769</x:v>
      </x:c>
      <x:c r="N777" s="2" t="str">
        <x:v>馬超</x:v>
      </x:c>
      <x:c r="O777" s="2" t="str">
        <x:v>バチョウ</x:v>
      </x:c>
    </x:row>
    <x:row r="778" ht="23" customHeight="1">
      <x:c r="A778" s="13" t="n">
        <x:v>770</x:v>
      </x:c>
      <x:c r="B778" s="2" t="str">
        <x:v>马铁</x:v>
      </x:c>
      <x:c r="C778" s="2" t="str">
        <x:v>馬鐵</x:v>
      </x:c>
      <x:c r="D778" s="2" t="str"/>
      <x:c r="E778" s="13" t="n">
        <x:v>179</x:v>
      </x:c>
      <x:c r="F778" s="13" t="n">
        <x:v>193</x:v>
      </x:c>
      <x:c r="G778" s="13" t="n">
        <x:v>211</x:v>
      </x:c>
      <x:c r="H778" s="2" t="str">
        <x:f>IF(OR($E$4="",NOT(ISNUMBER($E$4)),$E$4&lt;1,$E$4&gt;400),"参考年待填",IF(OR(E778="",F778="",G778=""),"年代待核",IF($E$4&lt;E778,"未出生",IF($E$4&lt;F778,"未登场",IF($E$4&gt;G778,"已过卒年",IF($E$4=G778,"卒年边界待核","年表可登场"))))))</x:f>
        <x:v>已过卒年</x:v>
      </x:c>
      <x:c r="I778" s="12"/>
      <x:c r="J778" s="2" t="str">
        <x:v>SAN14游戏设定</x:v>
      </x:c>
      <x:c r="K778" s="2" t="str"/>
      <x:c r="L778" s="2" t="str">
        <x:v>馬鐵</x:v>
      </x:c>
      <x:c r="M778" s="2" t="str">
        <x:v>san14-candidate-0770</x:v>
      </x:c>
      <x:c r="N778" s="2" t="str">
        <x:v>馬鉄</x:v>
      </x:c>
      <x:c r="O778" s="2" t="str">
        <x:v>バテツ</x:v>
      </x:c>
    </x:row>
    <x:row r="779" ht="23" customHeight="1">
      <x:c r="A779" s="13" t="n">
        <x:v>771</x:v>
      </x:c>
      <x:c r="B779" s="2" t="str">
        <x:v>马腾</x:v>
      </x:c>
      <x:c r="C779" s="2" t="str">
        <x:v>馬騰</x:v>
      </x:c>
      <x:c r="D779" s="2" t="str"/>
      <x:c r="E779" s="13" t="n">
        <x:v>149</x:v>
      </x:c>
      <x:c r="F779" s="13" t="n">
        <x:v>184</x:v>
      </x:c>
      <x:c r="G779" s="13" t="n">
        <x:v>211</x:v>
      </x:c>
      <x:c r="H779" s="2" t="str">
        <x:f>IF(OR($E$4="",NOT(ISNUMBER($E$4)),$E$4&lt;1,$E$4&gt;400),"参考年待填",IF(OR(E779="",F779="",G779=""),"年代待核",IF($E$4&lt;E779,"未出生",IF($E$4&lt;F779,"未登场",IF($E$4&gt;G779,"已过卒年",IF($E$4=G779,"卒年边界待核","年表可登场"))))))</x:f>
        <x:v>已过卒年</x:v>
      </x:c>
      <x:c r="I779" s="12"/>
      <x:c r="J779" s="2" t="str">
        <x:v>SAN14游戏设定</x:v>
      </x:c>
      <x:c r="K779" s="2" t="str"/>
      <x:c r="L779" s="2" t="str">
        <x:v>馬騰</x:v>
      </x:c>
      <x:c r="M779" s="2" t="str">
        <x:v>san14-candidate-0771</x:v>
      </x:c>
      <x:c r="N779" s="2" t="str">
        <x:v>馬騰</x:v>
      </x:c>
      <x:c r="O779" s="2" t="str">
        <x:v>バトウ</x:v>
      </x:c>
    </x:row>
    <x:row r="780" ht="23" customHeight="1">
      <x:c r="A780" s="13" t="n">
        <x:v>772</x:v>
      </x:c>
      <x:c r="B780" s="2" t="str">
        <x:v>马邈</x:v>
      </x:c>
      <x:c r="C780" s="2" t="str">
        <x:v>馬邈</x:v>
      </x:c>
      <x:c r="D780" s="2" t="str"/>
      <x:c r="E780" s="13" t="n">
        <x:v>221</x:v>
      </x:c>
      <x:c r="F780" s="13" t="n">
        <x:v>240</x:v>
      </x:c>
      <x:c r="G780" s="13" t="n">
        <x:v>265</x:v>
      </x:c>
      <x:c r="H780" s="2" t="str">
        <x:f>IF(OR($E$4="",NOT(ISNUMBER($E$4)),$E$4&lt;1,$E$4&gt;400),"参考年待填",IF(OR(E780="",F780="",G780=""),"年代待核",IF($E$4&lt;E780,"未出生",IF($E$4&lt;F780,"未登场",IF($E$4&gt;G780,"已过卒年",IF($E$4=G780,"卒年边界待核","年表可登场"))))))</x:f>
        <x:v>未登场</x:v>
      </x:c>
      <x:c r="I780" s="12"/>
      <x:c r="J780" s="2" t="str">
        <x:v>SAN14游戏设定</x:v>
      </x:c>
      <x:c r="K780" s="2" t="str"/>
      <x:c r="L780" s="2" t="str">
        <x:v>馬邈</x:v>
      </x:c>
      <x:c r="M780" s="2" t="str">
        <x:v>san14-candidate-0772</x:v>
      </x:c>
      <x:c r="N780" s="2" t="str">
        <x:v>馬バク</x:v>
      </x:c>
      <x:c r="O780" s="2" t="str">
        <x:v>ババク</x:v>
      </x:c>
    </x:row>
    <x:row r="781" ht="23" customHeight="1">
      <x:c r="A781" s="13" t="n">
        <x:v>773</x:v>
      </x:c>
      <x:c r="B781" s="2" t="str">
        <x:v>马隆</x:v>
      </x:c>
      <x:c r="C781" s="2" t="str">
        <x:v>馬隆</x:v>
      </x:c>
      <x:c r="D781" s="2" t="str"/>
      <x:c r="E781" s="13" t="n">
        <x:v>231</x:v>
      </x:c>
      <x:c r="F781" s="13" t="n">
        <x:v>245</x:v>
      </x:c>
      <x:c r="G781" s="13" t="n">
        <x:v>303</x:v>
      </x:c>
      <x:c r="H781" s="2" t="str">
        <x:f>IF(OR($E$4="",NOT(ISNUMBER($E$4)),$E$4&lt;1,$E$4&gt;400),"参考年待填",IF(OR(E781="",F781="",G781=""),"年代待核",IF($E$4&lt;E781,"未出生",IF($E$4&lt;F781,"未登场",IF($E$4&gt;G781,"已过卒年",IF($E$4=G781,"卒年边界待核","年表可登场"))))))</x:f>
        <x:v>未出生</x:v>
      </x:c>
      <x:c r="I781" s="12"/>
      <x:c r="J781" s="2" t="str">
        <x:v>SAN14游戏设定</x:v>
      </x:c>
      <x:c r="K781" s="2" t="str"/>
      <x:c r="L781" s="2" t="str">
        <x:v>馬隆</x:v>
      </x:c>
      <x:c r="M781" s="2" t="str">
        <x:v>san14-candidate-0773</x:v>
      </x:c>
      <x:c r="N781" s="2" t="str">
        <x:v>馬隆</x:v>
      </x:c>
      <x:c r="O781" s="2" t="str">
        <x:v>バリュウ</x:v>
      </x:c>
    </x:row>
    <x:row r="782" ht="23" customHeight="1">
      <x:c r="A782" s="13" t="n">
        <x:v>774</x:v>
      </x:c>
      <x:c r="B782" s="2" t="str">
        <x:v>马良</x:v>
      </x:c>
      <x:c r="C782" s="2" t="str">
        <x:v>馬良</x:v>
      </x:c>
      <x:c r="D782" s="2" t="str"/>
      <x:c r="E782" s="13" t="n">
        <x:v>187</x:v>
      </x:c>
      <x:c r="F782" s="13" t="n">
        <x:v>206</x:v>
      </x:c>
      <x:c r="G782" s="13" t="n">
        <x:v>222</x:v>
      </x:c>
      <x:c r="H782" s="2" t="str">
        <x:f>IF(OR($E$4="",NOT(ISNUMBER($E$4)),$E$4&lt;1,$E$4&gt;400),"参考年待填",IF(OR(E782="",F782="",G782=""),"年代待核",IF($E$4&lt;E782,"未出生",IF($E$4&lt;F782,"未登场",IF($E$4&gt;G782,"已过卒年",IF($E$4=G782,"卒年边界待核","年表可登场"))))))</x:f>
        <x:v>已过卒年</x:v>
      </x:c>
      <x:c r="I782" s="12"/>
      <x:c r="J782" s="2" t="str">
        <x:v>SAN14游戏设定</x:v>
      </x:c>
      <x:c r="K782" s="2" t="str"/>
      <x:c r="L782" s="2" t="str">
        <x:v>馬良</x:v>
      </x:c>
      <x:c r="M782" s="2" t="str">
        <x:v>san14-candidate-0774</x:v>
      </x:c>
      <x:c r="N782" s="2" t="str">
        <x:v>馬良</x:v>
      </x:c>
      <x:c r="O782" s="2" t="str">
        <x:v>バリョウ</x:v>
      </x:c>
    </x:row>
    <x:row r="783" ht="23" customHeight="1">
      <x:c r="A783" s="13" t="n">
        <x:v>775</x:v>
      </x:c>
      <x:c r="B783" s="2" t="str">
        <x:v>万彧</x:v>
      </x:c>
      <x:c r="C783" s="2" t="str">
        <x:v>萬彧</x:v>
      </x:c>
      <x:c r="D783" s="2" t="str"/>
      <x:c r="E783" s="13" t="n">
        <x:v>240</x:v>
      </x:c>
      <x:c r="F783" s="13" t="n">
        <x:v>253</x:v>
      </x:c>
      <x:c r="G783" s="13" t="n">
        <x:v>272</x:v>
      </x:c>
      <x:c r="H783" s="2" t="str">
        <x:f>IF(OR($E$4="",NOT(ISNUMBER($E$4)),$E$4&lt;1,$E$4&gt;400),"参考年待填",IF(OR(E783="",F783="",G783=""),"年代待核",IF($E$4&lt;E783,"未出生",IF($E$4&lt;F783,"未登场",IF($E$4&gt;G783,"已过卒年",IF($E$4=G783,"卒年边界待核","年表可登场"))))))</x:f>
        <x:v>未出生</x:v>
      </x:c>
      <x:c r="I783" s="12"/>
      <x:c r="J783" s="2" t="str">
        <x:v>SAN14游戏设定</x:v>
      </x:c>
      <x:c r="K783" s="2" t="str"/>
      <x:c r="L783" s="2" t="str">
        <x:v>萬彧</x:v>
      </x:c>
      <x:c r="M783" s="2" t="str">
        <x:v>san14-candidate-0775</x:v>
      </x:c>
      <x:c r="N783" s="2" t="str">
        <x:v>万彧</x:v>
      </x:c>
      <x:c r="O783" s="2" t="str">
        <x:v>バンイク</x:v>
      </x:c>
    </x:row>
    <x:row r="784" ht="23" customHeight="1">
      <x:c r="A784" s="13" t="n">
        <x:v>776</x:v>
      </x:c>
      <x:c r="B784" s="2" t="str">
        <x:v>范彊</x:v>
      </x:c>
      <x:c r="C784" s="2" t="str">
        <x:v>范彊</x:v>
      </x:c>
      <x:c r="D784" s="2" t="str"/>
      <x:c r="E784" s="13" t="n">
        <x:v>184</x:v>
      </x:c>
      <x:c r="F784" s="13" t="n">
        <x:v>209</x:v>
      </x:c>
      <x:c r="G784" s="13" t="n">
        <x:v>222</x:v>
      </x:c>
      <x:c r="H784" s="2" t="str">
        <x:f>IF(OR($E$4="",NOT(ISNUMBER($E$4)),$E$4&lt;1,$E$4&gt;400),"参考年待填",IF(OR(E784="",F784="",G784=""),"年代待核",IF($E$4&lt;E784,"未出生",IF($E$4&lt;F784,"未登场",IF($E$4&gt;G784,"已过卒年",IF($E$4=G784,"卒年边界待核","年表可登场"))))))</x:f>
        <x:v>已过卒年</x:v>
      </x:c>
      <x:c r="I784" s="12"/>
      <x:c r="J784" s="2" t="str">
        <x:v>SAN14游戏设定</x:v>
      </x:c>
      <x:c r="K784" s="2" t="str"/>
      <x:c r="L784" s="2" t="str">
        <x:v>范彊</x:v>
      </x:c>
      <x:c r="M784" s="2" t="str">
        <x:v>san14-candidate-0776</x:v>
      </x:c>
      <x:c r="N784" s="2" t="str">
        <x:v>范彊</x:v>
      </x:c>
      <x:c r="O784" s="2" t="str">
        <x:v>ハンキョウ</x:v>
      </x:c>
    </x:row>
    <x:row r="785" ht="23" customHeight="1">
      <x:c r="A785" s="13" t="n">
        <x:v>777</x:v>
      </x:c>
      <x:c r="B785" s="2" t="str">
        <x:v>樊建</x:v>
      </x:c>
      <x:c r="C785" s="2" t="str">
        <x:v>樊建</x:v>
      </x:c>
      <x:c r="D785" s="2" t="str"/>
      <x:c r="E785" s="13" t="n">
        <x:v>205</x:v>
      </x:c>
      <x:c r="F785" s="13" t="n">
        <x:v>224</x:v>
      </x:c>
      <x:c r="G785" s="13" t="n">
        <x:v>270</x:v>
      </x:c>
      <x:c r="H785" s="2" t="str">
        <x:f>IF(OR($E$4="",NOT(ISNUMBER($E$4)),$E$4&lt;1,$E$4&gt;400),"参考年待填",IF(OR(E785="",F785="",G785=""),"年代待核",IF($E$4&lt;E785,"未出生",IF($E$4&lt;F785,"未登场",IF($E$4&gt;G785,"已过卒年",IF($E$4=G785,"卒年边界待核","年表可登场"))))))</x:f>
        <x:v>年表可登场</x:v>
      </x:c>
      <x:c r="I785" s="12"/>
      <x:c r="J785" s="2" t="str">
        <x:v>SAN14游戏设定</x:v>
      </x:c>
      <x:c r="K785" s="2" t="str"/>
      <x:c r="L785" s="2" t="str">
        <x:v>樊建</x:v>
      </x:c>
      <x:c r="M785" s="2" t="str">
        <x:v>san14-candidate-0777</x:v>
      </x:c>
      <x:c r="N785" s="2" t="str">
        <x:v>樊建</x:v>
      </x:c>
      <x:c r="O785" s="2" t="str">
        <x:v>ハンケン</x:v>
      </x:c>
    </x:row>
    <x:row r="786" ht="23" customHeight="1">
      <x:c r="A786" s="13" t="n">
        <x:v>778</x:v>
      </x:c>
      <x:c r="B786" s="2" t="str">
        <x:v>樊氏</x:v>
      </x:c>
      <x:c r="C786" s="2" t="str">
        <x:v>樊氏</x:v>
      </x:c>
      <x:c r="D786" s="2" t="str"/>
      <x:c r="E786" s="13" t="n">
        <x:v>176</x:v>
      </x:c>
      <x:c r="F786" s="13" t="n">
        <x:v>200</x:v>
      </x:c>
      <x:c r="G786" s="13" t="n">
        <x:v>215</x:v>
      </x:c>
      <x:c r="H786" s="2" t="str">
        <x:f>IF(OR($E$4="",NOT(ISNUMBER($E$4)),$E$4&lt;1,$E$4&gt;400),"参考年待填",IF(OR(E786="",F786="",G786=""),"年代待核",IF($E$4&lt;E786,"未出生",IF($E$4&lt;F786,"未登场",IF($E$4&gt;G786,"已过卒年",IF($E$4=G786,"卒年边界待核","年表可登场"))))))</x:f>
        <x:v>已过卒年</x:v>
      </x:c>
      <x:c r="I786" s="12"/>
      <x:c r="J786" s="2" t="str">
        <x:v>SAN14游戏设定</x:v>
      </x:c>
      <x:c r="K786" s="2" t="str"/>
      <x:c r="L786" s="2" t="str">
        <x:v>樊氏</x:v>
      </x:c>
      <x:c r="M786" s="2" t="str">
        <x:v>san14-candidate-0778</x:v>
      </x:c>
      <x:c r="N786" s="2" t="str">
        <x:v>樊氏</x:v>
      </x:c>
      <x:c r="O786" s="2" t="str">
        <x:v>ハンシ</x:v>
      </x:c>
    </x:row>
    <x:row r="787" ht="23" customHeight="1">
      <x:c r="A787" s="13" t="n">
        <x:v>779</x:v>
      </x:c>
      <x:c r="B787" s="2" t="str">
        <x:v>潘氏</x:v>
      </x:c>
      <x:c r="C787" s="2" t="str">
        <x:v>潘氏</x:v>
      </x:c>
      <x:c r="D787" s="2" t="str"/>
      <x:c r="E787" s="13" t="n">
        <x:v>217</x:v>
      </x:c>
      <x:c r="F787" s="13" t="n">
        <x:v>231</x:v>
      </x:c>
      <x:c r="G787" s="13" t="n">
        <x:v>252</x:v>
      </x:c>
      <x:c r="H787" s="2" t="str">
        <x:f>IF(OR($E$4="",NOT(ISNUMBER($E$4)),$E$4&lt;1,$E$4&gt;400),"参考年待填",IF(OR(E787="",F787="",G787=""),"年代待核",IF($E$4&lt;E787,"未出生",IF($E$4&lt;F787,"未登场",IF($E$4&gt;G787,"已过卒年",IF($E$4=G787,"卒年边界待核","年表可登场"))))))</x:f>
        <x:v>未登场</x:v>
      </x:c>
      <x:c r="I787" s="12"/>
      <x:c r="J787" s="2" t="str">
        <x:v>SAN14游戏设定</x:v>
      </x:c>
      <x:c r="K787" s="2" t="str"/>
      <x:c r="L787" s="2" t="str">
        <x:v>潘氏</x:v>
      </x:c>
      <x:c r="M787" s="2" t="str">
        <x:v>san14-candidate-0779</x:v>
      </x:c>
      <x:c r="N787" s="2" t="str">
        <x:v>潘氏</x:v>
      </x:c>
      <x:c r="O787" s="2" t="str">
        <x:v>ハンシ</x:v>
      </x:c>
    </x:row>
    <x:row r="788" ht="23" customHeight="1">
      <x:c r="A788" s="13" t="n">
        <x:v>780</x:v>
      </x:c>
      <x:c r="B788" s="2" t="str">
        <x:v>潘濬</x:v>
      </x:c>
      <x:c r="C788" s="2" t="str">
        <x:v>潘濬</x:v>
      </x:c>
      <x:c r="D788" s="2" t="str"/>
      <x:c r="E788" s="13" t="n">
        <x:v>174</x:v>
      </x:c>
      <x:c r="F788" s="13" t="n">
        <x:v>193</x:v>
      </x:c>
      <x:c r="G788" s="13" t="n">
        <x:v>239</x:v>
      </x:c>
      <x:c r="H788" s="2" t="str">
        <x:f>IF(OR($E$4="",NOT(ISNUMBER($E$4)),$E$4&lt;1,$E$4&gt;400),"参考年待填",IF(OR(E788="",F788="",G788=""),"年代待核",IF($E$4&lt;E788,"未出生",IF($E$4&lt;F788,"未登场",IF($E$4&gt;G788,"已过卒年",IF($E$4=G788,"卒年边界待核","年表可登场"))))))</x:f>
        <x:v>年表可登场</x:v>
      </x:c>
      <x:c r="I788" s="12"/>
      <x:c r="J788" s="2" t="str">
        <x:v>SAN14游戏设定</x:v>
      </x:c>
      <x:c r="K788" s="2" t="str"/>
      <x:c r="L788" s="2" t="str">
        <x:v>潘濬</x:v>
      </x:c>
      <x:c r="M788" s="2" t="str">
        <x:v>san14-candidate-0780</x:v>
      </x:c>
      <x:c r="N788" s="2" t="str">
        <x:v>潘濬</x:v>
      </x:c>
      <x:c r="O788" s="2" t="str">
        <x:v>ハンシュン</x:v>
      </x:c>
    </x:row>
    <x:row r="789" ht="23" customHeight="1">
      <x:c r="A789" s="13" t="n">
        <x:v>781</x:v>
      </x:c>
      <x:c r="B789" s="2" t="str">
        <x:v>潘璋</x:v>
      </x:c>
      <x:c r="C789" s="2" t="str">
        <x:v>潘璋</x:v>
      </x:c>
      <x:c r="D789" s="2" t="str"/>
      <x:c r="E789" s="13" t="n">
        <x:v>177</x:v>
      </x:c>
      <x:c r="F789" s="13" t="n">
        <x:v>196</x:v>
      </x:c>
      <x:c r="G789" s="13" t="n">
        <x:v>222</x:v>
      </x:c>
      <x:c r="H789" s="2" t="str">
        <x:f>IF(OR($E$4="",NOT(ISNUMBER($E$4)),$E$4&lt;1,$E$4&gt;400),"参考年待填",IF(OR(E789="",F789="",G789=""),"年代待核",IF($E$4&lt;E789,"未出生",IF($E$4&lt;F789,"未登场",IF($E$4&gt;G789,"已过卒年",IF($E$4=G789,"卒年边界待核","年表可登场"))))))</x:f>
        <x:v>已过卒年</x:v>
      </x:c>
      <x:c r="I789" s="12"/>
      <x:c r="J789" s="2" t="str">
        <x:v>SAN14游戏设定</x:v>
      </x:c>
      <x:c r="K789" s="2" t="str"/>
      <x:c r="L789" s="2" t="str">
        <x:v>潘璋</x:v>
      </x:c>
      <x:c r="M789" s="2" t="str">
        <x:v>san14-candidate-0781</x:v>
      </x:c>
      <x:c r="N789" s="2" t="str">
        <x:v>潘璋</x:v>
      </x:c>
      <x:c r="O789" s="2" t="str">
        <x:v>ハンショウ</x:v>
      </x:c>
    </x:row>
    <x:row r="790" ht="23" customHeight="1">
      <x:c r="A790" s="13" t="n">
        <x:v>782</x:v>
      </x:c>
      <x:c r="B790" s="2" t="str">
        <x:v>樊稠</x:v>
      </x:c>
      <x:c r="C790" s="2" t="str">
        <x:v>樊稠</x:v>
      </x:c>
      <x:c r="D790" s="2" t="str"/>
      <x:c r="E790" s="13" t="n">
        <x:v>149</x:v>
      </x:c>
      <x:c r="F790" s="13" t="n">
        <x:v>184</x:v>
      </x:c>
      <x:c r="G790" s="13" t="n">
        <x:v>192</x:v>
      </x:c>
      <x:c r="H790" s="2" t="str">
        <x:f>IF(OR($E$4="",NOT(ISNUMBER($E$4)),$E$4&lt;1,$E$4&gt;400),"参考年待填",IF(OR(E790="",F790="",G790=""),"年代待核",IF($E$4&lt;E790,"未出生",IF($E$4&lt;F790,"未登场",IF($E$4&gt;G790,"已过卒年",IF($E$4=G790,"卒年边界待核","年表可登场"))))))</x:f>
        <x:v>已过卒年</x:v>
      </x:c>
      <x:c r="I790" s="12"/>
      <x:c r="J790" s="2" t="str">
        <x:v>SAN14游戏设定</x:v>
      </x:c>
      <x:c r="K790" s="2" t="str"/>
      <x:c r="L790" s="2" t="str">
        <x:v>樊稠</x:v>
      </x:c>
      <x:c r="M790" s="2" t="str">
        <x:v>san14-candidate-0782</x:v>
      </x:c>
      <x:c r="N790" s="2" t="str">
        <x:v>樊稠</x:v>
      </x:c>
      <x:c r="O790" s="2" t="str">
        <x:v>ハンチュウ</x:v>
      </x:c>
    </x:row>
    <x:row r="791" ht="23" customHeight="1">
      <x:c r="A791" s="13" t="n">
        <x:v>783</x:v>
      </x:c>
      <x:c r="B791" s="2" t="str">
        <x:v>樊能</x:v>
      </x:c>
      <x:c r="C791" s="2" t="str">
        <x:v>樊能</x:v>
      </x:c>
      <x:c r="D791" s="2" t="str"/>
      <x:c r="E791" s="13" t="n">
        <x:v>158</x:v>
      </x:c>
      <x:c r="F791" s="13" t="n">
        <x:v>184</x:v>
      </x:c>
      <x:c r="G791" s="13" t="n">
        <x:v>195</x:v>
      </x:c>
      <x:c r="H791" s="2" t="str">
        <x:f>IF(OR($E$4="",NOT(ISNUMBER($E$4)),$E$4&lt;1,$E$4&gt;400),"参考年待填",IF(OR(E791="",F791="",G791=""),"年代待核",IF($E$4&lt;E791,"未出生",IF($E$4&lt;F791,"未登场",IF($E$4&gt;G791,"已过卒年",IF($E$4=G791,"卒年边界待核","年表可登场"))))))</x:f>
        <x:v>已过卒年</x:v>
      </x:c>
      <x:c r="I791" s="12"/>
      <x:c r="J791" s="2" t="str">
        <x:v>SAN14游戏设定</x:v>
      </x:c>
      <x:c r="K791" s="2" t="str"/>
      <x:c r="L791" s="2" t="str">
        <x:v>樊能</x:v>
      </x:c>
      <x:c r="M791" s="2" t="str">
        <x:v>san14-candidate-0783</x:v>
      </x:c>
      <x:c r="N791" s="2" t="str">
        <x:v>樊能</x:v>
      </x:c>
      <x:c r="O791" s="2" t="str">
        <x:v>ハンノウ</x:v>
      </x:c>
    </x:row>
    <x:row r="792" ht="23" customHeight="1">
      <x:c r="A792" s="13" t="n">
        <x:v>784</x:v>
      </x:c>
      <x:c r="B792" s="2" t="str">
        <x:v>范方</x:v>
      </x:c>
      <x:c r="C792" s="2" t="str">
        <x:v>范方</x:v>
      </x:c>
      <x:c r="D792" s="2" t="str"/>
      <x:c r="E792" s="13" t="n">
        <x:v>160</x:v>
      </x:c>
      <x:c r="F792" s="13" t="n">
        <x:v>184</x:v>
      </x:c>
      <x:c r="G792" s="13" t="n">
        <x:v>192</x:v>
      </x:c>
      <x:c r="H792" s="2" t="str">
        <x:f>IF(OR($E$4="",NOT(ISNUMBER($E$4)),$E$4&lt;1,$E$4&gt;400),"参考年待填",IF(OR(E792="",F792="",G792=""),"年代待核",IF($E$4&lt;E792,"未出生",IF($E$4&lt;F792,"未登场",IF($E$4&gt;G792,"已过卒年",IF($E$4=G792,"卒年边界待核","年表可登场"))))))</x:f>
        <x:v>已过卒年</x:v>
      </x:c>
      <x:c r="I792" s="12"/>
      <x:c r="J792" s="2" t="str">
        <x:v>SAN14游戏设定</x:v>
      </x:c>
      <x:c r="K792" s="2" t="str"/>
      <x:c r="L792" s="2" t="str">
        <x:v>范方</x:v>
      </x:c>
      <x:c r="M792" s="2" t="str">
        <x:v>san14-candidate-0784</x:v>
      </x:c>
      <x:c r="N792" s="2" t="str">
        <x:v>范方</x:v>
      </x:c>
      <x:c r="O792" s="2" t="str">
        <x:v>ハンホウ</x:v>
      </x:c>
    </x:row>
    <x:row r="793" ht="23" customHeight="1">
      <x:c r="A793" s="13" t="n">
        <x:v>785</x:v>
      </x:c>
      <x:c r="B793" s="2" t="str">
        <x:v>潘凤</x:v>
      </x:c>
      <x:c r="C793" s="2" t="str">
        <x:v>潘鳳</x:v>
      </x:c>
      <x:c r="D793" s="2" t="str"/>
      <x:c r="E793" s="13" t="n">
        <x:v>155</x:v>
      </x:c>
      <x:c r="F793" s="13" t="n">
        <x:v>184</x:v>
      </x:c>
      <x:c r="G793" s="13" t="n">
        <x:v>190</x:v>
      </x:c>
      <x:c r="H793" s="2" t="str">
        <x:f>IF(OR($E$4="",NOT(ISNUMBER($E$4)),$E$4&lt;1,$E$4&gt;400),"参考年待填",IF(OR(E793="",F793="",G793=""),"年代待核",IF($E$4&lt;E793,"未出生",IF($E$4&lt;F793,"未登场",IF($E$4&gt;G793,"已过卒年",IF($E$4=G793,"卒年边界待核","年表可登场"))))))</x:f>
        <x:v>已过卒年</x:v>
      </x:c>
      <x:c r="I793" s="12"/>
      <x:c r="J793" s="2" t="str">
        <x:v>SAN14游戏设定</x:v>
      </x:c>
      <x:c r="K793" s="2" t="str"/>
      <x:c r="L793" s="2" t="str">
        <x:v>潘鳳</x:v>
      </x:c>
      <x:c r="M793" s="2" t="str">
        <x:v>san14-candidate-0785</x:v>
      </x:c>
      <x:c r="N793" s="2" t="str">
        <x:v>潘鳳</x:v>
      </x:c>
      <x:c r="O793" s="2" t="str">
        <x:v>ハンポウ</x:v>
      </x:c>
    </x:row>
    <x:row r="794" ht="23" customHeight="1">
      <x:c r="A794" s="13" t="n">
        <x:v>786</x:v>
      </x:c>
      <x:c r="B794" s="2" t="str">
        <x:v>潘临</x:v>
      </x:c>
      <x:c r="C794" s="2" t="str">
        <x:v>潘臨</x:v>
      </x:c>
      <x:c r="D794" s="2" t="str"/>
      <x:c r="E794" s="13" t="n">
        <x:v>168</x:v>
      </x:c>
      <x:c r="F794" s="13" t="n">
        <x:v>184</x:v>
      </x:c>
      <x:c r="G794" s="13" t="n">
        <x:v>225</x:v>
      </x:c>
      <x:c r="H794" s="2" t="str">
        <x:f>IF(OR($E$4="",NOT(ISNUMBER($E$4)),$E$4&lt;1,$E$4&gt;400),"参考年待填",IF(OR(E794="",F794="",G794=""),"年代待核",IF($E$4&lt;E794,"未出生",IF($E$4&lt;F794,"未登场",IF($E$4&gt;G794,"已过卒年",IF($E$4=G794,"卒年边界待核","年表可登场"))))))</x:f>
        <x:v>已过卒年</x:v>
      </x:c>
      <x:c r="I794" s="12"/>
      <x:c r="J794" s="2" t="str">
        <x:v>SAN14游戏设定</x:v>
      </x:c>
      <x:c r="K794" s="2" t="str"/>
      <x:c r="L794" s="2" t="str">
        <x:v>潘臨</x:v>
      </x:c>
      <x:c r="M794" s="2" t="str">
        <x:v>san14-candidate-0786</x:v>
      </x:c>
      <x:c r="N794" s="2" t="str">
        <x:v>潘臨</x:v>
      </x:c>
      <x:c r="O794" s="2" t="str">
        <x:v>ハンリン</x:v>
      </x:c>
    </x:row>
    <x:row r="795" ht="23" customHeight="1">
      <x:c r="A795" s="13" t="n">
        <x:v>787</x:v>
      </x:c>
      <x:c r="B795" s="2" t="str">
        <x:v>费祎</x:v>
      </x:c>
      <x:c r="C795" s="2" t="str">
        <x:v>費禕</x:v>
      </x:c>
      <x:c r="D795" s="2" t="str"/>
      <x:c r="E795" s="13" t="n">
        <x:v>193</x:v>
      </x:c>
      <x:c r="F795" s="13" t="n">
        <x:v>212</x:v>
      </x:c>
      <x:c r="G795" s="13" t="n">
        <x:v>253</x:v>
      </x:c>
      <x:c r="H795" s="2" t="str">
        <x:f>IF(OR($E$4="",NOT(ISNUMBER($E$4)),$E$4&lt;1,$E$4&gt;400),"参考年待填",IF(OR(E795="",F795="",G795=""),"年代待核",IF($E$4&lt;E795,"未出生",IF($E$4&lt;F795,"未登场",IF($E$4&gt;G795,"已过卒年",IF($E$4=G795,"卒年边界待核","年表可登场"))))))</x:f>
        <x:v>年表可登场</x:v>
      </x:c>
      <x:c r="I795" s="12"/>
      <x:c r="J795" s="2" t="str">
        <x:v>SAN14游戏设定</x:v>
      </x:c>
      <x:c r="K795" s="2" t="str"/>
      <x:c r="L795" s="2" t="str">
        <x:v>費禕</x:v>
      </x:c>
      <x:c r="M795" s="2" t="str">
        <x:v>san14-candidate-0787</x:v>
      </x:c>
      <x:c r="N795" s="2" t="str">
        <x:v>費イ</x:v>
      </x:c>
      <x:c r="O795" s="2" t="str">
        <x:v>ヒイ</x:v>
      </x:c>
    </x:row>
    <x:row r="796" ht="23" customHeight="1">
      <x:c r="A796" s="13" t="n">
        <x:v>788</x:v>
      </x:c>
      <x:c r="B796" s="2" t="str">
        <x:v>卑衍</x:v>
      </x:c>
      <x:c r="C796" s="2" t="str">
        <x:v>卑衍</x:v>
      </x:c>
      <x:c r="D796" s="2" t="str"/>
      <x:c r="E796" s="13" t="n">
        <x:v>196</x:v>
      </x:c>
      <x:c r="F796" s="13" t="n">
        <x:v>215</x:v>
      </x:c>
      <x:c r="G796" s="13" t="n">
        <x:v>238</x:v>
      </x:c>
      <x:c r="H796" s="2" t="str">
        <x:f>IF(OR($E$4="",NOT(ISNUMBER($E$4)),$E$4&lt;1,$E$4&gt;400),"参考年待填",IF(OR(E796="",F796="",G796=""),"年代待核",IF($E$4&lt;E796,"未出生",IF($E$4&lt;F796,"未登场",IF($E$4&gt;G796,"已过卒年",IF($E$4=G796,"卒年边界待核","年表可登场"))))))</x:f>
        <x:v>年表可登场</x:v>
      </x:c>
      <x:c r="I796" s="12"/>
      <x:c r="J796" s="2" t="str">
        <x:v>SAN14游戏设定</x:v>
      </x:c>
      <x:c r="K796" s="2" t="str"/>
      <x:c r="L796" s="2" t="str">
        <x:v>卑衍</x:v>
      </x:c>
      <x:c r="M796" s="2" t="str">
        <x:v>san14-candidate-0788</x:v>
      </x:c>
      <x:c r="N796" s="2" t="str">
        <x:v>卑衍</x:v>
      </x:c>
      <x:c r="O796" s="2" t="str">
        <x:v>ヒエン</x:v>
      </x:c>
    </x:row>
    <x:row r="797" ht="23" customHeight="1">
      <x:c r="A797" s="13" t="n">
        <x:v>789</x:v>
      </x:c>
      <x:c r="B797" s="2" t="str">
        <x:v>费观</x:v>
      </x:c>
      <x:c r="C797" s="2" t="str">
        <x:v>費觀</x:v>
      </x:c>
      <x:c r="D797" s="2" t="str"/>
      <x:c r="E797" s="13" t="n">
        <x:v>189</x:v>
      </x:c>
      <x:c r="F797" s="13" t="n">
        <x:v>207</x:v>
      </x:c>
      <x:c r="G797" s="13" t="n">
        <x:v>225</x:v>
      </x:c>
      <x:c r="H797" s="2" t="str">
        <x:f>IF(OR($E$4="",NOT(ISNUMBER($E$4)),$E$4&lt;1,$E$4&gt;400),"参考年待填",IF(OR(E797="",F797="",G797=""),"年代待核",IF($E$4&lt;E797,"未出生",IF($E$4&lt;F797,"未登场",IF($E$4&gt;G797,"已过卒年",IF($E$4=G797,"卒年边界待核","年表可登场"))))))</x:f>
        <x:v>已过卒年</x:v>
      </x:c>
      <x:c r="I797" s="12"/>
      <x:c r="J797" s="2" t="str">
        <x:v>SAN14游戏设定</x:v>
      </x:c>
      <x:c r="K797" s="2" t="str"/>
      <x:c r="L797" s="2" t="str">
        <x:v>費觀</x:v>
      </x:c>
      <x:c r="M797" s="2" t="str">
        <x:v>san14-candidate-0789</x:v>
      </x:c>
      <x:c r="N797" s="2" t="str">
        <x:v>費観</x:v>
      </x:c>
      <x:c r="O797" s="2" t="str">
        <x:v>ヒカン</x:v>
      </x:c>
    </x:row>
    <x:row r="798" ht="23" customHeight="1">
      <x:c r="A798" s="13" t="n">
        <x:v>790</x:v>
      </x:c>
      <x:c r="B798" s="2" t="str">
        <x:v>费栈</x:v>
      </x:c>
      <x:c r="C798" s="2" t="str">
        <x:v>費棧</x:v>
      </x:c>
      <x:c r="D798" s="2" t="str"/>
      <x:c r="E798" s="13" t="n">
        <x:v>181</x:v>
      </x:c>
      <x:c r="F798" s="13" t="n">
        <x:v>200</x:v>
      </x:c>
      <x:c r="G798" s="13" t="n">
        <x:v>216</x:v>
      </x:c>
      <x:c r="H798" s="2" t="str">
        <x:f>IF(OR($E$4="",NOT(ISNUMBER($E$4)),$E$4&lt;1,$E$4&gt;400),"参考年待填",IF(OR(E798="",F798="",G798=""),"年代待核",IF($E$4&lt;E798,"未出生",IF($E$4&lt;F798,"未登场",IF($E$4&gt;G798,"已过卒年",IF($E$4=G798,"卒年边界待核","年表可登场"))))))</x:f>
        <x:v>已过卒年</x:v>
      </x:c>
      <x:c r="I798" s="12"/>
      <x:c r="J798" s="2" t="str">
        <x:v>SAN14游戏设定</x:v>
      </x:c>
      <x:c r="K798" s="2" t="str"/>
      <x:c r="L798" s="2" t="str">
        <x:v>費棧</x:v>
      </x:c>
      <x:c r="M798" s="2" t="str">
        <x:v>san14-candidate-0790</x:v>
      </x:c>
      <x:c r="N798" s="2" t="str">
        <x:v>費桟</x:v>
      </x:c>
      <x:c r="O798" s="2" t="str">
        <x:v>ヒサン</x:v>
      </x:c>
    </x:row>
    <x:row r="799" ht="23" customHeight="1">
      <x:c r="A799" s="13" t="n">
        <x:v>791</x:v>
      </x:c>
      <x:c r="B799" s="2" t="str">
        <x:v>费诗</x:v>
      </x:c>
      <x:c r="C799" s="2" t="str">
        <x:v>費詩</x:v>
      </x:c>
      <x:c r="D799" s="2" t="str"/>
      <x:c r="E799" s="13" t="n">
        <x:v>176</x:v>
      </x:c>
      <x:c r="F799" s="13" t="n">
        <x:v>195</x:v>
      </x:c>
      <x:c r="G799" s="13" t="n">
        <x:v>240</x:v>
      </x:c>
      <x:c r="H799" s="2" t="str">
        <x:f>IF(OR($E$4="",NOT(ISNUMBER($E$4)),$E$4&lt;1,$E$4&gt;400),"参考年待填",IF(OR(E799="",F799="",G799=""),"年代待核",IF($E$4&lt;E799,"未出生",IF($E$4&lt;F799,"未登场",IF($E$4&gt;G799,"已过卒年",IF($E$4=G799,"卒年边界待核","年表可登场"))))))</x:f>
        <x:v>年表可登场</x:v>
      </x:c>
      <x:c r="I799" s="12"/>
      <x:c r="J799" s="2" t="str">
        <x:v>SAN14游戏设定</x:v>
      </x:c>
      <x:c r="K799" s="2" t="str"/>
      <x:c r="L799" s="2" t="str">
        <x:v>費詩</x:v>
      </x:c>
      <x:c r="M799" s="2" t="str">
        <x:v>san14-candidate-0791</x:v>
      </x:c>
      <x:c r="N799" s="2" t="str">
        <x:v>費詩</x:v>
      </x:c>
      <x:c r="O799" s="2" t="str">
        <x:v>ヒシ</x:v>
      </x:c>
    </x:row>
    <x:row r="800" ht="23" customHeight="1">
      <x:c r="A800" s="13" t="n">
        <x:v>792</x:v>
      </x:c>
      <x:c r="B800" s="2" t="str">
        <x:v>糜氏</x:v>
      </x:c>
      <x:c r="C800" s="2" t="str">
        <x:v>糜氏</x:v>
      </x:c>
      <x:c r="D800" s="2" t="str"/>
      <x:c r="E800" s="13" t="n">
        <x:v>176</x:v>
      </x:c>
      <x:c r="F800" s="13" t="n">
        <x:v>194</x:v>
      </x:c>
      <x:c r="G800" s="13" t="n">
        <x:v>208</x:v>
      </x:c>
      <x:c r="H800" s="2" t="str">
        <x:f>IF(OR($E$4="",NOT(ISNUMBER($E$4)),$E$4&lt;1,$E$4&gt;400),"参考年待填",IF(OR(E800="",F800="",G800=""),"年代待核",IF($E$4&lt;E800,"未出生",IF($E$4&lt;F800,"未登场",IF($E$4&gt;G800,"已过卒年",IF($E$4=G800,"卒年边界待核","年表可登场"))))))</x:f>
        <x:v>已过卒年</x:v>
      </x:c>
      <x:c r="I800" s="12"/>
      <x:c r="J800" s="2" t="str">
        <x:v>SAN14游戏设定</x:v>
      </x:c>
      <x:c r="K800" s="2" t="str"/>
      <x:c r="L800" s="2" t="str">
        <x:v>糜氏</x:v>
      </x:c>
      <x:c r="M800" s="2" t="str">
        <x:v>san14-candidate-0792</x:v>
      </x:c>
      <x:c r="N800" s="2" t="str">
        <x:v>糜氏</x:v>
      </x:c>
      <x:c r="O800" s="2" t="str">
        <x:v>ビシ</x:v>
      </x:c>
    </x:row>
    <x:row r="801" ht="23" customHeight="1">
      <x:c r="A801" s="13" t="n">
        <x:v>793</x:v>
      </x:c>
      <x:c r="B801" s="2" t="str">
        <x:v>糜竺</x:v>
      </x:c>
      <x:c r="C801" s="2" t="str">
        <x:v>糜竺</x:v>
      </x:c>
      <x:c r="D801" s="2" t="str"/>
      <x:c r="E801" s="13" t="n">
        <x:v>165</x:v>
      </x:c>
      <x:c r="F801" s="13" t="n">
        <x:v>184</x:v>
      </x:c>
      <x:c r="G801" s="13" t="n">
        <x:v>220</x:v>
      </x:c>
      <x:c r="H801" s="2" t="str">
        <x:f>IF(OR($E$4="",NOT(ISNUMBER($E$4)),$E$4&lt;1,$E$4&gt;400),"参考年待填",IF(OR(E801="",F801="",G801=""),"年代待核",IF($E$4&lt;E801,"未出生",IF($E$4&lt;F801,"未登场",IF($E$4&gt;G801,"已过卒年",IF($E$4=G801,"卒年边界待核","年表可登场"))))))</x:f>
        <x:v>已过卒年</x:v>
      </x:c>
      <x:c r="I801" s="12"/>
      <x:c r="J801" s="2" t="str">
        <x:v>SAN14游戏设定</x:v>
      </x:c>
      <x:c r="K801" s="2" t="str"/>
      <x:c r="L801" s="2" t="str">
        <x:v>糜竺</x:v>
      </x:c>
      <x:c r="M801" s="2" t="str">
        <x:v>san14-candidate-0793</x:v>
      </x:c>
      <x:c r="N801" s="2" t="str">
        <x:v>糜竺</x:v>
      </x:c>
      <x:c r="O801" s="2" t="str">
        <x:v>ビジク</x:v>
      </x:c>
    </x:row>
    <x:row r="802" ht="23" customHeight="1">
      <x:c r="A802" s="13" t="n">
        <x:v>794</x:v>
      </x:c>
      <x:c r="B802" s="2" t="str">
        <x:v>毕轨</x:v>
      </x:c>
      <x:c r="C802" s="2" t="str">
        <x:v>畢軌</x:v>
      </x:c>
      <x:c r="D802" s="2" t="str"/>
      <x:c r="E802" s="13" t="n">
        <x:v>199</x:v>
      </x:c>
      <x:c r="F802" s="13" t="n">
        <x:v>218</x:v>
      </x:c>
      <x:c r="G802" s="13" t="n">
        <x:v>249</x:v>
      </x:c>
      <x:c r="H802" s="2" t="str">
        <x:f>IF(OR($E$4="",NOT(ISNUMBER($E$4)),$E$4&lt;1,$E$4&gt;400),"参考年待填",IF(OR(E802="",F802="",G802=""),"年代待核",IF($E$4&lt;E802,"未出生",IF($E$4&lt;F802,"未登场",IF($E$4&gt;G802,"已过卒年",IF($E$4=G802,"卒年边界待核","年表可登场"))))))</x:f>
        <x:v>年表可登场</x:v>
      </x:c>
      <x:c r="I802" s="12"/>
      <x:c r="J802" s="2" t="str">
        <x:v>SAN14游戏设定</x:v>
      </x:c>
      <x:c r="K802" s="2" t="str"/>
      <x:c r="L802" s="2" t="str">
        <x:v>畢軌</x:v>
      </x:c>
      <x:c r="M802" s="2" t="str">
        <x:v>san14-candidate-0794</x:v>
      </x:c>
      <x:c r="N802" s="2" t="str">
        <x:v>畢軌</x:v>
      </x:c>
      <x:c r="O802" s="2" t="str">
        <x:v>ヒツキ</x:v>
      </x:c>
    </x:row>
    <x:row r="803" ht="23" customHeight="1">
      <x:c r="A803" s="13" t="n">
        <x:v>795</x:v>
      </x:c>
      <x:c r="B803" s="2" t="str">
        <x:v>糜芳</x:v>
      </x:c>
      <x:c r="C803" s="2" t="str">
        <x:v>糜芳</x:v>
      </x:c>
      <x:c r="D803" s="2" t="str"/>
      <x:c r="E803" s="13" t="n">
        <x:v>169</x:v>
      </x:c>
      <x:c r="F803" s="13" t="n">
        <x:v>188</x:v>
      </x:c>
      <x:c r="G803" s="13" t="n">
        <x:v>222</x:v>
      </x:c>
      <x:c r="H803" s="2" t="str">
        <x:f>IF(OR($E$4="",NOT(ISNUMBER($E$4)),$E$4&lt;1,$E$4&gt;400),"参考年待填",IF(OR(E803="",F803="",G803=""),"年代待核",IF($E$4&lt;E803,"未出生",IF($E$4&lt;F803,"未登场",IF($E$4&gt;G803,"已过卒年",IF($E$4=G803,"卒年边界待核","年表可登场"))))))</x:f>
        <x:v>已过卒年</x:v>
      </x:c>
      <x:c r="I803" s="12"/>
      <x:c r="J803" s="2" t="str">
        <x:v>SAN14游戏设定</x:v>
      </x:c>
      <x:c r="K803" s="2" t="str"/>
      <x:c r="L803" s="2" t="str">
        <x:v>糜芳</x:v>
      </x:c>
      <x:c r="M803" s="2" t="str">
        <x:v>san14-candidate-0795</x:v>
      </x:c>
      <x:c r="N803" s="2" t="str">
        <x:v>糜芳</x:v>
      </x:c>
      <x:c r="O803" s="2" t="str">
        <x:v>ビホウ</x:v>
      </x:c>
    </x:row>
    <x:row r="804" ht="23" customHeight="1">
      <x:c r="A804" s="13" t="n">
        <x:v>796</x:v>
      </x:c>
      <x:c r="B804" s="2" t="str">
        <x:v>费耀</x:v>
      </x:c>
      <x:c r="C804" s="2" t="str">
        <x:v>費耀</x:v>
      </x:c>
      <x:c r="D804" s="2" t="str"/>
      <x:c r="E804" s="13" t="n">
        <x:v>192</x:v>
      </x:c>
      <x:c r="F804" s="13" t="n">
        <x:v>211</x:v>
      </x:c>
      <x:c r="G804" s="13" t="n">
        <x:v>228</x:v>
      </x:c>
      <x:c r="H804" s="2" t="str">
        <x:f>IF(OR($E$4="",NOT(ISNUMBER($E$4)),$E$4&lt;1,$E$4&gt;400),"参考年待填",IF(OR(E804="",F804="",G804=""),"年代待核",IF($E$4&lt;E804,"未出生",IF($E$4&lt;F804,"未登场",IF($E$4&gt;G804,"已过卒年",IF($E$4=G804,"卒年边界待核","年表可登场"))))))</x:f>
        <x:v>已过卒年</x:v>
      </x:c>
      <x:c r="I804" s="12"/>
      <x:c r="J804" s="2" t="str">
        <x:v>SAN14游戏设定</x:v>
      </x:c>
      <x:c r="K804" s="2" t="str"/>
      <x:c r="L804" s="2" t="str">
        <x:v>費耀</x:v>
      </x:c>
      <x:c r="M804" s="2" t="str">
        <x:v>san14-candidate-0796</x:v>
      </x:c>
      <x:c r="N804" s="2" t="str">
        <x:v>費耀</x:v>
      </x:c>
      <x:c r="O804" s="2" t="str">
        <x:v>ヒヨウ</x:v>
      </x:c>
    </x:row>
    <x:row r="805" ht="23" customHeight="1">
      <x:c r="A805" s="13" t="n">
        <x:v>797</x:v>
      </x:c>
      <x:c r="B805" s="2" t="str">
        <x:v>闵纯</x:v>
      </x:c>
      <x:c r="C805" s="2" t="str">
        <x:v>閔純</x:v>
      </x:c>
      <x:c r="D805" s="2" t="str"/>
      <x:c r="E805" s="13" t="n">
        <x:v>158</x:v>
      </x:c>
      <x:c r="F805" s="13" t="n">
        <x:v>186</x:v>
      </x:c>
      <x:c r="G805" s="13" t="n">
        <x:v>191</x:v>
      </x:c>
      <x:c r="H805" s="2" t="str">
        <x:f>IF(OR($E$4="",NOT(ISNUMBER($E$4)),$E$4&lt;1,$E$4&gt;400),"参考年待填",IF(OR(E805="",F805="",G805=""),"年代待核",IF($E$4&lt;E805,"未出生",IF($E$4&lt;F805,"未登场",IF($E$4&gt;G805,"已过卒年",IF($E$4=G805,"卒年边界待核","年表可登场"))))))</x:f>
        <x:v>已过卒年</x:v>
      </x:c>
      <x:c r="I805" s="12"/>
      <x:c r="J805" s="2" t="str">
        <x:v>SAN14游戏设定</x:v>
      </x:c>
      <x:c r="K805" s="2" t="str">
        <x:v>来源异写待核</x:v>
      </x:c>
      <x:c r="L805" s="2" t="str">
        <x:v>關純</x:v>
      </x:c>
      <x:c r="M805" s="2" t="str">
        <x:v>san14-candidate-0797</x:v>
      </x:c>
      <x:c r="N805" s="2" t="str">
        <x:v>関純</x:v>
      </x:c>
      <x:c r="O805" s="2" t="str">
        <x:v>カンジュン</x:v>
      </x:c>
    </x:row>
    <x:row r="806" ht="23" customHeight="1">
      <x:c r="A806" s="13" t="n">
        <x:v>798</x:v>
      </x:c>
      <x:c r="B806" s="2" t="str">
        <x:v>武安国</x:v>
      </x:c>
      <x:c r="C806" s="2" t="str">
        <x:v>武安國</x:v>
      </x:c>
      <x:c r="D806" s="2" t="str"/>
      <x:c r="E806" s="13" t="n">
        <x:v>156</x:v>
      </x:c>
      <x:c r="F806" s="13" t="n">
        <x:v>184</x:v>
      </x:c>
      <x:c r="G806" s="13" t="n">
        <x:v>190</x:v>
      </x:c>
      <x:c r="H806" s="2" t="str">
        <x:f>IF(OR($E$4="",NOT(ISNUMBER($E$4)),$E$4&lt;1,$E$4&gt;400),"参考年待填",IF(OR(E806="",F806="",G806=""),"年代待核",IF($E$4&lt;E806,"未出生",IF($E$4&lt;F806,"未登场",IF($E$4&gt;G806,"已过卒年",IF($E$4=G806,"卒年边界待核","年表可登场"))))))</x:f>
        <x:v>已过卒年</x:v>
      </x:c>
      <x:c r="I806" s="12"/>
      <x:c r="J806" s="2" t="str">
        <x:v>SAN14游戏设定</x:v>
      </x:c>
      <x:c r="K806" s="2" t="str"/>
      <x:c r="L806" s="2" t="str">
        <x:v>武安國</x:v>
      </x:c>
      <x:c r="M806" s="2" t="str">
        <x:v>san14-candidate-0798</x:v>
      </x:c>
      <x:c r="N806" s="2" t="str">
        <x:v>武安国</x:v>
      </x:c>
      <x:c r="O806" s="2" t="str">
        <x:v>ブアンコク</x:v>
      </x:c>
    </x:row>
    <x:row r="807" ht="23" customHeight="1">
      <x:c r="A807" s="13" t="n">
        <x:v>799</x:v>
      </x:c>
      <x:c r="B807" s="2" t="str">
        <x:v>冯楷</x:v>
      </x:c>
      <x:c r="C807" s="2" t="str">
        <x:v>馮楷</x:v>
      </x:c>
      <x:c r="D807" s="2" t="str"/>
      <x:c r="E807" s="13" t="n">
        <x:v>178</x:v>
      </x:c>
      <x:c r="F807" s="13" t="n">
        <x:v>197</x:v>
      </x:c>
      <x:c r="G807" s="13" t="n">
        <x:v>223</x:v>
      </x:c>
      <x:c r="H807" s="2" t="str">
        <x:f>IF(OR($E$4="",NOT(ISNUMBER($E$4)),$E$4&lt;1,$E$4&gt;400),"参考年待填",IF(OR(E807="",F807="",G807=""),"年代待核",IF($E$4&lt;E807,"未出生",IF($E$4&lt;F807,"未登场",IF($E$4&gt;G807,"已过卒年",IF($E$4=G807,"卒年边界待核","年表可登场"))))))</x:f>
        <x:v>已过卒年</x:v>
      </x:c>
      <x:c r="I807" s="12"/>
      <x:c r="J807" s="2" t="str">
        <x:v>SAN14游戏设定</x:v>
      </x:c>
      <x:c r="K807" s="2" t="str"/>
      <x:c r="L807" s="2" t="str">
        <x:v>馮楷</x:v>
      </x:c>
      <x:c r="M807" s="2" t="str">
        <x:v>san14-candidate-0799</x:v>
      </x:c>
      <x:c r="N807" s="2" t="str">
        <x:v>馮楷</x:v>
      </x:c>
      <x:c r="O807" s="2" t="str">
        <x:v>フウカイ</x:v>
      </x:c>
    </x:row>
    <x:row r="808" ht="23" customHeight="1">
      <x:c r="A808" s="13" t="n">
        <x:v>800</x:v>
      </x:c>
      <x:c r="B808" s="2" t="str">
        <x:v>冯氏</x:v>
      </x:c>
      <x:c r="C808" s="2" t="str">
        <x:v>馮氏</x:v>
      </x:c>
      <x:c r="D808" s="2" t="str"/>
      <x:c r="E808" s="13" t="n">
        <x:v>177</x:v>
      </x:c>
      <x:c r="F808" s="13" t="n">
        <x:v>194</x:v>
      </x:c>
      <x:c r="G808" s="13" t="n">
        <x:v>199</x:v>
      </x:c>
      <x:c r="H808" s="2" t="str">
        <x:f>IF(OR($E$4="",NOT(ISNUMBER($E$4)),$E$4&lt;1,$E$4&gt;400),"参考年待填",IF(OR(E808="",F808="",G808=""),"年代待核",IF($E$4&lt;E808,"未出生",IF($E$4&lt;F808,"未登场",IF($E$4&gt;G808,"已过卒年",IF($E$4=G808,"卒年边界待核","年表可登场"))))))</x:f>
        <x:v>已过卒年</x:v>
      </x:c>
      <x:c r="I808" s="12"/>
      <x:c r="J808" s="2" t="str">
        <x:v>SAN14游戏设定</x:v>
      </x:c>
      <x:c r="K808" s="2" t="str"/>
      <x:c r="L808" s="2" t="str">
        <x:v>馮氏</x:v>
      </x:c>
      <x:c r="M808" s="2" t="str">
        <x:v>san14-candidate-0800</x:v>
      </x:c>
      <x:c r="N808" s="2" t="str">
        <x:v>馮氏</x:v>
      </x:c>
      <x:c r="O808" s="2" t="str">
        <x:v>フウシ</x:v>
      </x:c>
    </x:row>
    <x:row r="809" ht="23" customHeight="1">
      <x:c r="A809" s="13" t="n">
        <x:v>801</x:v>
      </x:c>
      <x:c r="B809" s="2" t="str">
        <x:v>冯习</x:v>
      </x:c>
      <x:c r="C809" s="2" t="str">
        <x:v>馮習</x:v>
      </x:c>
      <x:c r="D809" s="2" t="str"/>
      <x:c r="E809" s="13" t="n">
        <x:v>182</x:v>
      </x:c>
      <x:c r="F809" s="13" t="n">
        <x:v>201</x:v>
      </x:c>
      <x:c r="G809" s="13" t="n">
        <x:v>222</x:v>
      </x:c>
      <x:c r="H809" s="2" t="str">
        <x:f>IF(OR($E$4="",NOT(ISNUMBER($E$4)),$E$4&lt;1,$E$4&gt;400),"参考年待填",IF(OR(E809="",F809="",G809=""),"年代待核",IF($E$4&lt;E809,"未出生",IF($E$4&lt;F809,"未登场",IF($E$4&gt;G809,"已过卒年",IF($E$4=G809,"卒年边界待核","年表可登场"))))))</x:f>
        <x:v>已过卒年</x:v>
      </x:c>
      <x:c r="I809" s="12"/>
      <x:c r="J809" s="2" t="str">
        <x:v>SAN14游戏设定</x:v>
      </x:c>
      <x:c r="K809" s="2" t="str"/>
      <x:c r="L809" s="2" t="str">
        <x:v>馮習</x:v>
      </x:c>
      <x:c r="M809" s="2" t="str">
        <x:v>san14-candidate-0801</x:v>
      </x:c>
      <x:c r="N809" s="2" t="str">
        <x:v>馮習</x:v>
      </x:c>
      <x:c r="O809" s="2" t="str">
        <x:v>フウシュウ</x:v>
      </x:c>
    </x:row>
    <x:row r="810" ht="23" customHeight="1">
      <x:c r="A810" s="13" t="n">
        <x:v>802</x:v>
      </x:c>
      <x:c r="B810" s="2" t="str">
        <x:v>傅婴</x:v>
      </x:c>
      <x:c r="C810" s="2" t="str">
        <x:v>傅嬰</x:v>
      </x:c>
      <x:c r="D810" s="2" t="str"/>
      <x:c r="E810" s="13" t="n">
        <x:v>177</x:v>
      </x:c>
      <x:c r="F810" s="13" t="n">
        <x:v>200</x:v>
      </x:c>
      <x:c r="G810" s="13" t="n">
        <x:v>226</x:v>
      </x:c>
      <x:c r="H810" s="2" t="str">
        <x:f>IF(OR($E$4="",NOT(ISNUMBER($E$4)),$E$4&lt;1,$E$4&gt;400),"参考年待填",IF(OR(E810="",F810="",G810=""),"年代待核",IF($E$4&lt;E810,"未出生",IF($E$4&lt;F810,"未登场",IF($E$4&gt;G810,"已过卒年",IF($E$4=G810,"卒年边界待核","年表可登场"))))))</x:f>
        <x:v>已过卒年</x:v>
      </x:c>
      <x:c r="I810" s="12"/>
      <x:c r="J810" s="2" t="str">
        <x:v>SAN14游戏设定</x:v>
      </x:c>
      <x:c r="K810" s="2" t="str"/>
      <x:c r="L810" s="2" t="str">
        <x:v>傅嬰</x:v>
      </x:c>
      <x:c r="M810" s="2" t="str">
        <x:v>san14-candidate-0802</x:v>
      </x:c>
      <x:c r="N810" s="2" t="str">
        <x:v>傅嬰</x:v>
      </x:c>
      <x:c r="O810" s="2" t="str">
        <x:v>フエイ</x:v>
      </x:c>
    </x:row>
    <x:row r="811" ht="23" customHeight="1">
      <x:c r="A811" s="13" t="n">
        <x:v>803</x:v>
      </x:c>
      <x:c r="B811" s="2" t="str">
        <x:v>傅嘏</x:v>
      </x:c>
      <x:c r="C811" s="2" t="str">
        <x:v>傅嘏</x:v>
      </x:c>
      <x:c r="D811" s="2" t="str"/>
      <x:c r="E811" s="13" t="n">
        <x:v>209</x:v>
      </x:c>
      <x:c r="F811" s="13" t="n">
        <x:v>228</x:v>
      </x:c>
      <x:c r="G811" s="13" t="n">
        <x:v>255</x:v>
      </x:c>
      <x:c r="H811" s="2" t="str">
        <x:f>IF(OR($E$4="",NOT(ISNUMBER($E$4)),$E$4&lt;1,$E$4&gt;400),"参考年待填",IF(OR(E811="",F811="",G811=""),"年代待核",IF($E$4&lt;E811,"未出生",IF($E$4&lt;F811,"未登场",IF($E$4&gt;G811,"已过卒年",IF($E$4=G811,"卒年边界待核","年表可登场"))))))</x:f>
        <x:v>年表可登场</x:v>
      </x:c>
      <x:c r="I811" s="12"/>
      <x:c r="J811" s="2" t="str">
        <x:v>SAN14游戏设定</x:v>
      </x:c>
      <x:c r="K811" s="2" t="str"/>
      <x:c r="L811" s="2" t="str">
        <x:v>傅嘏</x:v>
      </x:c>
      <x:c r="M811" s="2" t="str">
        <x:v>san14-candidate-0803</x:v>
      </x:c>
      <x:c r="N811" s="2" t="str">
        <x:v>傅カ</x:v>
      </x:c>
      <x:c r="O811" s="2" t="str">
        <x:v>フカ</x:v>
      </x:c>
    </x:row>
    <x:row r="812" ht="23" customHeight="1">
      <x:c r="A812" s="13" t="n">
        <x:v>804</x:v>
      </x:c>
      <x:c r="B812" s="2" t="str">
        <x:v>傅干</x:v>
      </x:c>
      <x:c r="C812" s="2" t="str">
        <x:v>傅幹</x:v>
      </x:c>
      <x:c r="D812" s="2" t="str"/>
      <x:c r="E812" s="13" t="n">
        <x:v>175</x:v>
      </x:c>
      <x:c r="F812" s="13" t="n">
        <x:v>187</x:v>
      </x:c>
      <x:c r="G812" s="13" t="n">
        <x:v>220</x:v>
      </x:c>
      <x:c r="H812" s="2" t="str">
        <x:f>IF(OR($E$4="",NOT(ISNUMBER($E$4)),$E$4&lt;1,$E$4&gt;400),"参考年待填",IF(OR(E812="",F812="",G812=""),"年代待核",IF($E$4&lt;E812,"未出生",IF($E$4&lt;F812,"未登场",IF($E$4&gt;G812,"已过卒年",IF($E$4=G812,"卒年边界待核","年表可登场"))))))</x:f>
        <x:v>已过卒年</x:v>
      </x:c>
      <x:c r="I812" s="12"/>
      <x:c r="J812" s="2" t="str">
        <x:v>SAN14游戏设定</x:v>
      </x:c>
      <x:c r="K812" s="2" t="str"/>
      <x:c r="L812" s="2" t="str">
        <x:v>傅幹</x:v>
      </x:c>
      <x:c r="M812" s="2" t="str">
        <x:v>san14-candidate-0804</x:v>
      </x:c>
      <x:c r="N812" s="2" t="str">
        <x:v>傅幹</x:v>
      </x:c>
      <x:c r="O812" s="2" t="str">
        <x:v>フカン</x:v>
      </x:c>
    </x:row>
    <x:row r="813" ht="23" customHeight="1">
      <x:c r="A813" s="13" t="n">
        <x:v>805</x:v>
      </x:c>
      <x:c r="B813" s="2" t="str">
        <x:v>傅士仁</x:v>
      </x:c>
      <x:c r="C813" s="2" t="str">
        <x:v>傅士仁</x:v>
      </x:c>
      <x:c r="D813" s="2" t="str"/>
      <x:c r="E813" s="13" t="n">
        <x:v>182</x:v>
      </x:c>
      <x:c r="F813" s="13" t="n">
        <x:v>201</x:v>
      </x:c>
      <x:c r="G813" s="13" t="n">
        <x:v>222</x:v>
      </x:c>
      <x:c r="H813" s="2" t="str">
        <x:f>IF(OR($E$4="",NOT(ISNUMBER($E$4)),$E$4&lt;1,$E$4&gt;400),"参考年待填",IF(OR(E813="",F813="",G813=""),"年代待核",IF($E$4&lt;E813,"未出生",IF($E$4&lt;F813,"未登场",IF($E$4&gt;G813,"已过卒年",IF($E$4=G813,"卒年边界待核","年表可登场"))))))</x:f>
        <x:v>已过卒年</x:v>
      </x:c>
      <x:c r="I813" s="12"/>
      <x:c r="J813" s="2" t="str">
        <x:v>SAN14游戏设定</x:v>
      </x:c>
      <x:c r="K813" s="2" t="str"/>
      <x:c r="L813" s="2" t="str">
        <x:v>傅士仁</x:v>
      </x:c>
      <x:c r="M813" s="2" t="str">
        <x:v>san14-candidate-0805</x:v>
      </x:c>
      <x:c r="N813" s="2" t="str">
        <x:v>傅士仁</x:v>
      </x:c>
      <x:c r="O813" s="2" t="str">
        <x:v>フシジン</x:v>
      </x:c>
    </x:row>
    <x:row r="814" ht="23" customHeight="1">
      <x:c r="A814" s="13" t="n">
        <x:v>806</x:v>
      </x:c>
      <x:c r="B814" s="2" t="str">
        <x:v>傅佥</x:v>
      </x:c>
      <x:c r="C814" s="2" t="str">
        <x:v>傅僉</x:v>
      </x:c>
      <x:c r="D814" s="2" t="str"/>
      <x:c r="E814" s="13" t="n">
        <x:v>216</x:v>
      </x:c>
      <x:c r="F814" s="13" t="n">
        <x:v>230</x:v>
      </x:c>
      <x:c r="G814" s="13" t="n">
        <x:v>263</x:v>
      </x:c>
      <x:c r="H814" s="2" t="str">
        <x:f>IF(OR($E$4="",NOT(ISNUMBER($E$4)),$E$4&lt;1,$E$4&gt;400),"参考年待填",IF(OR(E814="",F814="",G814=""),"年代待核",IF($E$4&lt;E814,"未出生",IF($E$4&lt;F814,"未登场",IF($E$4&gt;G814,"已过卒年",IF($E$4=G814,"卒年边界待核","年表可登场"))))))</x:f>
        <x:v>年表可登场</x:v>
      </x:c>
      <x:c r="I814" s="12"/>
      <x:c r="J814" s="2" t="str">
        <x:v>SAN14游戏设定</x:v>
      </x:c>
      <x:c r="K814" s="2" t="str"/>
      <x:c r="L814" s="2" t="str">
        <x:v>傅僉</x:v>
      </x:c>
      <x:c r="M814" s="2" t="str">
        <x:v>san14-candidate-0806</x:v>
      </x:c>
      <x:c r="N814" s="2" t="str">
        <x:v>傅僉</x:v>
      </x:c>
      <x:c r="O814" s="2" t="str">
        <x:v>フセン</x:v>
      </x:c>
    </x:row>
    <x:row r="815" ht="23" customHeight="1">
      <x:c r="A815" s="13" t="n">
        <x:v>807</x:v>
      </x:c>
      <x:c r="B815" s="2" t="str">
        <x:v>傅巽</x:v>
      </x:c>
      <x:c r="C815" s="2" t="str">
        <x:v>傅巽</x:v>
      </x:c>
      <x:c r="D815" s="2" t="str"/>
      <x:c r="E815" s="13" t="n">
        <x:v>162</x:v>
      </x:c>
      <x:c r="F815" s="13" t="n">
        <x:v>184</x:v>
      </x:c>
      <x:c r="G815" s="13" t="n">
        <x:v>230</x:v>
      </x:c>
      <x:c r="H815" s="2" t="str">
        <x:f>IF(OR($E$4="",NOT(ISNUMBER($E$4)),$E$4&lt;1,$E$4&gt;400),"参考年待填",IF(OR(E815="",F815="",G815=""),"年代待核",IF($E$4&lt;E815,"未出生",IF($E$4&lt;F815,"未登场",IF($E$4&gt;G815,"已过卒年",IF($E$4=G815,"卒年边界待核","年表可登场"))))))</x:f>
        <x:v>卒年边界待核</x:v>
      </x:c>
      <x:c r="I815" s="12"/>
      <x:c r="J815" s="2" t="str">
        <x:v>SAN14游戏设定</x:v>
      </x:c>
      <x:c r="K815" s="2" t="str"/>
      <x:c r="L815" s="2" t="str">
        <x:v>傅巽</x:v>
      </x:c>
      <x:c r="M815" s="2" t="str">
        <x:v>san14-candidate-0807</x:v>
      </x:c>
      <x:c r="N815" s="2" t="str">
        <x:v>傅巽</x:v>
      </x:c>
      <x:c r="O815" s="2" t="str">
        <x:v>フソン</x:v>
      </x:c>
    </x:row>
    <x:row r="816" ht="23" customHeight="1">
      <x:c r="A816" s="13" t="n">
        <x:v>808</x:v>
      </x:c>
      <x:c r="B816" s="2" t="str">
        <x:v>傅彤</x:v>
      </x:c>
      <x:c r="C816" s="2" t="str">
        <x:v>傅彤</x:v>
      </x:c>
      <x:c r="D816" s="2" t="str"/>
      <x:c r="E816" s="13" t="n">
        <x:v>183</x:v>
      </x:c>
      <x:c r="F816" s="13" t="n">
        <x:v>207</x:v>
      </x:c>
      <x:c r="G816" s="13" t="n">
        <x:v>222</x:v>
      </x:c>
      <x:c r="H816" s="2" t="str">
        <x:f>IF(OR($E$4="",NOT(ISNUMBER($E$4)),$E$4&lt;1,$E$4&gt;400),"参考年待填",IF(OR(E816="",F816="",G816=""),"年代待核",IF($E$4&lt;E816,"未出生",IF($E$4&lt;F816,"未登场",IF($E$4&gt;G816,"已过卒年",IF($E$4=G816,"卒年边界待核","年表可登场"))))))</x:f>
        <x:v>已过卒年</x:v>
      </x:c>
      <x:c r="I816" s="12"/>
      <x:c r="J816" s="2" t="str">
        <x:v>SAN14游戏设定</x:v>
      </x:c>
      <x:c r="K816" s="2" t="str"/>
      <x:c r="L816" s="2" t="str">
        <x:v>傅彤</x:v>
      </x:c>
      <x:c r="M816" s="2" t="str">
        <x:v>san14-candidate-0808</x:v>
      </x:c>
      <x:c r="N816" s="2" t="str">
        <x:v>傅トウ</x:v>
      </x:c>
      <x:c r="O816" s="2" t="str">
        <x:v>フトウ</x:v>
      </x:c>
    </x:row>
    <x:row r="817" ht="23" customHeight="1">
      <x:c r="A817" s="13" t="n">
        <x:v>809</x:v>
      </x:c>
      <x:c r="B817" s="2" t="str">
        <x:v>文鸯</x:v>
      </x:c>
      <x:c r="C817" s="2" t="str">
        <x:v>文鴦</x:v>
      </x:c>
      <x:c r="D817" s="2" t="str"/>
      <x:c r="E817" s="13" t="n">
        <x:v>222</x:v>
      </x:c>
      <x:c r="F817" s="13" t="n">
        <x:v>236</x:v>
      </x:c>
      <x:c r="G817" s="13" t="n">
        <x:v>285</x:v>
      </x:c>
      <x:c r="H817" s="2" t="str">
        <x:f>IF(OR($E$4="",NOT(ISNUMBER($E$4)),$E$4&lt;1,$E$4&gt;400),"参考年待填",IF(OR(E817="",F817="",G817=""),"年代待核",IF($E$4&lt;E817,"未出生",IF($E$4&lt;F817,"未登场",IF($E$4&gt;G817,"已过卒年",IF($E$4=G817,"卒年边界待核","年表可登场"))))))</x:f>
        <x:v>未登场</x:v>
      </x:c>
      <x:c r="I817" s="12"/>
      <x:c r="J817" s="2" t="str">
        <x:v>SAN14游戏设定</x:v>
      </x:c>
      <x:c r="K817" s="2" t="str"/>
      <x:c r="L817" s="2" t="str">
        <x:v>文鴦</x:v>
      </x:c>
      <x:c r="M817" s="2" t="str">
        <x:v>san14-candidate-0809</x:v>
      </x:c>
      <x:c r="N817" s="2" t="str">
        <x:v>文鴦</x:v>
      </x:c>
      <x:c r="O817" s="2" t="str">
        <x:v>ブンオウ</x:v>
      </x:c>
    </x:row>
    <x:row r="818" ht="23" customHeight="1">
      <x:c r="A818" s="13" t="n">
        <x:v>810</x:v>
      </x:c>
      <x:c r="B818" s="2" t="str">
        <x:v>文钦</x:v>
      </x:c>
      <x:c r="C818" s="2" t="str">
        <x:v>文欽</x:v>
      </x:c>
      <x:c r="D818" s="2" t="str"/>
      <x:c r="E818" s="13" t="n">
        <x:v>200</x:v>
      </x:c>
      <x:c r="F818" s="13" t="n">
        <x:v>217</x:v>
      </x:c>
      <x:c r="G818" s="13" t="n">
        <x:v>258</x:v>
      </x:c>
      <x:c r="H818" s="2" t="str">
        <x:f>IF(OR($E$4="",NOT(ISNUMBER($E$4)),$E$4&lt;1,$E$4&gt;400),"参考年待填",IF(OR(E818="",F818="",G818=""),"年代待核",IF($E$4&lt;E818,"未出生",IF($E$4&lt;F818,"未登场",IF($E$4&gt;G818,"已过卒年",IF($E$4=G818,"卒年边界待核","年表可登场"))))))</x:f>
        <x:v>年表可登场</x:v>
      </x:c>
      <x:c r="I818" s="12"/>
      <x:c r="J818" s="2" t="str">
        <x:v>SAN14游戏设定</x:v>
      </x:c>
      <x:c r="K818" s="2" t="str"/>
      <x:c r="L818" s="2" t="str">
        <x:v>文欽</x:v>
      </x:c>
      <x:c r="M818" s="2" t="str">
        <x:v>san14-candidate-0810</x:v>
      </x:c>
      <x:c r="N818" s="2" t="str">
        <x:v>文欽</x:v>
      </x:c>
      <x:c r="O818" s="2" t="str">
        <x:v>ブンキン</x:v>
      </x:c>
    </x:row>
    <x:row r="819" ht="23" customHeight="1">
      <x:c r="A819" s="13" t="n">
        <x:v>811</x:v>
      </x:c>
      <x:c r="B819" s="2" t="str">
        <x:v>文虎</x:v>
      </x:c>
      <x:c r="C819" s="2" t="str">
        <x:v>文虎</x:v>
      </x:c>
      <x:c r="D819" s="2" t="str"/>
      <x:c r="E819" s="13" t="n">
        <x:v>227</x:v>
      </x:c>
      <x:c r="F819" s="13" t="n">
        <x:v>241</x:v>
      </x:c>
      <x:c r="G819" s="13" t="n">
        <x:v>279</x:v>
      </x:c>
      <x:c r="H819" s="2" t="str">
        <x:f>IF(OR($E$4="",NOT(ISNUMBER($E$4)),$E$4&lt;1,$E$4&gt;400),"参考年待填",IF(OR(E819="",F819="",G819=""),"年代待核",IF($E$4&lt;E819,"未出生",IF($E$4&lt;F819,"未登场",IF($E$4&gt;G819,"已过卒年",IF($E$4=G819,"卒年边界待核","年表可登场"))))))</x:f>
        <x:v>未登场</x:v>
      </x:c>
      <x:c r="I819" s="12"/>
      <x:c r="J819" s="2" t="str">
        <x:v>SAN14游戏设定</x:v>
      </x:c>
      <x:c r="K819" s="2" t="str"/>
      <x:c r="L819" s="2" t="str">
        <x:v>文虎</x:v>
      </x:c>
      <x:c r="M819" s="2" t="str">
        <x:v>san14-candidate-0811</x:v>
      </x:c>
      <x:c r="N819" s="2" t="str">
        <x:v>文虎</x:v>
      </x:c>
      <x:c r="O819" s="2" t="str">
        <x:v>ブンコ</x:v>
      </x:c>
    </x:row>
    <x:row r="820" ht="23" customHeight="1">
      <x:c r="A820" s="13" t="n">
        <x:v>812</x:v>
      </x:c>
      <x:c r="B820" s="2" t="str">
        <x:v>文丑</x:v>
      </x:c>
      <x:c r="C820" s="2" t="str">
        <x:v>文醜</x:v>
      </x:c>
      <x:c r="D820" s="2" t="str"/>
      <x:c r="E820" s="13" t="n">
        <x:v>161</x:v>
      </x:c>
      <x:c r="F820" s="13" t="n">
        <x:v>184</x:v>
      </x:c>
      <x:c r="G820" s="13" t="n">
        <x:v>200</x:v>
      </x:c>
      <x:c r="H820" s="2" t="str">
        <x:f>IF(OR($E$4="",NOT(ISNUMBER($E$4)),$E$4&lt;1,$E$4&gt;400),"参考年待填",IF(OR(E820="",F820="",G820=""),"年代待核",IF($E$4&lt;E820,"未出生",IF($E$4&lt;F820,"未登场",IF($E$4&gt;G820,"已过卒年",IF($E$4=G820,"卒年边界待核","年表可登场"))))))</x:f>
        <x:v>已过卒年</x:v>
      </x:c>
      <x:c r="I820" s="12"/>
      <x:c r="J820" s="2" t="str">
        <x:v>SAN14游戏设定</x:v>
      </x:c>
      <x:c r="K820" s="2" t="str"/>
      <x:c r="L820" s="2" t="str">
        <x:v>文醜</x:v>
      </x:c>
      <x:c r="M820" s="2" t="str">
        <x:v>san14-candidate-0812</x:v>
      </x:c>
      <x:c r="N820" s="2" t="str">
        <x:v>文醜</x:v>
      </x:c>
      <x:c r="O820" s="2" t="str">
        <x:v>ブンシュウ</x:v>
      </x:c>
    </x:row>
    <x:row r="821" ht="23" customHeight="1">
      <x:c r="A821" s="13" t="n">
        <x:v>813</x:v>
      </x:c>
      <x:c r="B821" s="2" t="str">
        <x:v>文则</x:v>
      </x:c>
      <x:c r="C821" s="2" t="str">
        <x:v>文則</x:v>
      </x:c>
      <x:c r="D821" s="2" t="str"/>
      <x:c r="E821" s="13" t="n">
        <x:v>163</x:v>
      </x:c>
      <x:c r="F821" s="13" t="n">
        <x:v>184</x:v>
      </x:c>
      <x:c r="G821" s="13" t="n">
        <x:v>199</x:v>
      </x:c>
      <x:c r="H821" s="2" t="str">
        <x:f>IF(OR($E$4="",NOT(ISNUMBER($E$4)),$E$4&lt;1,$E$4&gt;400),"参考年待填",IF(OR(E821="",F821="",G821=""),"年代待核",IF($E$4&lt;E821,"未出生",IF($E$4&lt;F821,"未登场",IF($E$4&gt;G821,"已过卒年",IF($E$4=G821,"卒年边界待核","年表可登场"))))))</x:f>
        <x:v>已过卒年</x:v>
      </x:c>
      <x:c r="I821" s="12"/>
      <x:c r="J821" s="2" t="str">
        <x:v>SAN14游戏设定</x:v>
      </x:c>
      <x:c r="K821" s="2" t="str"/>
      <x:c r="L821" s="2" t="str">
        <x:v>文則</x:v>
      </x:c>
      <x:c r="M821" s="2" t="str">
        <x:v>san14-candidate-0813</x:v>
      </x:c>
      <x:c r="N821" s="2" t="str">
        <x:v>文則</x:v>
      </x:c>
      <x:c r="O821" s="2" t="str">
        <x:v>ブンソク</x:v>
      </x:c>
    </x:row>
    <x:row r="822" ht="23" customHeight="1">
      <x:c r="A822" s="13" t="n">
        <x:v>814</x:v>
      </x:c>
      <x:c r="B822" s="2" t="str">
        <x:v>文聘</x:v>
      </x:c>
      <x:c r="C822" s="2" t="str">
        <x:v>文聘</x:v>
      </x:c>
      <x:c r="D822" s="2" t="str"/>
      <x:c r="E822" s="13" t="n">
        <x:v>178</x:v>
      </x:c>
      <x:c r="F822" s="13" t="n">
        <x:v>197</x:v>
      </x:c>
      <x:c r="G822" s="13" t="n">
        <x:v>237</x:v>
      </x:c>
      <x:c r="H822" s="2" t="str">
        <x:f>IF(OR($E$4="",NOT(ISNUMBER($E$4)),$E$4&lt;1,$E$4&gt;400),"参考年待填",IF(OR(E822="",F822="",G822=""),"年代待核",IF($E$4&lt;E822,"未出生",IF($E$4&lt;F822,"未登场",IF($E$4&gt;G822,"已过卒年",IF($E$4=G822,"卒年边界待核","年表可登场"))))))</x:f>
        <x:v>年表可登场</x:v>
      </x:c>
      <x:c r="I822" s="12"/>
      <x:c r="J822" s="2" t="str">
        <x:v>SAN14游戏设定</x:v>
      </x:c>
      <x:c r="K822" s="2" t="str"/>
      <x:c r="L822" s="2" t="str">
        <x:v>文聘</x:v>
      </x:c>
      <x:c r="M822" s="2" t="str">
        <x:v>san14-candidate-0814</x:v>
      </x:c>
      <x:c r="N822" s="2" t="str">
        <x:v>文聘</x:v>
      </x:c>
      <x:c r="O822" s="2" t="str">
        <x:v>ブンペイ</x:v>
      </x:c>
    </x:row>
    <x:row r="823" ht="23" customHeight="1">
      <x:c r="A823" s="13" t="n">
        <x:v>815</x:v>
      </x:c>
      <x:c r="B823" s="2" t="str">
        <x:v>卞喜</x:v>
      </x:c>
      <x:c r="C823" s="2" t="str">
        <x:v>卞喜</x:v>
      </x:c>
      <x:c r="D823" s="2" t="str"/>
      <x:c r="E823" s="13" t="n">
        <x:v>169</x:v>
      </x:c>
      <x:c r="F823" s="13" t="n">
        <x:v>184</x:v>
      </x:c>
      <x:c r="G823" s="13" t="n">
        <x:v>200</x:v>
      </x:c>
      <x:c r="H823" s="2" t="str">
        <x:f>IF(OR($E$4="",NOT(ISNUMBER($E$4)),$E$4&lt;1,$E$4&gt;400),"参考年待填",IF(OR(E823="",F823="",G823=""),"年代待核",IF($E$4&lt;E823,"未出生",IF($E$4&lt;F823,"未登场",IF($E$4&gt;G823,"已过卒年",IF($E$4=G823,"卒年边界待核","年表可登场"))))))</x:f>
        <x:v>已过卒年</x:v>
      </x:c>
      <x:c r="I823" s="12"/>
      <x:c r="J823" s="2" t="str">
        <x:v>SAN14游戏设定</x:v>
      </x:c>
      <x:c r="K823" s="2" t="str"/>
      <x:c r="L823" s="2" t="str">
        <x:v>卞喜</x:v>
      </x:c>
      <x:c r="M823" s="2" t="str">
        <x:v>san14-candidate-0815</x:v>
      </x:c>
      <x:c r="N823" s="2" t="str">
        <x:v>卞喜</x:v>
      </x:c>
      <x:c r="O823" s="2" t="str">
        <x:v>ベンキ</x:v>
      </x:c>
    </x:row>
    <x:row r="824" ht="23" customHeight="1">
      <x:c r="A824" s="13" t="n">
        <x:v>816</x:v>
      </x:c>
      <x:c r="B824" s="2" t="str">
        <x:v>卞氏</x:v>
      </x:c>
      <x:c r="C824" s="2" t="str">
        <x:v>卞氏</x:v>
      </x:c>
      <x:c r="D824" s="2" t="str"/>
      <x:c r="E824" s="13" t="n">
        <x:v>160</x:v>
      </x:c>
      <x:c r="F824" s="13" t="n">
        <x:v>184</x:v>
      </x:c>
      <x:c r="G824" s="13" t="n">
        <x:v>230</x:v>
      </x:c>
      <x:c r="H824" s="2" t="str">
        <x:f>IF(OR($E$4="",NOT(ISNUMBER($E$4)),$E$4&lt;1,$E$4&gt;400),"参考年待填",IF(OR(E824="",F824="",G824=""),"年代待核",IF($E$4&lt;E824,"未出生",IF($E$4&lt;F824,"未登场",IF($E$4&gt;G824,"已过卒年",IF($E$4=G824,"卒年边界待核","年表可登场"))))))</x:f>
        <x:v>卒年边界待核</x:v>
      </x:c>
      <x:c r="I824" s="12"/>
      <x:c r="J824" s="2" t="str">
        <x:v>SAN14游戏设定</x:v>
      </x:c>
      <x:c r="K824" s="2" t="str"/>
      <x:c r="L824" s="2" t="str">
        <x:v>卞氏</x:v>
      </x:c>
      <x:c r="M824" s="2" t="str">
        <x:v>san14-candidate-0816</x:v>
      </x:c>
      <x:c r="N824" s="2" t="str">
        <x:v>卞氏</x:v>
      </x:c>
      <x:c r="O824" s="2" t="str">
        <x:v>ベンシ</x:v>
      </x:c>
    </x:row>
    <x:row r="825" ht="23" customHeight="1">
      <x:c r="A825" s="13" t="n">
        <x:v>817</x:v>
      </x:c>
      <x:c r="B825" s="2" t="str">
        <x:v>庞淯</x:v>
      </x:c>
      <x:c r="C825" s="2" t="str">
        <x:v>龐淯</x:v>
      </x:c>
      <x:c r="D825" s="2" t="str"/>
      <x:c r="E825" s="13" t="n">
        <x:v>178</x:v>
      </x:c>
      <x:c r="F825" s="13" t="n">
        <x:v>197</x:v>
      </x:c>
      <x:c r="G825" s="13" t="n">
        <x:v>237</x:v>
      </x:c>
      <x:c r="H825" s="2" t="str">
        <x:f>IF(OR($E$4="",NOT(ISNUMBER($E$4)),$E$4&lt;1,$E$4&gt;400),"参考年待填",IF(OR(E825="",F825="",G825=""),"年代待核",IF($E$4&lt;E825,"未出生",IF($E$4&lt;F825,"未登场",IF($E$4&gt;G825,"已过卒年",IF($E$4=G825,"卒年边界待核","年表可登场"))))))</x:f>
        <x:v>年表可登场</x:v>
      </x:c>
      <x:c r="I825" s="12"/>
      <x:c r="J825" s="2" t="str">
        <x:v>SAN14游戏设定</x:v>
      </x:c>
      <x:c r="K825" s="2" t="str"/>
      <x:c r="L825" s="2" t="str">
        <x:v>龐淯</x:v>
      </x:c>
      <x:c r="M825" s="2" t="str">
        <x:v>san14-candidate-0817</x:v>
      </x:c>
      <x:c r="N825" s="2" t="str">
        <x:v>ホウイク</x:v>
      </x:c>
      <x:c r="O825" s="2" t="str">
        <x:v>ホウイク</x:v>
      </x:c>
    </x:row>
    <x:row r="826" ht="23" customHeight="1">
      <x:c r="A826" s="13" t="n">
        <x:v>818</x:v>
      </x:c>
      <x:c r="B826" s="2" t="str">
        <x:v>方悦</x:v>
      </x:c>
      <x:c r="C826" s="2" t="str">
        <x:v>方悅</x:v>
      </x:c>
      <x:c r="D826" s="2" t="str"/>
      <x:c r="E826" s="13" t="n">
        <x:v>153</x:v>
      </x:c>
      <x:c r="F826" s="13" t="n">
        <x:v>184</x:v>
      </x:c>
      <x:c r="G826" s="13" t="n">
        <x:v>190</x:v>
      </x:c>
      <x:c r="H826" s="2" t="str">
        <x:f>IF(OR($E$4="",NOT(ISNUMBER($E$4)),$E$4&lt;1,$E$4&gt;400),"参考年待填",IF(OR(E826="",F826="",G826=""),"年代待核",IF($E$4&lt;E826,"未出生",IF($E$4&lt;F826,"未登场",IF($E$4&gt;G826,"已过卒年",IF($E$4=G826,"卒年边界待核","年表可登场"))))))</x:f>
        <x:v>已过卒年</x:v>
      </x:c>
      <x:c r="I826" s="12"/>
      <x:c r="J826" s="2" t="str">
        <x:v>SAN14游戏设定</x:v>
      </x:c>
      <x:c r="K826" s="2" t="str"/>
      <x:c r="L826" s="2" t="str">
        <x:v>方悅</x:v>
      </x:c>
      <x:c r="M826" s="2" t="str">
        <x:v>san14-candidate-0818</x:v>
      </x:c>
      <x:c r="N826" s="2" t="str">
        <x:v>方悦</x:v>
      </x:c>
      <x:c r="O826" s="2" t="str">
        <x:v>ホウエツ</x:v>
      </x:c>
    </x:row>
    <x:row r="827" ht="23" customHeight="1">
      <x:c r="A827" s="13" t="n">
        <x:v>819</x:v>
      </x:c>
      <x:c r="B827" s="2" t="str">
        <x:v>赵娥</x:v>
      </x:c>
      <x:c r="C827" s="2" t="str">
        <x:v>趙娥</x:v>
      </x:c>
      <x:c r="D827" s="2" t="str"/>
      <x:c r="E827" s="13" t="n">
        <x:v>153</x:v>
      </x:c>
      <x:c r="F827" s="13" t="n">
        <x:v>184</x:v>
      </x:c>
      <x:c r="G827" s="13" t="n">
        <x:v>213</x:v>
      </x:c>
      <x:c r="H827" s="2" t="str">
        <x:f>IF(OR($E$4="",NOT(ISNUMBER($E$4)),$E$4&lt;1,$E$4&gt;400),"参考年待填",IF(OR(E827="",F827="",G827=""),"年代待核",IF($E$4&lt;E827,"未出生",IF($E$4&lt;F827,"未登场",IF($E$4&gt;G827,"已过卒年",IF($E$4=G827,"卒年边界待核","年表可登场"))))))</x:f>
        <x:v>已过卒年</x:v>
      </x:c>
      <x:c r="I827" s="12"/>
      <x:c r="J827" s="2" t="str">
        <x:v>SAN14游戏设定</x:v>
      </x:c>
      <x:c r="K827" s="2" t="str"/>
      <x:c r="L827" s="2" t="str">
        <x:v>趙娥</x:v>
      </x:c>
      <x:c r="M827" s="2" t="str">
        <x:v>san14-candidate-0819</x:v>
      </x:c>
      <x:c r="N827" s="2" t="str">
        <x:v>趙娥</x:v>
      </x:c>
      <x:c r="O827" s="2" t="str">
        <x:v>チョウガ</x:v>
      </x:c>
    </x:row>
    <x:row r="828" ht="23" customHeight="1">
      <x:c r="A828" s="13" t="n">
        <x:v>820</x:v>
      </x:c>
      <x:c r="B828" s="2" t="str">
        <x:v>庞会</x:v>
      </x:c>
      <x:c r="C828" s="2" t="str">
        <x:v>龐會</x:v>
      </x:c>
      <x:c r="D828" s="2" t="str"/>
      <x:c r="E828" s="13" t="n">
        <x:v>205</x:v>
      </x:c>
      <x:c r="F828" s="13" t="n">
        <x:v>219</x:v>
      </x:c>
      <x:c r="G828" s="13" t="n">
        <x:v>272</x:v>
      </x:c>
      <x:c r="H828" s="2" t="str">
        <x:f>IF(OR($E$4="",NOT(ISNUMBER($E$4)),$E$4&lt;1,$E$4&gt;400),"参考年待填",IF(OR(E828="",F828="",G828=""),"年代待核",IF($E$4&lt;E828,"未出生",IF($E$4&lt;F828,"未登场",IF($E$4&gt;G828,"已过卒年",IF($E$4=G828,"卒年边界待核","年表可登场"))))))</x:f>
        <x:v>年表可登场</x:v>
      </x:c>
      <x:c r="I828" s="12"/>
      <x:c r="J828" s="2" t="str">
        <x:v>SAN14游戏设定</x:v>
      </x:c>
      <x:c r="K828" s="2" t="str"/>
      <x:c r="L828" s="2" t="str">
        <x:v>龐會</x:v>
      </x:c>
      <x:c r="M828" s="2" t="str">
        <x:v>san14-candidate-0820</x:v>
      </x:c>
      <x:c r="N828" s="2" t="str">
        <x:v>ホウ会</x:v>
      </x:c>
      <x:c r="O828" s="2" t="str">
        <x:v>ホウカイ</x:v>
      </x:c>
    </x:row>
    <x:row r="829" ht="23" customHeight="1">
      <x:c r="A829" s="13" t="n">
        <x:v>821</x:v>
      </x:c>
      <x:c r="B829" s="2" t="str">
        <x:v>忙牙长</x:v>
      </x:c>
      <x:c r="C829" s="2" t="str">
        <x:v>忙牙長</x:v>
      </x:c>
      <x:c r="D829" s="2" t="str"/>
      <x:c r="E829" s="13" t="n">
        <x:v>191</x:v>
      </x:c>
      <x:c r="F829" s="13" t="n">
        <x:v>217</x:v>
      </x:c>
      <x:c r="G829" s="13" t="n">
        <x:v>225</x:v>
      </x:c>
      <x:c r="H829" s="2" t="str">
        <x:f>IF(OR($E$4="",NOT(ISNUMBER($E$4)),$E$4&lt;1,$E$4&gt;400),"参考年待填",IF(OR(E829="",F829="",G829=""),"年代待核",IF($E$4&lt;E829,"未出生",IF($E$4&lt;F829,"未登场",IF($E$4&gt;G829,"已过卒年",IF($E$4=G829,"卒年边界待核","年表可登场"))))))</x:f>
        <x:v>已过卒年</x:v>
      </x:c>
      <x:c r="I829" s="12"/>
      <x:c r="J829" s="2" t="str">
        <x:v>SAN14游戏设定</x:v>
      </x:c>
      <x:c r="K829" s="2" t="str"/>
      <x:c r="L829" s="2" t="str">
        <x:v>忙牙長</x:v>
      </x:c>
      <x:c r="M829" s="2" t="str">
        <x:v>san14-candidate-0821</x:v>
      </x:c>
      <x:c r="N829" s="2" t="str">
        <x:v>忙牙長</x:v>
      </x:c>
      <x:c r="O829" s="2" t="str">
        <x:v>ボウガチョウ</x:v>
      </x:c>
    </x:row>
    <x:row r="830" ht="23" customHeight="1">
      <x:c r="A830" s="13" t="n">
        <x:v>822</x:v>
      </x:c>
      <x:c r="B830" s="2" t="str">
        <x:v>逢纪</x:v>
      </x:c>
      <x:c r="C830" s="2" t="str">
        <x:v>逢紀</x:v>
      </x:c>
      <x:c r="D830" s="2" t="str"/>
      <x:c r="E830" s="13" t="n">
        <x:v>153</x:v>
      </x:c>
      <x:c r="F830" s="13" t="n">
        <x:v>184</x:v>
      </x:c>
      <x:c r="G830" s="13" t="n">
        <x:v>202</x:v>
      </x:c>
      <x:c r="H830" s="2" t="str">
        <x:f>IF(OR($E$4="",NOT(ISNUMBER($E$4)),$E$4&lt;1,$E$4&gt;400),"参考年待填",IF(OR(E830="",F830="",G830=""),"年代待核",IF($E$4&lt;E830,"未出生",IF($E$4&lt;F830,"未登场",IF($E$4&gt;G830,"已过卒年",IF($E$4=G830,"卒年边界待核","年表可登场"))))))</x:f>
        <x:v>已过卒年</x:v>
      </x:c>
      <x:c r="I830" s="12"/>
      <x:c r="J830" s="2" t="str">
        <x:v>SAN14游戏设定</x:v>
      </x:c>
      <x:c r="K830" s="2" t="str"/>
      <x:c r="L830" s="2" t="str">
        <x:v>逢紀</x:v>
      </x:c>
      <x:c r="M830" s="2" t="str">
        <x:v>san14-candidate-0822</x:v>
      </x:c>
      <x:c r="N830" s="2" t="str">
        <x:v>逢紀</x:v>
      </x:c>
      <x:c r="O830" s="2" t="str">
        <x:v>ホウキ</x:v>
      </x:c>
    </x:row>
    <x:row r="831" ht="23" customHeight="1">
      <x:c r="A831" s="13" t="n">
        <x:v>823</x:v>
      </x:c>
      <x:c r="B831" s="2" t="str">
        <x:v>庞羲</x:v>
      </x:c>
      <x:c r="C831" s="2" t="str">
        <x:v>龐羲</x:v>
      </x:c>
      <x:c r="D831" s="2" t="str"/>
      <x:c r="E831" s="13" t="n">
        <x:v>153</x:v>
      </x:c>
      <x:c r="F831" s="13" t="n">
        <x:v>184</x:v>
      </x:c>
      <x:c r="G831" s="13" t="n">
        <x:v>218</x:v>
      </x:c>
      <x:c r="H831" s="2" t="str">
        <x:f>IF(OR($E$4="",NOT(ISNUMBER($E$4)),$E$4&lt;1,$E$4&gt;400),"参考年待填",IF(OR(E831="",F831="",G831=""),"年代待核",IF($E$4&lt;E831,"未出生",IF($E$4&lt;F831,"未登场",IF($E$4&gt;G831,"已过卒年",IF($E$4=G831,"卒年边界待核","年表可登场"))))))</x:f>
        <x:v>已过卒年</x:v>
      </x:c>
      <x:c r="I831" s="12"/>
      <x:c r="J831" s="2" t="str">
        <x:v>SAN14游戏设定</x:v>
      </x:c>
      <x:c r="K831" s="2" t="str"/>
      <x:c r="L831" s="2" t="str">
        <x:v>龐羲</x:v>
      </x:c>
      <x:c r="M831" s="2" t="str">
        <x:v>san14-candidate-0823</x:v>
      </x:c>
      <x:c r="N831" s="2" t="str">
        <x:v>ホウ羲</x:v>
      </x:c>
      <x:c r="O831" s="2" t="str">
        <x:v>ホウギ</x:v>
      </x:c>
    </x:row>
    <x:row r="832" ht="23" customHeight="1">
      <x:c r="A832" s="13" t="n">
        <x:v>824</x:v>
      </x:c>
      <x:c r="B832" s="2" t="str">
        <x:v>鲍勋</x:v>
      </x:c>
      <x:c r="C832" s="2" t="str">
        <x:v>鮑勛</x:v>
      </x:c>
      <x:c r="D832" s="2" t="str"/>
      <x:c r="E832" s="13" t="n">
        <x:v>181</x:v>
      </x:c>
      <x:c r="F832" s="13" t="n">
        <x:v>200</x:v>
      </x:c>
      <x:c r="G832" s="13" t="n">
        <x:v>226</x:v>
      </x:c>
      <x:c r="H832" s="2" t="str">
        <x:f>IF(OR($E$4="",NOT(ISNUMBER($E$4)),$E$4&lt;1,$E$4&gt;400),"参考年待填",IF(OR(E832="",F832="",G832=""),"年代待核",IF($E$4&lt;E832,"未出生",IF($E$4&lt;F832,"未登场",IF($E$4&gt;G832,"已过卒年",IF($E$4=G832,"卒年边界待核","年表可登场"))))))</x:f>
        <x:v>已过卒年</x:v>
      </x:c>
      <x:c r="I832" s="12"/>
      <x:c r="J832" s="2" t="str">
        <x:v>SAN14游戏设定</x:v>
      </x:c>
      <x:c r="K832" s="2" t="str"/>
      <x:c r="L832" s="2" t="str">
        <x:v>鮑勛</x:v>
      </x:c>
      <x:c r="M832" s="2" t="str">
        <x:v>san14-candidate-0824</x:v>
      </x:c>
      <x:c r="N832" s="2" t="str">
        <x:v>鮑勛</x:v>
      </x:c>
      <x:c r="O832" s="2" t="str">
        <x:v>ホウクン</x:v>
      </x:c>
    </x:row>
    <x:row r="833" ht="23" customHeight="1">
      <x:c r="A833" s="13" t="n">
        <x:v>825</x:v>
      </x:c>
      <x:c r="B833" s="2" t="str">
        <x:v>鲍三娘</x:v>
      </x:c>
      <x:c r="C833" s="2" t="str">
        <x:v>鮑三娘</x:v>
      </x:c>
      <x:c r="D833" s="2" t="str"/>
      <x:c r="E833" s="13" t="n">
        <x:v>198</x:v>
      </x:c>
      <x:c r="F833" s="13" t="n">
        <x:v>220</x:v>
      </x:c>
      <x:c r="G833" s="13" t="n">
        <x:v>248</x:v>
      </x:c>
      <x:c r="H833" s="2" t="str">
        <x:f>IF(OR($E$4="",NOT(ISNUMBER($E$4)),$E$4&lt;1,$E$4&gt;400),"参考年待填",IF(OR(E833="",F833="",G833=""),"年代待核",IF($E$4&lt;E833,"未出生",IF($E$4&lt;F833,"未登场",IF($E$4&gt;G833,"已过卒年",IF($E$4=G833,"卒年边界待核","年表可登场"))))))</x:f>
        <x:v>年表可登场</x:v>
      </x:c>
      <x:c r="I833" s="12"/>
      <x:c r="J833" s="2" t="str">
        <x:v>SAN14游戏设定</x:v>
      </x:c>
      <x:c r="K833" s="2" t="str"/>
      <x:c r="L833" s="2" t="str">
        <x:v>鮑三娘</x:v>
      </x:c>
      <x:c r="M833" s="2" t="str">
        <x:v>san14-candidate-0825</x:v>
      </x:c>
      <x:c r="N833" s="2" t="str">
        <x:v>鮑三娘</x:v>
      </x:c>
      <x:c r="O833" s="2" t="str">
        <x:v>ホウサンジョウ</x:v>
      </x:c>
    </x:row>
    <x:row r="834" ht="23" customHeight="1">
      <x:c r="A834" s="13" t="n">
        <x:v>826</x:v>
      </x:c>
      <x:c r="B834" s="2" t="str">
        <x:v>鲍信</x:v>
      </x:c>
      <x:c r="C834" s="2" t="str">
        <x:v>鮑信</x:v>
      </x:c>
      <x:c r="D834" s="2" t="str"/>
      <x:c r="E834" s="13" t="n">
        <x:v>152</x:v>
      </x:c>
      <x:c r="F834" s="13" t="n">
        <x:v>184</x:v>
      </x:c>
      <x:c r="G834" s="13" t="n">
        <x:v>192</x:v>
      </x:c>
      <x:c r="H834" s="2" t="str">
        <x:f>IF(OR($E$4="",NOT(ISNUMBER($E$4)),$E$4&lt;1,$E$4&gt;400),"参考年待填",IF(OR(E834="",F834="",G834=""),"年代待核",IF($E$4&lt;E834,"未出生",IF($E$4&lt;F834,"未登场",IF($E$4&gt;G834,"已过卒年",IF($E$4=G834,"卒年边界待核","年表可登场"))))))</x:f>
        <x:v>已过卒年</x:v>
      </x:c>
      <x:c r="I834" s="12"/>
      <x:c r="J834" s="2" t="str">
        <x:v>SAN14游戏设定</x:v>
      </x:c>
      <x:c r="K834" s="2" t="str"/>
      <x:c r="L834" s="2" t="str">
        <x:v>鮑信</x:v>
      </x:c>
      <x:c r="M834" s="2" t="str">
        <x:v>san14-candidate-0826</x:v>
      </x:c>
      <x:c r="N834" s="2" t="str">
        <x:v>鮑信</x:v>
      </x:c>
      <x:c r="O834" s="2" t="str">
        <x:v>ホウシン</x:v>
      </x:c>
    </x:row>
    <x:row r="835" ht="23" customHeight="1">
      <x:c r="A835" s="13" t="n">
        <x:v>827</x:v>
      </x:c>
      <x:c r="B835" s="2" t="str">
        <x:v>法正</x:v>
      </x:c>
      <x:c r="C835" s="2" t="str">
        <x:v>法正</x:v>
      </x:c>
      <x:c r="D835" s="2" t="str"/>
      <x:c r="E835" s="13" t="n">
        <x:v>176</x:v>
      </x:c>
      <x:c r="F835" s="13" t="n">
        <x:v>195</x:v>
      </x:c>
      <x:c r="G835" s="13" t="n">
        <x:v>220</x:v>
      </x:c>
      <x:c r="H835" s="2" t="str">
        <x:f>IF(OR($E$4="",NOT(ISNUMBER($E$4)),$E$4&lt;1,$E$4&gt;400),"参考年待填",IF(OR(E835="",F835="",G835=""),"年代待核",IF($E$4&lt;E835,"未出生",IF($E$4&lt;F835,"未登场",IF($E$4&gt;G835,"已过卒年",IF($E$4=G835,"卒年边界待核","年表可登场"))))))</x:f>
        <x:v>已过卒年</x:v>
      </x:c>
      <x:c r="I835" s="12"/>
      <x:c r="J835" s="2" t="str">
        <x:v>SAN14游戏设定</x:v>
      </x:c>
      <x:c r="K835" s="2" t="str"/>
      <x:c r="L835" s="2" t="str">
        <x:v>法正</x:v>
      </x:c>
      <x:c r="M835" s="2" t="str">
        <x:v>san14-candidate-0827</x:v>
      </x:c>
      <x:c r="N835" s="2" t="str">
        <x:v>法正</x:v>
      </x:c>
      <x:c r="O835" s="2" t="str">
        <x:v>ホウセイ</x:v>
      </x:c>
    </x:row>
    <x:row r="836" ht="23" customHeight="1">
      <x:c r="A836" s="13" t="n">
        <x:v>828</x:v>
      </x:c>
      <x:c r="B836" s="2" t="str">
        <x:v>庞统</x:v>
      </x:c>
      <x:c r="C836" s="2" t="str">
        <x:v>龐統</x:v>
      </x:c>
      <x:c r="D836" s="2" t="str"/>
      <x:c r="E836" s="13" t="n">
        <x:v>179</x:v>
      </x:c>
      <x:c r="F836" s="13" t="n">
        <x:v>208</x:v>
      </x:c>
      <x:c r="G836" s="13" t="n">
        <x:v>214</x:v>
      </x:c>
      <x:c r="H836" s="2" t="str">
        <x:f>IF(OR($E$4="",NOT(ISNUMBER($E$4)),$E$4&lt;1,$E$4&gt;400),"参考年待填",IF(OR(E836="",F836="",G836=""),"年代待核",IF($E$4&lt;E836,"未出生",IF($E$4&lt;F836,"未登场",IF($E$4&gt;G836,"已过卒年",IF($E$4=G836,"卒年边界待核","年表可登场"))))))</x:f>
        <x:v>已过卒年</x:v>
      </x:c>
      <x:c r="I836" s="12"/>
      <x:c r="J836" s="2" t="str">
        <x:v>SAN14游戏设定</x:v>
      </x:c>
      <x:c r="K836" s="2" t="str"/>
      <x:c r="L836" s="2" t="str">
        <x:v>龐統</x:v>
      </x:c>
      <x:c r="M836" s="2" t="str">
        <x:v>san14-candidate-0828</x:v>
      </x:c>
      <x:c r="N836" s="2" t="str">
        <x:v>ホウ統</x:v>
      </x:c>
      <x:c r="O836" s="2" t="str">
        <x:v>ホウトウ</x:v>
      </x:c>
    </x:row>
    <x:row r="837" ht="23" customHeight="1">
      <x:c r="A837" s="13" t="n">
        <x:v>829</x:v>
      </x:c>
      <x:c r="B837" s="2" t="str">
        <x:v>鲍韬</x:v>
      </x:c>
      <x:c r="C837" s="2" t="str">
        <x:v>鮑韜</x:v>
      </x:c>
      <x:c r="D837" s="2" t="str"/>
      <x:c r="E837" s="13" t="n">
        <x:v>158</x:v>
      </x:c>
      <x:c r="F837" s="13" t="n">
        <x:v>184</x:v>
      </x:c>
      <x:c r="G837" s="13" t="n">
        <x:v>190</x:v>
      </x:c>
      <x:c r="H837" s="2" t="str">
        <x:f>IF(OR($E$4="",NOT(ISNUMBER($E$4)),$E$4&lt;1,$E$4&gt;400),"参考年待填",IF(OR(E837="",F837="",G837=""),"年代待核",IF($E$4&lt;E837,"未出生",IF($E$4&lt;F837,"未登场",IF($E$4&gt;G837,"已过卒年",IF($E$4=G837,"卒年边界待核","年表可登场"))))))</x:f>
        <x:v>已过卒年</x:v>
      </x:c>
      <x:c r="I837" s="12"/>
      <x:c r="J837" s="2" t="str">
        <x:v>SAN14游戏设定</x:v>
      </x:c>
      <x:c r="K837" s="2" t="str"/>
      <x:c r="L837" s="2" t="str">
        <x:v>鮑韜</x:v>
      </x:c>
      <x:c r="M837" s="2" t="str">
        <x:v>san14-candidate-0829</x:v>
      </x:c>
      <x:c r="N837" s="2" t="str">
        <x:v>鮑韜</x:v>
      </x:c>
      <x:c r="O837" s="2" t="str">
        <x:v>ホウトウ</x:v>
      </x:c>
    </x:row>
    <x:row r="838" ht="23" customHeight="1">
      <x:c r="A838" s="13" t="n">
        <x:v>830</x:v>
      </x:c>
      <x:c r="B838" s="2" t="str">
        <x:v>庞德</x:v>
      </x:c>
      <x:c r="C838" s="2" t="str">
        <x:v>龐德</x:v>
      </x:c>
      <x:c r="D838" s="2" t="str"/>
      <x:c r="E838" s="13" t="n">
        <x:v>170</x:v>
      </x:c>
      <x:c r="F838" s="13" t="n">
        <x:v>184</x:v>
      </x:c>
      <x:c r="G838" s="13" t="n">
        <x:v>219</x:v>
      </x:c>
      <x:c r="H838" s="2" t="str">
        <x:f>IF(OR($E$4="",NOT(ISNUMBER($E$4)),$E$4&lt;1,$E$4&gt;400),"参考年待填",IF(OR(E838="",F838="",G838=""),"年代待核",IF($E$4&lt;E838,"未出生",IF($E$4&lt;F838,"未登场",IF($E$4&gt;G838,"已过卒年",IF($E$4=G838,"卒年边界待核","年表可登场"))))))</x:f>
        <x:v>已过卒年</x:v>
      </x:c>
      <x:c r="I838" s="12"/>
      <x:c r="J838" s="2" t="str">
        <x:v>SAN14游戏设定</x:v>
      </x:c>
      <x:c r="K838" s="2" t="str"/>
      <x:c r="L838" s="2" t="str">
        <x:v>龐德</x:v>
      </x:c>
      <x:c r="M838" s="2" t="str">
        <x:v>san14-candidate-0830</x:v>
      </x:c>
      <x:c r="N838" s="2" t="str">
        <x:v>ホウ徳</x:v>
      </x:c>
      <x:c r="O838" s="2" t="str">
        <x:v>ホウトク</x:v>
      </x:c>
    </x:row>
    <x:row r="839" ht="23" customHeight="1">
      <x:c r="A839" s="13" t="n">
        <x:v>831</x:v>
      </x:c>
      <x:c r="B839" s="2" t="str">
        <x:v>鲍隆</x:v>
      </x:c>
      <x:c r="C839" s="2" t="str">
        <x:v>鮑隆</x:v>
      </x:c>
      <x:c r="D839" s="2" t="str"/>
      <x:c r="E839" s="13" t="n">
        <x:v>174</x:v>
      </x:c>
      <x:c r="F839" s="13" t="n">
        <x:v>202</x:v>
      </x:c>
      <x:c r="G839" s="13" t="n">
        <x:v>208</x:v>
      </x:c>
      <x:c r="H839" s="2" t="str">
        <x:f>IF(OR($E$4="",NOT(ISNUMBER($E$4)),$E$4&lt;1,$E$4&gt;400),"参考年待填",IF(OR(E839="",F839="",G839=""),"年代待核",IF($E$4&lt;E839,"未出生",IF($E$4&lt;F839,"未登场",IF($E$4&gt;G839,"已过卒年",IF($E$4=G839,"卒年边界待核","年表可登场"))))))</x:f>
        <x:v>已过卒年</x:v>
      </x:c>
      <x:c r="I839" s="12"/>
      <x:c r="J839" s="2" t="str">
        <x:v>SAN14游戏设定</x:v>
      </x:c>
      <x:c r="K839" s="2" t="str"/>
      <x:c r="L839" s="2" t="str">
        <x:v>鮑隆</x:v>
      </x:c>
      <x:c r="M839" s="2" t="str">
        <x:v>san14-candidate-0831</x:v>
      </x:c>
      <x:c r="N839" s="2" t="str">
        <x:v>鮑隆</x:v>
      </x:c>
      <x:c r="O839" s="2" t="str">
        <x:v>ホウリュウ</x:v>
      </x:c>
    </x:row>
    <x:row r="840" ht="23" customHeight="1">
      <x:c r="A840" s="13" t="n">
        <x:v>832</x:v>
      </x:c>
      <x:c r="B840" s="2" t="str">
        <x:v>庞林</x:v>
      </x:c>
      <x:c r="C840" s="2" t="str">
        <x:v>龐林</x:v>
      </x:c>
      <x:c r="D840" s="2" t="str"/>
      <x:c r="E840" s="13" t="n">
        <x:v>184</x:v>
      </x:c>
      <x:c r="F840" s="13" t="n">
        <x:v>208</x:v>
      </x:c>
      <x:c r="G840" s="13" t="n">
        <x:v>245</x:v>
      </x:c>
      <x:c r="H840" s="2" t="str">
        <x:f>IF(OR($E$4="",NOT(ISNUMBER($E$4)),$E$4&lt;1,$E$4&gt;400),"参考年待填",IF(OR(E840="",F840="",G840=""),"年代待核",IF($E$4&lt;E840,"未出生",IF($E$4&lt;F840,"未登场",IF($E$4&gt;G840,"已过卒年",IF($E$4=G840,"卒年边界待核","年表可登场"))))))</x:f>
        <x:v>年表可登场</x:v>
      </x:c>
      <x:c r="I840" s="12"/>
      <x:c r="J840" s="2" t="str">
        <x:v>SAN14游戏设定</x:v>
      </x:c>
      <x:c r="K840" s="2" t="str"/>
      <x:c r="L840" s="2" t="str">
        <x:v>龐林</x:v>
      </x:c>
      <x:c r="M840" s="2" t="str">
        <x:v>san14-candidate-0832</x:v>
      </x:c>
      <x:c r="N840" s="2" t="str">
        <x:v>ホウ林</x:v>
      </x:c>
      <x:c r="O840" s="2" t="str">
        <x:v>ホウリン</x:v>
      </x:c>
    </x:row>
    <x:row r="841" ht="23" customHeight="1">
      <x:c r="A841" s="13" t="n">
        <x:v>833</x:v>
      </x:c>
      <x:c r="B841" s="2" t="str">
        <x:v>步协</x:v>
      </x:c>
      <x:c r="C841" s="2" t="str">
        <x:v>步協</x:v>
      </x:c>
      <x:c r="D841" s="2" t="str"/>
      <x:c r="E841" s="13" t="n">
        <x:v>216</x:v>
      </x:c>
      <x:c r="F841" s="13" t="n">
        <x:v>230</x:v>
      </x:c>
      <x:c r="G841" s="13" t="n">
        <x:v>264</x:v>
      </x:c>
      <x:c r="H841" s="2" t="str">
        <x:f>IF(OR($E$4="",NOT(ISNUMBER($E$4)),$E$4&lt;1,$E$4&gt;400),"参考年待填",IF(OR(E841="",F841="",G841=""),"年代待核",IF($E$4&lt;E841,"未出生",IF($E$4&lt;F841,"未登场",IF($E$4&gt;G841,"已过卒年",IF($E$4=G841,"卒年边界待核","年表可登场"))))))</x:f>
        <x:v>年表可登场</x:v>
      </x:c>
      <x:c r="I841" s="12"/>
      <x:c r="J841" s="2" t="str">
        <x:v>SAN14游戏设定</x:v>
      </x:c>
      <x:c r="K841" s="2" t="str"/>
      <x:c r="L841" s="2" t="str">
        <x:v>步協</x:v>
      </x:c>
      <x:c r="M841" s="2" t="str">
        <x:v>san14-candidate-0833</x:v>
      </x:c>
      <x:c r="N841" s="2" t="str">
        <x:v>歩協</x:v>
      </x:c>
      <x:c r="O841" s="2" t="str">
        <x:v>ホキョウ</x:v>
      </x:c>
    </x:row>
    <x:row r="842" ht="23" customHeight="1">
      <x:c r="A842" s="13" t="n">
        <x:v>834</x:v>
      </x:c>
      <x:c r="B842" s="2" t="str">
        <x:v>辅匡</x:v>
      </x:c>
      <x:c r="C842" s="2" t="str">
        <x:v>輔匡</x:v>
      </x:c>
      <x:c r="D842" s="2" t="str"/>
      <x:c r="E842" s="13" t="n">
        <x:v>175</x:v>
      </x:c>
      <x:c r="F842" s="13" t="n">
        <x:v>194</x:v>
      </x:c>
      <x:c r="G842" s="13" t="n">
        <x:v>244</x:v>
      </x:c>
      <x:c r="H842" s="2" t="str">
        <x:f>IF(OR($E$4="",NOT(ISNUMBER($E$4)),$E$4&lt;1,$E$4&gt;400),"参考年待填",IF(OR(E842="",F842="",G842=""),"年代待核",IF($E$4&lt;E842,"未出生",IF($E$4&lt;F842,"未登场",IF($E$4&gt;G842,"已过卒年",IF($E$4=G842,"卒年边界待核","年表可登场"))))))</x:f>
        <x:v>年表可登场</x:v>
      </x:c>
      <x:c r="I842" s="12"/>
      <x:c r="J842" s="2" t="str">
        <x:v>SAN14游戏设定</x:v>
      </x:c>
      <x:c r="K842" s="2" t="str"/>
      <x:c r="L842" s="2" t="str">
        <x:v>輔匡</x:v>
      </x:c>
      <x:c r="M842" s="2" t="str">
        <x:v>san14-candidate-0834</x:v>
      </x:c>
      <x:c r="N842" s="2" t="str">
        <x:v>輔匡</x:v>
      </x:c>
      <x:c r="O842" s="2" t="str">
        <x:v>ホキョウ</x:v>
      </x:c>
    </x:row>
    <x:row r="843" ht="23" customHeight="1">
      <x:c r="A843" s="13" t="n">
        <x:v>835</x:v>
      </x:c>
      <x:c r="B843" s="2" t="str">
        <x:v>穆顺</x:v>
      </x:c>
      <x:c r="C843" s="2" t="str">
        <x:v>穆順</x:v>
      </x:c>
      <x:c r="D843" s="2" t="str"/>
      <x:c r="E843" s="13" t="n">
        <x:v>157</x:v>
      </x:c>
      <x:c r="F843" s="13" t="n">
        <x:v>184</x:v>
      </x:c>
      <x:c r="G843" s="13" t="n">
        <x:v>190</x:v>
      </x:c>
      <x:c r="H843" s="2" t="str">
        <x:f>IF(OR($E$4="",NOT(ISNUMBER($E$4)),$E$4&lt;1,$E$4&gt;400),"参考年待填",IF(OR(E843="",F843="",G843=""),"年代待核",IF($E$4&lt;E843,"未出生",IF($E$4&lt;F843,"未登场",IF($E$4&gt;G843,"已过卒年",IF($E$4=G843,"卒年边界待核","年表可登场"))))))</x:f>
        <x:v>已过卒年</x:v>
      </x:c>
      <x:c r="I843" s="12"/>
      <x:c r="J843" s="2" t="str">
        <x:v>SAN14游戏设定</x:v>
      </x:c>
      <x:c r="K843" s="2" t="str"/>
      <x:c r="L843" s="2" t="str">
        <x:v>穆順</x:v>
      </x:c>
      <x:c r="M843" s="2" t="str">
        <x:v>san14-candidate-0835</x:v>
      </x:c>
      <x:c r="N843" s="2" t="str">
        <x:v>穆順</x:v>
      </x:c>
      <x:c r="O843" s="2" t="str">
        <x:v>ボクジュン</x:v>
      </x:c>
    </x:row>
    <x:row r="844" ht="23" customHeight="1">
      <x:c r="A844" s="13" t="n">
        <x:v>836</x:v>
      </x:c>
      <x:c r="B844" s="2" t="str">
        <x:v>濮阳兴</x:v>
      </x:c>
      <x:c r="C844" s="2" t="str">
        <x:v>濮陽興</x:v>
      </x:c>
      <x:c r="D844" s="2" t="str"/>
      <x:c r="E844" s="13" t="n">
        <x:v>224</x:v>
      </x:c>
      <x:c r="F844" s="13" t="n">
        <x:v>243</x:v>
      </x:c>
      <x:c r="G844" s="13" t="n">
        <x:v>264</x:v>
      </x:c>
      <x:c r="H844" s="2" t="str">
        <x:f>IF(OR($E$4="",NOT(ISNUMBER($E$4)),$E$4&lt;1,$E$4&gt;400),"参考年待填",IF(OR(E844="",F844="",G844=""),"年代待核",IF($E$4&lt;E844,"未出生",IF($E$4&lt;F844,"未登场",IF($E$4&gt;G844,"已过卒年",IF($E$4=G844,"卒年边界待核","年表可登场"))))))</x:f>
        <x:v>未登场</x:v>
      </x:c>
      <x:c r="I844" s="12"/>
      <x:c r="J844" s="2" t="str">
        <x:v>SAN14游戏设定</x:v>
      </x:c>
      <x:c r="K844" s="2" t="str"/>
      <x:c r="L844" s="2" t="str">
        <x:v>濮陽興</x:v>
      </x:c>
      <x:c r="M844" s="2" t="str">
        <x:v>san14-candidate-0836</x:v>
      </x:c>
      <x:c r="N844" s="2" t="str">
        <x:v>濮陽興</x:v>
      </x:c>
      <x:c r="O844" s="2" t="str">
        <x:v>ボクヨウコウ</x:v>
      </x:c>
    </x:row>
    <x:row r="845" ht="23" customHeight="1">
      <x:c r="A845" s="13" t="n">
        <x:v>837</x:v>
      </x:c>
      <x:c r="B845" s="2" t="str">
        <x:v>木鹿大王</x:v>
      </x:c>
      <x:c r="C845" s="2" t="str">
        <x:v>木鹿大王</x:v>
      </x:c>
      <x:c r="D845" s="2" t="str"/>
      <x:c r="E845" s="13" t="n">
        <x:v>184</x:v>
      </x:c>
      <x:c r="F845" s="13" t="n">
        <x:v>216</x:v>
      </x:c>
      <x:c r="G845" s="13" t="n">
        <x:v>225</x:v>
      </x:c>
      <x:c r="H845" s="2" t="str">
        <x:f>IF(OR($E$4="",NOT(ISNUMBER($E$4)),$E$4&lt;1,$E$4&gt;400),"参考年待填",IF(OR(E845="",F845="",G845=""),"年代待核",IF($E$4&lt;E845,"未出生",IF($E$4&lt;F845,"未登场",IF($E$4&gt;G845,"已过卒年",IF($E$4=G845,"卒年边界待核","年表可登场"))))))</x:f>
        <x:v>已过卒年</x:v>
      </x:c>
      <x:c r="I845" s="12"/>
      <x:c r="J845" s="2" t="str">
        <x:v>SAN14游戏设定</x:v>
      </x:c>
      <x:c r="K845" s="2" t="str"/>
      <x:c r="L845" s="2" t="str">
        <x:v>木鹿大王</x:v>
      </x:c>
      <x:c r="M845" s="2" t="str">
        <x:v>san14-candidate-0837</x:v>
      </x:c>
      <x:c r="N845" s="2" t="str">
        <x:v>木鹿大王</x:v>
      </x:c>
      <x:c r="O845" s="2" t="str">
        <x:v>ボクロクダイオウ</x:v>
      </x:c>
    </x:row>
    <x:row r="846" ht="23" customHeight="1">
      <x:c r="A846" s="13" t="n">
        <x:v>838</x:v>
      </x:c>
      <x:c r="B846" s="2" t="str">
        <x:v>步骘</x:v>
      </x:c>
      <x:c r="C846" s="2" t="str">
        <x:v>步騭</x:v>
      </x:c>
      <x:c r="D846" s="2" t="str"/>
      <x:c r="E846" s="13" t="n">
        <x:v>177</x:v>
      </x:c>
      <x:c r="F846" s="13" t="n">
        <x:v>196</x:v>
      </x:c>
      <x:c r="G846" s="13" t="n">
        <x:v>247</x:v>
      </x:c>
      <x:c r="H846" s="2" t="str">
        <x:f>IF(OR($E$4="",NOT(ISNUMBER($E$4)),$E$4&lt;1,$E$4&gt;400),"参考年待填",IF(OR(E846="",F846="",G846=""),"年代待核",IF($E$4&lt;E846,"未出生",IF($E$4&lt;F846,"未登场",IF($E$4&gt;G846,"已过卒年",IF($E$4=G846,"卒年边界待核","年表可登场"))))))</x:f>
        <x:v>年表可登场</x:v>
      </x:c>
      <x:c r="I846" s="12"/>
      <x:c r="J846" s="2" t="str">
        <x:v>SAN14游戏设定</x:v>
      </x:c>
      <x:c r="K846" s="2" t="str"/>
      <x:c r="L846" s="2" t="str">
        <x:v>步騭</x:v>
      </x:c>
      <x:c r="M846" s="2" t="str">
        <x:v>san14-candidate-0838</x:v>
      </x:c>
      <x:c r="N846" s="2" t="str">
        <x:v>歩シツ</x:v>
      </x:c>
      <x:c r="O846" s="2" t="str">
        <x:v>ホシツ</x:v>
      </x:c>
    </x:row>
    <x:row r="847" ht="23" customHeight="1">
      <x:c r="A847" s="13" t="n">
        <x:v>839</x:v>
      </x:c>
      <x:c r="B847" s="2" t="str">
        <x:v>步阐</x:v>
      </x:c>
      <x:c r="C847" s="2" t="str">
        <x:v>步闡</x:v>
      </x:c>
      <x:c r="D847" s="2" t="str"/>
      <x:c r="E847" s="13" t="n">
        <x:v>222</x:v>
      </x:c>
      <x:c r="F847" s="13" t="n">
        <x:v>236</x:v>
      </x:c>
      <x:c r="G847" s="13" t="n">
        <x:v>272</x:v>
      </x:c>
      <x:c r="H847" s="2" t="str">
        <x:f>IF(OR($E$4="",NOT(ISNUMBER($E$4)),$E$4&lt;1,$E$4&gt;400),"参考年待填",IF(OR(E847="",F847="",G847=""),"年代待核",IF($E$4&lt;E847,"未出生",IF($E$4&lt;F847,"未登场",IF($E$4&gt;G847,"已过卒年",IF($E$4=G847,"卒年边界待核","年表可登场"))))))</x:f>
        <x:v>未登场</x:v>
      </x:c>
      <x:c r="I847" s="12"/>
      <x:c r="J847" s="2" t="str">
        <x:v>SAN14游戏设定</x:v>
      </x:c>
      <x:c r="K847" s="2" t="str"/>
      <x:c r="L847" s="2" t="str">
        <x:v>步闡</x:v>
      </x:c>
      <x:c r="M847" s="2" t="str">
        <x:v>san14-candidate-0839</x:v>
      </x:c>
      <x:c r="N847" s="2" t="str">
        <x:v>歩闡</x:v>
      </x:c>
      <x:c r="O847" s="2" t="str">
        <x:v>ホセン</x:v>
      </x:c>
    </x:row>
    <x:row r="848" ht="23" customHeight="1">
      <x:c r="A848" s="13" t="n">
        <x:v>840</x:v>
      </x:c>
      <x:c r="B848" s="2" t="str">
        <x:v>步度根</x:v>
      </x:c>
      <x:c r="C848" s="2" t="str">
        <x:v>步度根</x:v>
      </x:c>
      <x:c r="D848" s="2" t="str"/>
      <x:c r="E848" s="13" t="n">
        <x:v>170</x:v>
      </x:c>
      <x:c r="F848" s="13" t="n">
        <x:v>190</x:v>
      </x:c>
      <x:c r="G848" s="13" t="n">
        <x:v>233</x:v>
      </x:c>
      <x:c r="H848" s="2" t="str">
        <x:f>IF(OR($E$4="",NOT(ISNUMBER($E$4)),$E$4&lt;1,$E$4&gt;400),"参考年待填",IF(OR(E848="",F848="",G848=""),"年代待核",IF($E$4&lt;E848,"未出生",IF($E$4&lt;F848,"未登场",IF($E$4&gt;G848,"已过卒年",IF($E$4=G848,"卒年边界待核","年表可登场"))))))</x:f>
        <x:v>年表可登场</x:v>
      </x:c>
      <x:c r="I848" s="12"/>
      <x:c r="J848" s="2" t="str">
        <x:v>SAN14游戏设定</x:v>
      </x:c>
      <x:c r="K848" s="2" t="str"/>
      <x:c r="L848" s="2" t="str">
        <x:v>步度根</x:v>
      </x:c>
      <x:c r="M848" s="2" t="str">
        <x:v>san14-candidate-0840</x:v>
      </x:c>
      <x:c r="N848" s="2" t="str">
        <x:v>歩度根</x:v>
      </x:c>
      <x:c r="O848" s="2" t="str">
        <x:v>ホドコン</x:v>
      </x:c>
    </x:row>
    <x:row r="849" ht="23" customHeight="1">
      <x:c r="A849" s="13" t="n">
        <x:v>841</x:v>
      </x:c>
      <x:c r="B849" s="2" t="str">
        <x:v>步练师</x:v>
      </x:c>
      <x:c r="C849" s="2" t="str">
        <x:v>步練師</x:v>
      </x:c>
      <x:c r="D849" s="2" t="str"/>
      <x:c r="E849" s="13" t="n">
        <x:v>185</x:v>
      </x:c>
      <x:c r="F849" s="13" t="n">
        <x:v>199</x:v>
      </x:c>
      <x:c r="G849" s="13" t="n">
        <x:v>238</x:v>
      </x:c>
      <x:c r="H849" s="2" t="str">
        <x:f>IF(OR($E$4="",NOT(ISNUMBER($E$4)),$E$4&lt;1,$E$4&gt;400),"参考年待填",IF(OR(E849="",F849="",G849=""),"年代待核",IF($E$4&lt;E849,"未出生",IF($E$4&lt;F849,"未登场",IF($E$4&gt;G849,"已过卒年",IF($E$4=G849,"卒年边界待核","年表可登场"))))))</x:f>
        <x:v>年表可登场</x:v>
      </x:c>
      <x:c r="I849" s="12"/>
      <x:c r="J849" s="2" t="str">
        <x:v>SAN14游戏设定</x:v>
      </x:c>
      <x:c r="K849" s="2" t="str"/>
      <x:c r="L849" s="2" t="str">
        <x:v>步練師</x:v>
      </x:c>
      <x:c r="M849" s="2" t="str">
        <x:v>san14-candidate-0841</x:v>
      </x:c>
      <x:c r="N849" s="2" t="str">
        <x:v>歩練師</x:v>
      </x:c>
      <x:c r="O849" s="2" t="str">
        <x:v>ホレンシ</x:v>
      </x:c>
    </x:row>
    <x:row r="850" ht="23" customHeight="1">
      <x:c r="A850" s="13" t="n">
        <x:v>842</x:v>
      </x:c>
      <x:c r="B850" s="2" t="str">
        <x:v>满宠</x:v>
      </x:c>
      <x:c r="C850" s="2" t="str">
        <x:v>滿寵</x:v>
      </x:c>
      <x:c r="D850" s="2" t="str"/>
      <x:c r="E850" s="13" t="n">
        <x:v>170</x:v>
      </x:c>
      <x:c r="F850" s="13" t="n">
        <x:v>189</x:v>
      </x:c>
      <x:c r="G850" s="13" t="n">
        <x:v>242</x:v>
      </x:c>
      <x:c r="H850" s="2" t="str">
        <x:f>IF(OR($E$4="",NOT(ISNUMBER($E$4)),$E$4&lt;1,$E$4&gt;400),"参考年待填",IF(OR(E850="",F850="",G850=""),"年代待核",IF($E$4&lt;E850,"未出生",IF($E$4&lt;F850,"未登场",IF($E$4&gt;G850,"已过卒年",IF($E$4=G850,"卒年边界待核","年表可登场"))))))</x:f>
        <x:v>年表可登场</x:v>
      </x:c>
      <x:c r="I850" s="12"/>
      <x:c r="J850" s="2" t="str">
        <x:v>SAN14游戏设定</x:v>
      </x:c>
      <x:c r="K850" s="2" t="str"/>
      <x:c r="L850" s="2" t="str">
        <x:v>滿寵</x:v>
      </x:c>
      <x:c r="M850" s="2" t="str">
        <x:v>san14-candidate-0842</x:v>
      </x:c>
      <x:c r="N850" s="2" t="str">
        <x:v>満寵</x:v>
      </x:c>
      <x:c r="O850" s="2" t="str">
        <x:v>マンチョウ</x:v>
      </x:c>
    </x:row>
    <x:row r="851" ht="23" customHeight="1">
      <x:c r="A851" s="13" t="n">
        <x:v>843</x:v>
      </x:c>
      <x:c r="B851" s="2" t="str">
        <x:v>迷当大王</x:v>
      </x:c>
      <x:c r="C851" s="2" t="str">
        <x:v>迷當大王</x:v>
      </x:c>
      <x:c r="D851" s="2" t="str"/>
      <x:c r="E851" s="13" t="n">
        <x:v>202</x:v>
      </x:c>
      <x:c r="F851" s="13" t="n">
        <x:v>221</x:v>
      </x:c>
      <x:c r="G851" s="13" t="n">
        <x:v>253</x:v>
      </x:c>
      <x:c r="H851" s="2" t="str">
        <x:f>IF(OR($E$4="",NOT(ISNUMBER($E$4)),$E$4&lt;1,$E$4&gt;400),"参考年待填",IF(OR(E851="",F851="",G851=""),"年代待核",IF($E$4&lt;E851,"未出生",IF($E$4&lt;F851,"未登场",IF($E$4&gt;G851,"已过卒年",IF($E$4=G851,"卒年边界待核","年表可登场"))))))</x:f>
        <x:v>年表可登场</x:v>
      </x:c>
      <x:c r="I851" s="12"/>
      <x:c r="J851" s="2" t="str">
        <x:v>SAN14游戏设定</x:v>
      </x:c>
      <x:c r="K851" s="2" t="str"/>
      <x:c r="L851" s="2" t="str">
        <x:v>迷當大王</x:v>
      </x:c>
      <x:c r="M851" s="2" t="str">
        <x:v>san14-candidate-0843</x:v>
      </x:c>
      <x:c r="N851" s="2" t="str">
        <x:v>迷当大王</x:v>
      </x:c>
      <x:c r="O851" s="2" t="str">
        <x:v>メイトウダイオウ</x:v>
      </x:c>
    </x:row>
    <x:row r="852" ht="23" customHeight="1">
      <x:c r="A852" s="13" t="n">
        <x:v>844</x:v>
      </x:c>
      <x:c r="B852" s="2" t="str">
        <x:v>毛玠</x:v>
      </x:c>
      <x:c r="C852" s="2" t="str">
        <x:v>毛玠</x:v>
      </x:c>
      <x:c r="D852" s="2" t="str"/>
      <x:c r="E852" s="13" t="n">
        <x:v>161</x:v>
      </x:c>
      <x:c r="F852" s="13" t="n">
        <x:v>184</x:v>
      </x:c>
      <x:c r="G852" s="13" t="n">
        <x:v>216</x:v>
      </x:c>
      <x:c r="H852" s="2" t="str">
        <x:f>IF(OR($E$4="",NOT(ISNUMBER($E$4)),$E$4&lt;1,$E$4&gt;400),"参考年待填",IF(OR(E852="",F852="",G852=""),"年代待核",IF($E$4&lt;E852,"未出生",IF($E$4&lt;F852,"未登场",IF($E$4&gt;G852,"已过卒年",IF($E$4=G852,"卒年边界待核","年表可登场"))))))</x:f>
        <x:v>已过卒年</x:v>
      </x:c>
      <x:c r="I852" s="12"/>
      <x:c r="J852" s="2" t="str">
        <x:v>SAN14游戏设定</x:v>
      </x:c>
      <x:c r="K852" s="2" t="str"/>
      <x:c r="L852" s="2" t="str">
        <x:v>毛玠</x:v>
      </x:c>
      <x:c r="M852" s="2" t="str">
        <x:v>san14-candidate-0844</x:v>
      </x:c>
      <x:c r="N852" s="2" t="str">
        <x:v>毛カイ</x:v>
      </x:c>
      <x:c r="O852" s="2" t="str">
        <x:v>モウカイ</x:v>
      </x:c>
    </x:row>
    <x:row r="853" ht="23" customHeight="1">
      <x:c r="A853" s="13" t="n">
        <x:v>845</x:v>
      </x:c>
      <x:c r="B853" s="2" t="str">
        <x:v>孟获</x:v>
      </x:c>
      <x:c r="C853" s="2" t="str">
        <x:v>孟獲</x:v>
      </x:c>
      <x:c r="D853" s="2" t="str"/>
      <x:c r="E853" s="13" t="n">
        <x:v>186</x:v>
      </x:c>
      <x:c r="F853" s="13" t="n">
        <x:v>212</x:v>
      </x:c>
      <x:c r="G853" s="13" t="n">
        <x:v>250</x:v>
      </x:c>
      <x:c r="H853" s="2" t="str">
        <x:f>IF(OR($E$4="",NOT(ISNUMBER($E$4)),$E$4&lt;1,$E$4&gt;400),"参考年待填",IF(OR(E853="",F853="",G853=""),"年代待核",IF($E$4&lt;E853,"未出生",IF($E$4&lt;F853,"未登场",IF($E$4&gt;G853,"已过卒年",IF($E$4=G853,"卒年边界待核","年表可登场"))))))</x:f>
        <x:v>年表可登场</x:v>
      </x:c>
      <x:c r="I853" s="12"/>
      <x:c r="J853" s="2" t="str">
        <x:v>SAN14游戏设定</x:v>
      </x:c>
      <x:c r="K853" s="2" t="str"/>
      <x:c r="L853" s="2" t="str">
        <x:v>孟獲</x:v>
      </x:c>
      <x:c r="M853" s="2" t="str">
        <x:v>san14-candidate-0845</x:v>
      </x:c>
      <x:c r="N853" s="2" t="str">
        <x:v>孟獲</x:v>
      </x:c>
      <x:c r="O853" s="2" t="str">
        <x:v>モウカク</x:v>
      </x:c>
    </x:row>
    <x:row r="854" ht="23" customHeight="1">
      <x:c r="A854" s="13" t="n">
        <x:v>846</x:v>
      </x:c>
      <x:c r="B854" s="2" t="str">
        <x:v>孟建</x:v>
      </x:c>
      <x:c r="C854" s="2" t="str">
        <x:v>孟建</x:v>
      </x:c>
      <x:c r="D854" s="2" t="str"/>
      <x:c r="E854" s="13" t="n">
        <x:v>177</x:v>
      </x:c>
      <x:c r="F854" s="13" t="n">
        <x:v>207</x:v>
      </x:c>
      <x:c r="G854" s="13" t="n">
        <x:v>238</x:v>
      </x:c>
      <x:c r="H854" s="2" t="str">
        <x:f>IF(OR($E$4="",NOT(ISNUMBER($E$4)),$E$4&lt;1,$E$4&gt;400),"参考年待填",IF(OR(E854="",F854="",G854=""),"年代待核",IF($E$4&lt;E854,"未出生",IF($E$4&lt;F854,"未登场",IF($E$4&gt;G854,"已过卒年",IF($E$4=G854,"卒年边界待核","年表可登场"))))))</x:f>
        <x:v>年表可登场</x:v>
      </x:c>
      <x:c r="I854" s="12"/>
      <x:c r="J854" s="2" t="str">
        <x:v>SAN14游戏设定</x:v>
      </x:c>
      <x:c r="K854" s="2" t="str"/>
      <x:c r="L854" s="2" t="str">
        <x:v>孟建</x:v>
      </x:c>
      <x:c r="M854" s="2" t="str">
        <x:v>san14-candidate-0846</x:v>
      </x:c>
      <x:c r="N854" s="2" t="str">
        <x:v>孟建</x:v>
      </x:c>
      <x:c r="O854" s="2" t="str">
        <x:v>モウケン</x:v>
      </x:c>
    </x:row>
    <x:row r="855" ht="23" customHeight="1">
      <x:c r="A855" s="13" t="n">
        <x:v>847</x:v>
      </x:c>
      <x:c r="B855" s="2" t="str">
        <x:v>孟光</x:v>
      </x:c>
      <x:c r="C855" s="2" t="str">
        <x:v>孟光</x:v>
      </x:c>
      <x:c r="D855" s="2" t="str"/>
      <x:c r="E855" s="13" t="n">
        <x:v>168</x:v>
      </x:c>
      <x:c r="F855" s="13" t="n">
        <x:v>187</x:v>
      </x:c>
      <x:c r="G855" s="13" t="n">
        <x:v>263</x:v>
      </x:c>
      <x:c r="H855" s="2" t="str">
        <x:f>IF(OR($E$4="",NOT(ISNUMBER($E$4)),$E$4&lt;1,$E$4&gt;400),"参考年待填",IF(OR(E855="",F855="",G855=""),"年代待核",IF($E$4&lt;E855,"未出生",IF($E$4&lt;F855,"未登场",IF($E$4&gt;G855,"已过卒年",IF($E$4=G855,"卒年边界待核","年表可登场"))))))</x:f>
        <x:v>年表可登场</x:v>
      </x:c>
      <x:c r="I855" s="12"/>
      <x:c r="J855" s="2" t="str">
        <x:v>SAN14游戏设定</x:v>
      </x:c>
      <x:c r="K855" s="2" t="str"/>
      <x:c r="L855" s="2" t="str">
        <x:v>孟光</x:v>
      </x:c>
      <x:c r="M855" s="2" t="str">
        <x:v>san14-candidate-0847</x:v>
      </x:c>
      <x:c r="N855" s="2" t="str">
        <x:v>孟光</x:v>
      </x:c>
      <x:c r="O855" s="2" t="str">
        <x:v>モウコウ</x:v>
      </x:c>
    </x:row>
    <x:row r="856" ht="23" customHeight="1">
      <x:c r="A856" s="13" t="n">
        <x:v>848</x:v>
      </x:c>
      <x:c r="B856" s="2" t="str">
        <x:v>孟宗</x:v>
      </x:c>
      <x:c r="C856" s="2" t="str">
        <x:v>孟宗</x:v>
      </x:c>
      <x:c r="D856" s="2" t="str"/>
      <x:c r="E856" s="13" t="n">
        <x:v>216</x:v>
      </x:c>
      <x:c r="F856" s="13" t="n">
        <x:v>235</x:v>
      </x:c>
      <x:c r="G856" s="13" t="n">
        <x:v>271</x:v>
      </x:c>
      <x:c r="H856" s="2" t="str">
        <x:f>IF(OR($E$4="",NOT(ISNUMBER($E$4)),$E$4&lt;1,$E$4&gt;400),"参考年待填",IF(OR(E856="",F856="",G856=""),"年代待核",IF($E$4&lt;E856,"未出生",IF($E$4&lt;F856,"未登场",IF($E$4&gt;G856,"已过卒年",IF($E$4=G856,"卒年边界待核","年表可登场"))))))</x:f>
        <x:v>未登场</x:v>
      </x:c>
      <x:c r="I856" s="12"/>
      <x:c r="J856" s="2" t="str">
        <x:v>SAN14游戏设定</x:v>
      </x:c>
      <x:c r="K856" s="2" t="str"/>
      <x:c r="L856" s="2" t="str">
        <x:v>孟宗</x:v>
      </x:c>
      <x:c r="M856" s="2" t="str">
        <x:v>san14-candidate-0848</x:v>
      </x:c>
      <x:c r="N856" s="2" t="str">
        <x:v>孟宗</x:v>
      </x:c>
      <x:c r="O856" s="2" t="str">
        <x:v>モウソウ</x:v>
      </x:c>
    </x:row>
    <x:row r="857" ht="23" customHeight="1">
      <x:c r="A857" s="13" t="n">
        <x:v>849</x:v>
      </x:c>
      <x:c r="B857" s="2" t="str">
        <x:v>孟达</x:v>
      </x:c>
      <x:c r="C857" s="2" t="str">
        <x:v>孟達</x:v>
      </x:c>
      <x:c r="D857" s="2" t="str"/>
      <x:c r="E857" s="13" t="n">
        <x:v>172</x:v>
      </x:c>
      <x:c r="F857" s="13" t="n">
        <x:v>191</x:v>
      </x:c>
      <x:c r="G857" s="13" t="n">
        <x:v>228</x:v>
      </x:c>
      <x:c r="H857" s="2" t="str">
        <x:f>IF(OR($E$4="",NOT(ISNUMBER($E$4)),$E$4&lt;1,$E$4&gt;400),"参考年待填",IF(OR(E857="",F857="",G857=""),"年代待核",IF($E$4&lt;E857,"未出生",IF($E$4&lt;F857,"未登场",IF($E$4&gt;G857,"已过卒年",IF($E$4=G857,"卒年边界待核","年表可登场"))))))</x:f>
        <x:v>已过卒年</x:v>
      </x:c>
      <x:c r="I857" s="12"/>
      <x:c r="J857" s="2" t="str">
        <x:v>SAN14游戏设定</x:v>
      </x:c>
      <x:c r="K857" s="2" t="str"/>
      <x:c r="L857" s="2" t="str">
        <x:v>孟達</x:v>
      </x:c>
      <x:c r="M857" s="2" t="str">
        <x:v>san14-candidate-0849</x:v>
      </x:c>
      <x:c r="N857" s="2" t="str">
        <x:v>孟達</x:v>
      </x:c>
      <x:c r="O857" s="2" t="str">
        <x:v>モウタツ</x:v>
      </x:c>
    </x:row>
    <x:row r="858" ht="23" customHeight="1">
      <x:c r="A858" s="13" t="n">
        <x:v>850</x:v>
      </x:c>
      <x:c r="B858" s="2" t="str">
        <x:v>孟优</x:v>
      </x:c>
      <x:c r="C858" s="2" t="str">
        <x:v>孟優</x:v>
      </x:c>
      <x:c r="D858" s="2" t="str"/>
      <x:c r="E858" s="13" t="n">
        <x:v>190</x:v>
      </x:c>
      <x:c r="F858" s="13" t="n">
        <x:v>215</x:v>
      </x:c>
      <x:c r="G858" s="13" t="n">
        <x:v>251</x:v>
      </x:c>
      <x:c r="H858" s="2" t="str">
        <x:f>IF(OR($E$4="",NOT(ISNUMBER($E$4)),$E$4&lt;1,$E$4&gt;400),"参考年待填",IF(OR(E858="",F858="",G858=""),"年代待核",IF($E$4&lt;E858,"未出生",IF($E$4&lt;F858,"未登场",IF($E$4&gt;G858,"已过卒年",IF($E$4=G858,"卒年边界待核","年表可登场"))))))</x:f>
        <x:v>年表可登场</x:v>
      </x:c>
      <x:c r="I858" s="12"/>
      <x:c r="J858" s="2" t="str">
        <x:v>SAN14游戏设定</x:v>
      </x:c>
      <x:c r="K858" s="2" t="str"/>
      <x:c r="L858" s="2" t="str">
        <x:v>孟優</x:v>
      </x:c>
      <x:c r="M858" s="2" t="str">
        <x:v>san14-candidate-0850</x:v>
      </x:c>
      <x:c r="N858" s="2" t="str">
        <x:v>孟優</x:v>
      </x:c>
      <x:c r="O858" s="2" t="str">
        <x:v>モウユウ</x:v>
      </x:c>
    </x:row>
    <x:row r="859" ht="23" customHeight="1">
      <x:c r="A859" s="13" t="n">
        <x:v>851</x:v>
      </x:c>
      <x:c r="B859" s="2" t="str">
        <x:v>游楚</x:v>
      </x:c>
      <x:c r="C859" s="2" t="str">
        <x:v>游楚</x:v>
      </x:c>
      <x:c r="D859" s="2" t="str"/>
      <x:c r="E859" s="13" t="n">
        <x:v>180</x:v>
      </x:c>
      <x:c r="F859" s="13" t="n">
        <x:v>199</x:v>
      </x:c>
      <x:c r="G859" s="13" t="n">
        <x:v>251</x:v>
      </x:c>
      <x:c r="H859" s="2" t="str">
        <x:f>IF(OR($E$4="",NOT(ISNUMBER($E$4)),$E$4&lt;1,$E$4&gt;400),"参考年待填",IF(OR(E859="",F859="",G859=""),"年代待核",IF($E$4&lt;E859,"未出生",IF($E$4&lt;F859,"未登场",IF($E$4&gt;G859,"已过卒年",IF($E$4=G859,"卒年边界待核","年表可登场"))))))</x:f>
        <x:v>年表可登场</x:v>
      </x:c>
      <x:c r="I859" s="12"/>
      <x:c r="J859" s="2" t="str">
        <x:v>SAN14游戏设定</x:v>
      </x:c>
      <x:c r="K859" s="2" t="str"/>
      <x:c r="L859" s="2" t="str">
        <x:v>游楚</x:v>
      </x:c>
      <x:c r="M859" s="2" t="str">
        <x:v>san14-candidate-0851</x:v>
      </x:c>
      <x:c r="N859" s="2" t="str">
        <x:v>游楚</x:v>
      </x:c>
      <x:c r="O859" s="2" t="str">
        <x:v>ユウソ</x:v>
      </x:c>
    </x:row>
    <x:row r="860" ht="23" customHeight="1">
      <x:c r="A860" s="13" t="n">
        <x:v>852</x:v>
      </x:c>
      <x:c r="B860" s="2" t="str">
        <x:v>尤突</x:v>
      </x:c>
      <x:c r="C860" s="2" t="str">
        <x:v>尤突</x:v>
      </x:c>
      <x:c r="D860" s="2" t="str"/>
      <x:c r="E860" s="13" t="n">
        <x:v>178</x:v>
      </x:c>
      <x:c r="F860" s="13" t="n">
        <x:v>197</x:v>
      </x:c>
      <x:c r="G860" s="13" t="n">
        <x:v>216</x:v>
      </x:c>
      <x:c r="H860" s="2" t="str">
        <x:f>IF(OR($E$4="",NOT(ISNUMBER($E$4)),$E$4&lt;1,$E$4&gt;400),"参考年待填",IF(OR(E860="",F860="",G860=""),"年代待核",IF($E$4&lt;E860,"未出生",IF($E$4&lt;F860,"未登场",IF($E$4&gt;G860,"已过卒年",IF($E$4=G860,"卒年边界待核","年表可登场"))))))</x:f>
        <x:v>已过卒年</x:v>
      </x:c>
      <x:c r="I860" s="12"/>
      <x:c r="J860" s="2" t="str">
        <x:v>SAN14游戏设定</x:v>
      </x:c>
      <x:c r="K860" s="2" t="str"/>
      <x:c r="L860" s="2" t="str">
        <x:v>尤突</x:v>
      </x:c>
      <x:c r="M860" s="2" t="str">
        <x:v>san14-candidate-0852</x:v>
      </x:c>
      <x:c r="N860" s="2" t="str">
        <x:v>尤突</x:v>
      </x:c>
      <x:c r="O860" s="2" t="str">
        <x:v>ユウトツ</x:v>
      </x:c>
    </x:row>
    <x:row r="861" ht="23" customHeight="1">
      <x:c r="A861" s="13" t="n">
        <x:v>853</x:v>
      </x:c>
      <x:c r="B861" s="2" t="str">
        <x:v>俞涉</x:v>
      </x:c>
      <x:c r="C861" s="2" t="str">
        <x:v>俞涉</x:v>
      </x:c>
      <x:c r="D861" s="2" t="str"/>
      <x:c r="E861" s="13" t="n">
        <x:v>158</x:v>
      </x:c>
      <x:c r="F861" s="13" t="n">
        <x:v>184</x:v>
      </x:c>
      <x:c r="G861" s="13" t="n">
        <x:v>190</x:v>
      </x:c>
      <x:c r="H861" s="2" t="str">
        <x:f>IF(OR($E$4="",NOT(ISNUMBER($E$4)),$E$4&lt;1,$E$4&gt;400),"参考年待填",IF(OR(E861="",F861="",G861=""),"年代待核",IF($E$4&lt;E861,"未出生",IF($E$4&lt;F861,"未登场",IF($E$4&gt;G861,"已过卒年",IF($E$4=G861,"卒年边界待核","年表可登场"))))))</x:f>
        <x:v>已过卒年</x:v>
      </x:c>
      <x:c r="I861" s="12"/>
      <x:c r="J861" s="2" t="str">
        <x:v>SAN14游戏设定</x:v>
      </x:c>
      <x:c r="K861" s="2" t="str"/>
      <x:c r="L861" s="2" t="str">
        <x:v>俞涉</x:v>
      </x:c>
      <x:c r="M861" s="2" t="str">
        <x:v>san14-candidate-0853</x:v>
      </x:c>
      <x:c r="N861" s="2" t="str">
        <x:v>兪渉</x:v>
      </x:c>
      <x:c r="O861" s="2" t="str">
        <x:v>ユショウ</x:v>
      </x:c>
    </x:row>
    <x:row r="862" ht="23" customHeight="1">
      <x:c r="A862" s="13" t="n">
        <x:v>854</x:v>
      </x:c>
      <x:c r="B862" s="2" t="str">
        <x:v>杨怀</x:v>
      </x:c>
      <x:c r="C862" s="2" t="str">
        <x:v>楊懷</x:v>
      </x:c>
      <x:c r="D862" s="2" t="str"/>
      <x:c r="E862" s="13" t="n">
        <x:v>167</x:v>
      </x:c>
      <x:c r="F862" s="13" t="n">
        <x:v>186</x:v>
      </x:c>
      <x:c r="G862" s="13" t="n">
        <x:v>212</x:v>
      </x:c>
      <x:c r="H862" s="2" t="str">
        <x:f>IF(OR($E$4="",NOT(ISNUMBER($E$4)),$E$4&lt;1,$E$4&gt;400),"参考年待填",IF(OR(E862="",F862="",G862=""),"年代待核",IF($E$4&lt;E862,"未出生",IF($E$4&lt;F862,"未登场",IF($E$4&gt;G862,"已过卒年",IF($E$4=G862,"卒年边界待核","年表可登场"))))))</x:f>
        <x:v>已过卒年</x:v>
      </x:c>
      <x:c r="I862" s="12"/>
      <x:c r="J862" s="2" t="str">
        <x:v>SAN14游戏设定</x:v>
      </x:c>
      <x:c r="K862" s="2" t="str"/>
      <x:c r="L862" s="2" t="str">
        <x:v>楊懷</x:v>
      </x:c>
      <x:c r="M862" s="2" t="str">
        <x:v>san14-candidate-0854</x:v>
      </x:c>
      <x:c r="N862" s="2" t="str">
        <x:v>楊懐</x:v>
      </x:c>
      <x:c r="O862" s="2" t="str">
        <x:v>ヨウカイ</x:v>
      </x:c>
    </x:row>
    <x:row r="863" ht="23" customHeight="1">
      <x:c r="A863" s="13" t="n">
        <x:v>855</x:v>
      </x:c>
      <x:c r="B863" s="2" t="str">
        <x:v>雍闿</x:v>
      </x:c>
      <x:c r="C863" s="2" t="str">
        <x:v>雍闓</x:v>
      </x:c>
      <x:c r="D863" s="2" t="str"/>
      <x:c r="E863" s="13" t="n">
        <x:v>181</x:v>
      </x:c>
      <x:c r="F863" s="13" t="n">
        <x:v>200</x:v>
      </x:c>
      <x:c r="G863" s="13" t="n">
        <x:v>225</x:v>
      </x:c>
      <x:c r="H863" s="2" t="str">
        <x:f>IF(OR($E$4="",NOT(ISNUMBER($E$4)),$E$4&lt;1,$E$4&gt;400),"参考年待填",IF(OR(E863="",F863="",G863=""),"年代待核",IF($E$4&lt;E863,"未出生",IF($E$4&lt;F863,"未登场",IF($E$4&gt;G863,"已过卒年",IF($E$4=G863,"卒年边界待核","年表可登场"))))))</x:f>
        <x:v>已过卒年</x:v>
      </x:c>
      <x:c r="I863" s="12"/>
      <x:c r="J863" s="2" t="str">
        <x:v>SAN14游戏设定</x:v>
      </x:c>
      <x:c r="K863" s="2" t="str"/>
      <x:c r="L863" s="2" t="str">
        <x:v>雍闓</x:v>
      </x:c>
      <x:c r="M863" s="2" t="str">
        <x:v>san14-candidate-0855</x:v>
      </x:c>
      <x:c r="N863" s="2" t="str">
        <x:v>雍ガイ</x:v>
      </x:c>
      <x:c r="O863" s="2" t="str">
        <x:v>ヨウガイ</x:v>
      </x:c>
    </x:row>
    <x:row r="864" ht="23" customHeight="1">
      <x:c r="A864" s="13" t="n">
        <x:v>856</x:v>
      </x:c>
      <x:c r="B864" s="2" t="str">
        <x:v>杨仪</x:v>
      </x:c>
      <x:c r="C864" s="2" t="str">
        <x:v>楊儀</x:v>
      </x:c>
      <x:c r="D864" s="2" t="str"/>
      <x:c r="E864" s="13" t="n">
        <x:v>190</x:v>
      </x:c>
      <x:c r="F864" s="13" t="n">
        <x:v>209</x:v>
      </x:c>
      <x:c r="G864" s="13" t="n">
        <x:v>235</x:v>
      </x:c>
      <x:c r="H864" s="2" t="str">
        <x:f>IF(OR($E$4="",NOT(ISNUMBER($E$4)),$E$4&lt;1,$E$4&gt;400),"参考年待填",IF(OR(E864="",F864="",G864=""),"年代待核",IF($E$4&lt;E864,"未出生",IF($E$4&lt;F864,"未登场",IF($E$4&gt;G864,"已过卒年",IF($E$4=G864,"卒年边界待核","年表可登场"))))))</x:f>
        <x:v>年表可登场</x:v>
      </x:c>
      <x:c r="I864" s="12"/>
      <x:c r="J864" s="2" t="str">
        <x:v>SAN14游戏设定</x:v>
      </x:c>
      <x:c r="K864" s="2" t="str"/>
      <x:c r="L864" s="2" t="str">
        <x:v>楊儀</x:v>
      </x:c>
      <x:c r="M864" s="2" t="str">
        <x:v>san14-candidate-0856</x:v>
      </x:c>
      <x:c r="N864" s="2" t="str">
        <x:v>楊儀</x:v>
      </x:c>
      <x:c r="O864" s="2" t="str">
        <x:v>ヨウギ</x:v>
      </x:c>
    </x:row>
    <x:row r="865" ht="23" customHeight="1">
      <x:c r="A865" s="13" t="n">
        <x:v>857</x:v>
      </x:c>
      <x:c r="B865" s="2" t="str">
        <x:v>杨戏</x:v>
      </x:c>
      <x:c r="C865" s="2" t="str">
        <x:v>楊戲</x:v>
      </x:c>
      <x:c r="D865" s="2" t="str"/>
      <x:c r="E865" s="13" t="n">
        <x:v>195</x:v>
      </x:c>
      <x:c r="F865" s="13" t="n">
        <x:v>214</x:v>
      </x:c>
      <x:c r="G865" s="13" t="n">
        <x:v>261</x:v>
      </x:c>
      <x:c r="H865" s="2" t="str">
        <x:f>IF(OR($E$4="",NOT(ISNUMBER($E$4)),$E$4&lt;1,$E$4&gt;400),"参考年待填",IF(OR(E865="",F865="",G865=""),"年代待核",IF($E$4&lt;E865,"未出生",IF($E$4&lt;F865,"未登场",IF($E$4&gt;G865,"已过卒年",IF($E$4=G865,"卒年边界待核","年表可登场"))))))</x:f>
        <x:v>年表可登场</x:v>
      </x:c>
      <x:c r="I865" s="12"/>
      <x:c r="J865" s="2" t="str">
        <x:v>SAN14游戏设定</x:v>
      </x:c>
      <x:c r="K865" s="2" t="str"/>
      <x:c r="L865" s="2" t="str">
        <x:v>楊戲</x:v>
      </x:c>
      <x:c r="M865" s="2" t="str">
        <x:v>san14-candidate-0857</x:v>
      </x:c>
      <x:c r="N865" s="2" t="str">
        <x:v>楊戯</x:v>
      </x:c>
      <x:c r="O865" s="2" t="str">
        <x:v>ヨウギ</x:v>
      </x:c>
    </x:row>
    <x:row r="866" ht="23" customHeight="1">
      <x:c r="A866" s="13" t="n">
        <x:v>858</x:v>
      </x:c>
      <x:c r="B866" s="2" t="str">
        <x:v>羊徽瑜</x:v>
      </x:c>
      <x:c r="C866" s="2" t="str">
        <x:v>羊徽瑜</x:v>
      </x:c>
      <x:c r="D866" s="2" t="str"/>
      <x:c r="E866" s="13" t="n">
        <x:v>214</x:v>
      </x:c>
      <x:c r="F866" s="13" t="n">
        <x:v>228</x:v>
      </x:c>
      <x:c r="G866" s="13" t="n">
        <x:v>278</x:v>
      </x:c>
      <x:c r="H866" s="2" t="str">
        <x:f>IF(OR($E$4="",NOT(ISNUMBER($E$4)),$E$4&lt;1,$E$4&gt;400),"参考年待填",IF(OR(E866="",F866="",G866=""),"年代待核",IF($E$4&lt;E866,"未出生",IF($E$4&lt;F866,"未登场",IF($E$4&gt;G866,"已过卒年",IF($E$4=G866,"卒年边界待核","年表可登场"))))))</x:f>
        <x:v>年表可登场</x:v>
      </x:c>
      <x:c r="I866" s="12"/>
      <x:c r="J866" s="2" t="str">
        <x:v>SAN14游戏设定</x:v>
      </x:c>
      <x:c r="K866" s="2" t="str"/>
      <x:c r="L866" s="2" t="str">
        <x:v>羊徽瑜</x:v>
      </x:c>
      <x:c r="M866" s="2" t="str">
        <x:v>san14-candidate-0858</x:v>
      </x:c>
      <x:c r="N866" s="2" t="str">
        <x:v>羊徽瑜</x:v>
      </x:c>
      <x:c r="O866" s="2" t="str">
        <x:v>ヨウキユ</x:v>
      </x:c>
    </x:row>
    <x:row r="867" ht="23" customHeight="1">
      <x:c r="A867" s="13" t="n">
        <x:v>859</x:v>
      </x:c>
      <x:c r="B867" s="2" t="str">
        <x:v>杨欣</x:v>
      </x:c>
      <x:c r="C867" s="2" t="str">
        <x:v>楊欣</x:v>
      </x:c>
      <x:c r="D867" s="2" t="str"/>
      <x:c r="E867" s="13" t="n">
        <x:v>220</x:v>
      </x:c>
      <x:c r="F867" s="13" t="n">
        <x:v>239</x:v>
      </x:c>
      <x:c r="G867" s="13" t="n">
        <x:v>278</x:v>
      </x:c>
      <x:c r="H867" s="2" t="str">
        <x:f>IF(OR($E$4="",NOT(ISNUMBER($E$4)),$E$4&lt;1,$E$4&gt;400),"参考年待填",IF(OR(E867="",F867="",G867=""),"年代待核",IF($E$4&lt;E867,"未出生",IF($E$4&lt;F867,"未登场",IF($E$4&gt;G867,"已过卒年",IF($E$4=G867,"卒年边界待核","年表可登场"))))))</x:f>
        <x:v>未登场</x:v>
      </x:c>
      <x:c r="I867" s="12"/>
      <x:c r="J867" s="2" t="str">
        <x:v>SAN14游戏设定</x:v>
      </x:c>
      <x:c r="K867" s="2" t="str"/>
      <x:c r="L867" s="2" t="str">
        <x:v>楊欣</x:v>
      </x:c>
      <x:c r="M867" s="2" t="str">
        <x:v>san14-candidate-0859</x:v>
      </x:c>
      <x:c r="N867" s="2" t="str">
        <x:v>楊欣</x:v>
      </x:c>
      <x:c r="O867" s="2" t="str">
        <x:v>ヨウキン</x:v>
      </x:c>
    </x:row>
    <x:row r="868" ht="23" customHeight="1">
      <x:c r="A868" s="13" t="n">
        <x:v>860</x:v>
      </x:c>
      <x:c r="B868" s="2" t="str">
        <x:v>羊祜</x:v>
      </x:c>
      <x:c r="C868" s="2" t="str">
        <x:v>羊祜</x:v>
      </x:c>
      <x:c r="D868" s="2" t="str"/>
      <x:c r="E868" s="13" t="n">
        <x:v>221</x:v>
      </x:c>
      <x:c r="F868" s="13" t="n">
        <x:v>240</x:v>
      </x:c>
      <x:c r="G868" s="13" t="n">
        <x:v>278</x:v>
      </x:c>
      <x:c r="H868" s="2" t="str">
        <x:f>IF(OR($E$4="",NOT(ISNUMBER($E$4)),$E$4&lt;1,$E$4&gt;400),"参考年待填",IF(OR(E868="",F868="",G868=""),"年代待核",IF($E$4&lt;E868,"未出生",IF($E$4&lt;F868,"未登场",IF($E$4&gt;G868,"已过卒年",IF($E$4=G868,"卒年边界待核","年表可登场"))))))</x:f>
        <x:v>未登场</x:v>
      </x:c>
      <x:c r="I868" s="12"/>
      <x:c r="J868" s="2" t="str">
        <x:v>SAN14游戏设定</x:v>
      </x:c>
      <x:c r="K868" s="2" t="str"/>
      <x:c r="L868" s="2" t="str">
        <x:v>羊祜</x:v>
      </x:c>
      <x:c r="M868" s="2" t="str">
        <x:v>san14-candidate-0860</x:v>
      </x:c>
      <x:c r="N868" s="2" t="str">
        <x:v>羊コ</x:v>
      </x:c>
      <x:c r="O868" s="2" t="str">
        <x:v>ヨウコ</x:v>
      </x:c>
    </x:row>
    <x:row r="869" ht="23" customHeight="1">
      <x:c r="A869" s="13" t="n">
        <x:v>861</x:v>
      </x:c>
      <x:c r="B869" s="2" t="str">
        <x:v>杨弘</x:v>
      </x:c>
      <x:c r="C869" s="2" t="str">
        <x:v>楊弘</x:v>
      </x:c>
      <x:c r="D869" s="2" t="str"/>
      <x:c r="E869" s="13" t="n">
        <x:v>152</x:v>
      </x:c>
      <x:c r="F869" s="13" t="n">
        <x:v>184</x:v>
      </x:c>
      <x:c r="G869" s="13" t="n">
        <x:v>199</x:v>
      </x:c>
      <x:c r="H869" s="2" t="str">
        <x:f>IF(OR($E$4="",NOT(ISNUMBER($E$4)),$E$4&lt;1,$E$4&gt;400),"参考年待填",IF(OR(E869="",F869="",G869=""),"年代待核",IF($E$4&lt;E869,"未出生",IF($E$4&lt;F869,"未登场",IF($E$4&gt;G869,"已过卒年",IF($E$4=G869,"卒年边界待核","年表可登场"))))))</x:f>
        <x:v>已过卒年</x:v>
      </x:c>
      <x:c r="I869" s="12"/>
      <x:c r="J869" s="2" t="str">
        <x:v>SAN14游戏设定</x:v>
      </x:c>
      <x:c r="K869" s="2" t="str"/>
      <x:c r="L869" s="2" t="str">
        <x:v>楊弘</x:v>
      </x:c>
      <x:c r="M869" s="2" t="str">
        <x:v>san14-candidate-0861</x:v>
      </x:c>
      <x:c r="N869" s="2" t="str">
        <x:v>楊弘</x:v>
      </x:c>
      <x:c r="O869" s="2" t="str">
        <x:v>ヨウコウ</x:v>
      </x:c>
    </x:row>
    <x:row r="870" ht="23" customHeight="1">
      <x:c r="A870" s="13" t="n">
        <x:v>862</x:v>
      </x:c>
      <x:c r="B870" s="2" t="str">
        <x:v>杨昂</x:v>
      </x:c>
      <x:c r="C870" s="2" t="str">
        <x:v>楊昂</x:v>
      </x:c>
      <x:c r="D870" s="2" t="str"/>
      <x:c r="E870" s="13" t="n">
        <x:v>172</x:v>
      </x:c>
      <x:c r="F870" s="13" t="n">
        <x:v>191</x:v>
      </x:c>
      <x:c r="G870" s="13" t="n">
        <x:v>215</x:v>
      </x:c>
      <x:c r="H870" s="2" t="str">
        <x:f>IF(OR($E$4="",NOT(ISNUMBER($E$4)),$E$4&lt;1,$E$4&gt;400),"参考年待填",IF(OR(E870="",F870="",G870=""),"年代待核",IF($E$4&lt;E870,"未出生",IF($E$4&lt;F870,"未登场",IF($E$4&gt;G870,"已过卒年",IF($E$4=G870,"卒年边界待核","年表可登场"))))))</x:f>
        <x:v>已过卒年</x:v>
      </x:c>
      <x:c r="I870" s="12"/>
      <x:c r="J870" s="2" t="str">
        <x:v>SAN14游戏设定</x:v>
      </x:c>
      <x:c r="K870" s="2" t="str"/>
      <x:c r="L870" s="2" t="str">
        <x:v>楊昂</x:v>
      </x:c>
      <x:c r="M870" s="2" t="str">
        <x:v>san14-candidate-0862</x:v>
      </x:c>
      <x:c r="N870" s="2" t="str">
        <x:v>楊昂</x:v>
      </x:c>
      <x:c r="O870" s="2" t="str">
        <x:v>ヨウコウ</x:v>
      </x:c>
    </x:row>
    <x:row r="871" ht="23" customHeight="1">
      <x:c r="A871" s="13" t="n">
        <x:v>863</x:v>
      </x:c>
      <x:c r="B871" s="2" t="str">
        <x:v>杨洪</x:v>
      </x:c>
      <x:c r="C871" s="2" t="str">
        <x:v>楊洪</x:v>
      </x:c>
      <x:c r="D871" s="2" t="str"/>
      <x:c r="E871" s="13" t="n">
        <x:v>179</x:v>
      </x:c>
      <x:c r="F871" s="13" t="n">
        <x:v>196</x:v>
      </x:c>
      <x:c r="G871" s="13" t="n">
        <x:v>228</x:v>
      </x:c>
      <x:c r="H871" s="2" t="str">
        <x:f>IF(OR($E$4="",NOT(ISNUMBER($E$4)),$E$4&lt;1,$E$4&gt;400),"参考年待填",IF(OR(E871="",F871="",G871=""),"年代待核",IF($E$4&lt;E871,"未出生",IF($E$4&lt;F871,"未登场",IF($E$4&gt;G871,"已过卒年",IF($E$4=G871,"卒年边界待核","年表可登场"))))))</x:f>
        <x:v>已过卒年</x:v>
      </x:c>
      <x:c r="I871" s="12"/>
      <x:c r="J871" s="2" t="str">
        <x:v>SAN14游戏设定</x:v>
      </x:c>
      <x:c r="K871" s="2" t="str"/>
      <x:c r="L871" s="2" t="str">
        <x:v>楊洪</x:v>
      </x:c>
      <x:c r="M871" s="2" t="str">
        <x:v>san14-candidate-0863</x:v>
      </x:c>
      <x:c r="N871" s="2" t="str">
        <x:v>楊洪</x:v>
      </x:c>
      <x:c r="O871" s="2" t="str">
        <x:v>ヨウコウ</x:v>
      </x:c>
    </x:row>
    <x:row r="872" ht="23" customHeight="1">
      <x:c r="A872" s="13" t="n">
        <x:v>864</x:v>
      </x:c>
      <x:c r="B872" s="2" t="str">
        <x:v>杨氏</x:v>
      </x:c>
      <x:c r="C872" s="2" t="str">
        <x:v>楊氏</x:v>
      </x:c>
      <x:c r="D872" s="2" t="str"/>
      <x:c r="E872" s="13" t="n">
        <x:v>175</x:v>
      </x:c>
      <x:c r="F872" s="13" t="n">
        <x:v>192</x:v>
      </x:c>
      <x:c r="G872" s="13" t="n">
        <x:v>214</x:v>
      </x:c>
      <x:c r="H872" s="2" t="str">
        <x:f>IF(OR($E$4="",NOT(ISNUMBER($E$4)),$E$4&lt;1,$E$4&gt;400),"参考年待填",IF(OR(E872="",F872="",G872=""),"年代待核",IF($E$4&lt;E872,"未出生",IF($E$4&lt;F872,"未登场",IF($E$4&gt;G872,"已过卒年",IF($E$4=G872,"卒年边界待核","年表可登场"))))))</x:f>
        <x:v>已过卒年</x:v>
      </x:c>
      <x:c r="I872" s="12"/>
      <x:c r="J872" s="2" t="str">
        <x:v>SAN14游戏设定</x:v>
      </x:c>
      <x:c r="K872" s="2" t="str"/>
      <x:c r="L872" s="2" t="str">
        <x:v>楊氏</x:v>
      </x:c>
      <x:c r="M872" s="2" t="str">
        <x:v>san14-candidate-0864</x:v>
      </x:c>
      <x:c r="N872" s="2" t="str">
        <x:v>楊氏</x:v>
      </x:c>
      <x:c r="O872" s="2" t="str">
        <x:v>ヨウシ</x:v>
      </x:c>
    </x:row>
    <x:row r="873" ht="23" customHeight="1">
      <x:c r="A873" s="13" t="n">
        <x:v>865</x:v>
      </x:c>
      <x:c r="B873" s="2" t="str">
        <x:v>杨丑</x:v>
      </x:c>
      <x:c r="C873" s="2" t="str">
        <x:v>楊醜</x:v>
      </x:c>
      <x:c r="D873" s="2" t="str"/>
      <x:c r="E873" s="13" t="n">
        <x:v>159</x:v>
      </x:c>
      <x:c r="F873" s="13" t="n">
        <x:v>184</x:v>
      </x:c>
      <x:c r="G873" s="13" t="n">
        <x:v>199</x:v>
      </x:c>
      <x:c r="H873" s="2" t="str">
        <x:f>IF(OR($E$4="",NOT(ISNUMBER($E$4)),$E$4&lt;1,$E$4&gt;400),"参考年待填",IF(OR(E873="",F873="",G873=""),"年代待核",IF($E$4&lt;E873,"未出生",IF($E$4&lt;F873,"未登场",IF($E$4&gt;G873,"已过卒年",IF($E$4=G873,"卒年边界待核","年表可登场"))))))</x:f>
        <x:v>已过卒年</x:v>
      </x:c>
      <x:c r="I873" s="12"/>
      <x:c r="J873" s="2" t="str">
        <x:v>SAN14游戏设定</x:v>
      </x:c>
      <x:c r="K873" s="2" t="str"/>
      <x:c r="L873" s="2" t="str">
        <x:v>楊醜</x:v>
      </x:c>
      <x:c r="M873" s="2" t="str">
        <x:v>san14-candidate-0865</x:v>
      </x:c>
      <x:c r="N873" s="2" t="str">
        <x:v>楊醜</x:v>
      </x:c>
      <x:c r="O873" s="2" t="str">
        <x:v>ヨウシュウ</x:v>
      </x:c>
    </x:row>
    <x:row r="874" ht="23" customHeight="1">
      <x:c r="A874" s="13" t="n">
        <x:v>866</x:v>
      </x:c>
      <x:c r="B874" s="2" t="str">
        <x:v>杨修</x:v>
      </x:c>
      <x:c r="C874" s="2" t="str">
        <x:v>楊脩</x:v>
      </x:c>
      <x:c r="D874" s="2" t="str"/>
      <x:c r="E874" s="13" t="n">
        <x:v>175</x:v>
      </x:c>
      <x:c r="F874" s="13" t="n">
        <x:v>194</x:v>
      </x:c>
      <x:c r="G874" s="13" t="n">
        <x:v>219</x:v>
      </x:c>
      <x:c r="H874" s="2" t="str">
        <x:f>IF(OR($E$4="",NOT(ISNUMBER($E$4)),$E$4&lt;1,$E$4&gt;400),"参考年待填",IF(OR(E874="",F874="",G874=""),"年代待核",IF($E$4&lt;E874,"未出生",IF($E$4&lt;F874,"未登场",IF($E$4&gt;G874,"已过卒年",IF($E$4=G874,"卒年边界待核","年表可登场"))))))</x:f>
        <x:v>已过卒年</x:v>
      </x:c>
      <x:c r="I874" s="12"/>
      <x:c r="J874" s="2" t="str">
        <x:v>SAN14游戏设定</x:v>
      </x:c>
      <x:c r="K874" s="2" t="str"/>
      <x:c r="L874" s="2" t="str">
        <x:v>楊脩</x:v>
      </x:c>
      <x:c r="M874" s="2" t="str">
        <x:v>san14-candidate-0866</x:v>
      </x:c>
      <x:c r="N874" s="2" t="str">
        <x:v>楊脩</x:v>
      </x:c>
      <x:c r="O874" s="2" t="str">
        <x:v>ヨウシュウ</x:v>
      </x:c>
    </x:row>
    <x:row r="875" ht="23" customHeight="1">
      <x:c r="A875" s="13" t="n">
        <x:v>867</x:v>
      </x:c>
      <x:c r="B875" s="2" t="str">
        <x:v>杨秋</x:v>
      </x:c>
      <x:c r="C875" s="2" t="str">
        <x:v>楊秋</x:v>
      </x:c>
      <x:c r="D875" s="2" t="str"/>
      <x:c r="E875" s="13" t="n">
        <x:v>172</x:v>
      </x:c>
      <x:c r="F875" s="13" t="n">
        <x:v>191</x:v>
      </x:c>
      <x:c r="G875" s="13" t="n">
        <x:v>238</x:v>
      </x:c>
      <x:c r="H875" s="2" t="str">
        <x:f>IF(OR($E$4="",NOT(ISNUMBER($E$4)),$E$4&lt;1,$E$4&gt;400),"参考年待填",IF(OR(E875="",F875="",G875=""),"年代待核",IF($E$4&lt;E875,"未出生",IF($E$4&lt;F875,"未登场",IF($E$4&gt;G875,"已过卒年",IF($E$4=G875,"卒年边界待核","年表可登场"))))))</x:f>
        <x:v>年表可登场</x:v>
      </x:c>
      <x:c r="I875" s="12"/>
      <x:c r="J875" s="2" t="str">
        <x:v>SAN14游戏设定</x:v>
      </x:c>
      <x:c r="K875" s="2" t="str"/>
      <x:c r="L875" s="2" t="str">
        <x:v>楊秋</x:v>
      </x:c>
      <x:c r="M875" s="2" t="str">
        <x:v>san14-candidate-0867</x:v>
      </x:c>
      <x:c r="N875" s="2" t="str">
        <x:v>楊秋</x:v>
      </x:c>
      <x:c r="O875" s="2" t="str">
        <x:v>ヨウシュウ</x:v>
      </x:c>
    </x:row>
    <x:row r="876" ht="23" customHeight="1">
      <x:c r="A876" s="13" t="n">
        <x:v>868</x:v>
      </x:c>
      <x:c r="B876" s="2" t="str">
        <x:v>杨松</x:v>
      </x:c>
      <x:c r="C876" s="2" t="str">
        <x:v>楊松</x:v>
      </x:c>
      <x:c r="D876" s="2" t="str"/>
      <x:c r="E876" s="13" t="n">
        <x:v>167</x:v>
      </x:c>
      <x:c r="F876" s="13" t="n">
        <x:v>186</x:v>
      </x:c>
      <x:c r="G876" s="13" t="n">
        <x:v>215</x:v>
      </x:c>
      <x:c r="H876" s="2" t="str">
        <x:f>IF(OR($E$4="",NOT(ISNUMBER($E$4)),$E$4&lt;1,$E$4&gt;400),"参考年待填",IF(OR(E876="",F876="",G876=""),"年代待核",IF($E$4&lt;E876,"未出生",IF($E$4&lt;F876,"未登场",IF($E$4&gt;G876,"已过卒年",IF($E$4=G876,"卒年边界待核","年表可登场"))))))</x:f>
        <x:v>已过卒年</x:v>
      </x:c>
      <x:c r="I876" s="12"/>
      <x:c r="J876" s="2" t="str">
        <x:v>SAN14游戏设定</x:v>
      </x:c>
      <x:c r="K876" s="2" t="str"/>
      <x:c r="L876" s="2" t="str">
        <x:v>楊松</x:v>
      </x:c>
      <x:c r="M876" s="2" t="str">
        <x:v>san14-candidate-0868</x:v>
      </x:c>
      <x:c r="N876" s="2" t="str">
        <x:v>楊松</x:v>
      </x:c>
      <x:c r="O876" s="2" t="str">
        <x:v>ヨウショウ</x:v>
      </x:c>
    </x:row>
    <x:row r="877" ht="23" customHeight="1">
      <x:c r="A877" s="13" t="n">
        <x:v>869</x:v>
      </x:c>
      <x:c r="B877" s="2" t="str">
        <x:v>杨任</x:v>
      </x:c>
      <x:c r="C877" s="2" t="str">
        <x:v>楊任</x:v>
      </x:c>
      <x:c r="D877" s="2" t="str"/>
      <x:c r="E877" s="13" t="n">
        <x:v>170</x:v>
      </x:c>
      <x:c r="F877" s="13" t="n">
        <x:v>189</x:v>
      </x:c>
      <x:c r="G877" s="13" t="n">
        <x:v>215</x:v>
      </x:c>
      <x:c r="H877" s="2" t="str">
        <x:f>IF(OR($E$4="",NOT(ISNUMBER($E$4)),$E$4&lt;1,$E$4&gt;400),"参考年待填",IF(OR(E877="",F877="",G877=""),"年代待核",IF($E$4&lt;E877,"未出生",IF($E$4&lt;F877,"未登场",IF($E$4&gt;G877,"已过卒年",IF($E$4=G877,"卒年边界待核","年表可登场"))))))</x:f>
        <x:v>已过卒年</x:v>
      </x:c>
      <x:c r="I877" s="12"/>
      <x:c r="J877" s="2" t="str">
        <x:v>SAN14游戏设定</x:v>
      </x:c>
      <x:c r="K877" s="2" t="str"/>
      <x:c r="L877" s="2" t="str">
        <x:v>楊任</x:v>
      </x:c>
      <x:c r="M877" s="2" t="str">
        <x:v>san14-candidate-0869</x:v>
      </x:c>
      <x:c r="N877" s="2" t="str">
        <x:v>楊任</x:v>
      </x:c>
      <x:c r="O877" s="2" t="str">
        <x:v>ヨウジン</x:v>
      </x:c>
    </x:row>
    <x:row r="878" ht="23" customHeight="1">
      <x:c r="A878" s="13" t="n">
        <x:v>870</x:v>
      </x:c>
      <x:c r="B878" s="2" t="str">
        <x:v>杨济</x:v>
      </x:c>
      <x:c r="C878" s="2" t="str">
        <x:v>楊濟</x:v>
      </x:c>
      <x:c r="D878" s="2" t="str"/>
      <x:c r="E878" s="13" t="n">
        <x:v>226</x:v>
      </x:c>
      <x:c r="F878" s="13" t="n">
        <x:v>245</x:v>
      </x:c>
      <x:c r="G878" s="13" t="n">
        <x:v>291</x:v>
      </x:c>
      <x:c r="H878" s="2" t="str">
        <x:f>IF(OR($E$4="",NOT(ISNUMBER($E$4)),$E$4&lt;1,$E$4&gt;400),"参考年待填",IF(OR(E878="",F878="",G878=""),"年代待核",IF($E$4&lt;E878,"未出生",IF($E$4&lt;F878,"未登场",IF($E$4&gt;G878,"已过卒年",IF($E$4=G878,"卒年边界待核","年表可登场"))))))</x:f>
        <x:v>未登场</x:v>
      </x:c>
      <x:c r="I878" s="12"/>
      <x:c r="J878" s="2" t="str">
        <x:v>SAN14游戏设定</x:v>
      </x:c>
      <x:c r="K878" s="2" t="str"/>
      <x:c r="L878" s="2" t="str">
        <x:v>楊濟</x:v>
      </x:c>
      <x:c r="M878" s="2" t="str">
        <x:v>san14-candidate-0870</x:v>
      </x:c>
      <x:c r="N878" s="2" t="str">
        <x:v>楊済</x:v>
      </x:c>
      <x:c r="O878" s="2" t="str">
        <x:v>ヨウセイ</x:v>
      </x:c>
    </x:row>
    <x:row r="879" ht="23" customHeight="1">
      <x:c r="A879" s="13" t="n">
        <x:v>871</x:v>
      </x:c>
      <x:c r="B879" s="2" t="str">
        <x:v>杨祚</x:v>
      </x:c>
      <x:c r="C879" s="2" t="str">
        <x:v>楊祚</x:v>
      </x:c>
      <x:c r="D879" s="2" t="str"/>
      <x:c r="E879" s="13" t="n">
        <x:v>202</x:v>
      </x:c>
      <x:c r="F879" s="13" t="n">
        <x:v>221</x:v>
      </x:c>
      <x:c r="G879" s="13" t="n">
        <x:v>256</x:v>
      </x:c>
      <x:c r="H879" s="2" t="str">
        <x:f>IF(OR($E$4="",NOT(ISNUMBER($E$4)),$E$4&lt;1,$E$4&gt;400),"参考年待填",IF(OR(E879="",F879="",G879=""),"年代待核",IF($E$4&lt;E879,"未出生",IF($E$4&lt;F879,"未登场",IF($E$4&gt;G879,"已过卒年",IF($E$4=G879,"卒年边界待核","年表可登场"))))))</x:f>
        <x:v>年表可登场</x:v>
      </x:c>
      <x:c r="I879" s="12"/>
      <x:c r="J879" s="2" t="str">
        <x:v>SAN14游戏设定</x:v>
      </x:c>
      <x:c r="K879" s="2" t="str"/>
      <x:c r="L879" s="2" t="str">
        <x:v>楊祚</x:v>
      </x:c>
      <x:c r="M879" s="2" t="str">
        <x:v>san14-candidate-0871</x:v>
      </x:c>
      <x:c r="N879" s="2" t="str">
        <x:v>楊祚</x:v>
      </x:c>
      <x:c r="O879" s="2" t="str">
        <x:v>ヨウソ</x:v>
      </x:c>
    </x:row>
    <x:row r="880" ht="23" customHeight="1">
      <x:c r="A880" s="13" t="n">
        <x:v>872</x:v>
      </x:c>
      <x:c r="B880" s="2" t="str">
        <x:v>姚伷</x:v>
      </x:c>
      <x:c r="C880" s="2" t="str">
        <x:v>姚伷</x:v>
      </x:c>
      <x:c r="D880" s="2" t="str"/>
      <x:c r="E880" s="13" t="n">
        <x:v>184</x:v>
      </x:c>
      <x:c r="F880" s="13" t="n">
        <x:v>203</x:v>
      </x:c>
      <x:c r="G880" s="13" t="n">
        <x:v>242</x:v>
      </x:c>
      <x:c r="H880" s="2" t="str">
        <x:f>IF(OR($E$4="",NOT(ISNUMBER($E$4)),$E$4&lt;1,$E$4&gt;400),"参考年待填",IF(OR(E880="",F880="",G880=""),"年代待核",IF($E$4&lt;E880,"未出生",IF($E$4&lt;F880,"未登场",IF($E$4&gt;G880,"已过卒年",IF($E$4=G880,"卒年边界待核","年表可登场"))))))</x:f>
        <x:v>年表可登场</x:v>
      </x:c>
      <x:c r="I880" s="12"/>
      <x:c r="J880" s="2" t="str">
        <x:v>SAN14游戏设定</x:v>
      </x:c>
      <x:c r="K880" s="2" t="str"/>
      <x:c r="L880" s="2" t="str">
        <x:v>姚伷</x:v>
      </x:c>
      <x:c r="M880" s="2" t="str">
        <x:v>san14-candidate-0872</x:v>
      </x:c>
      <x:c r="N880" s="2" t="str">
        <x:v>姚チュウ</x:v>
      </x:c>
      <x:c r="O880" s="2" t="str">
        <x:v>ヨウチュウ</x:v>
      </x:c>
    </x:row>
    <x:row r="881" ht="23" customHeight="1">
      <x:c r="A881" s="13" t="n">
        <x:v>873</x:v>
      </x:c>
      <x:c r="B881" s="2" t="str">
        <x:v>杨肇</x:v>
      </x:c>
      <x:c r="C881" s="2" t="str">
        <x:v>楊肇</x:v>
      </x:c>
      <x:c r="D881" s="2" t="str"/>
      <x:c r="E881" s="13" t="n">
        <x:v>223</x:v>
      </x:c>
      <x:c r="F881" s="13" t="n">
        <x:v>242</x:v>
      </x:c>
      <x:c r="G881" s="13" t="n">
        <x:v>286</x:v>
      </x:c>
      <x:c r="H881" s="2" t="str">
        <x:f>IF(OR($E$4="",NOT(ISNUMBER($E$4)),$E$4&lt;1,$E$4&gt;400),"参考年待填",IF(OR(E881="",F881="",G881=""),"年代待核",IF($E$4&lt;E881,"未出生",IF($E$4&lt;F881,"未登场",IF($E$4&gt;G881,"已过卒年",IF($E$4=G881,"卒年边界待核","年表可登场"))))))</x:f>
        <x:v>未登场</x:v>
      </x:c>
      <x:c r="I881" s="12"/>
      <x:c r="J881" s="2" t="str">
        <x:v>SAN14游戏设定</x:v>
      </x:c>
      <x:c r="K881" s="2" t="str"/>
      <x:c r="L881" s="2" t="str">
        <x:v>楊肇</x:v>
      </x:c>
      <x:c r="M881" s="2" t="str">
        <x:v>san14-candidate-0873</x:v>
      </x:c>
      <x:c r="N881" s="2" t="str">
        <x:v>楊肇</x:v>
      </x:c>
      <x:c r="O881" s="2" t="str">
        <x:v>ヨウチョウ</x:v>
      </x:c>
    </x:row>
    <x:row r="882" ht="23" customHeight="1">
      <x:c r="A882" s="13" t="n">
        <x:v>874</x:v>
      </x:c>
      <x:c r="B882" s="2" t="str">
        <x:v>杨定</x:v>
      </x:c>
      <x:c r="C882" s="2" t="str">
        <x:v>楊定</x:v>
      </x:c>
      <x:c r="D882" s="2" t="str"/>
      <x:c r="E882" s="13" t="n">
        <x:v>149</x:v>
      </x:c>
      <x:c r="F882" s="13" t="n">
        <x:v>184</x:v>
      </x:c>
      <x:c r="G882" s="13" t="n">
        <x:v>198</x:v>
      </x:c>
      <x:c r="H882" s="2" t="str">
        <x:f>IF(OR($E$4="",NOT(ISNUMBER($E$4)),$E$4&lt;1,$E$4&gt;400),"参考年待填",IF(OR(E882="",F882="",G882=""),"年代待核",IF($E$4&lt;E882,"未出生",IF($E$4&lt;F882,"未登场",IF($E$4&gt;G882,"已过卒年",IF($E$4=G882,"卒年边界待核","年表可登场"))))))</x:f>
        <x:v>已过卒年</x:v>
      </x:c>
      <x:c r="I882" s="12"/>
      <x:c r="J882" s="2" t="str">
        <x:v>SAN14游戏设定</x:v>
      </x:c>
      <x:c r="K882" s="2" t="str"/>
      <x:c r="L882" s="2" t="str">
        <x:v>楊定</x:v>
      </x:c>
      <x:c r="M882" s="2" t="str">
        <x:v>san14-candidate-0874</x:v>
      </x:c>
      <x:c r="N882" s="2" t="str">
        <x:v>楊定</x:v>
      </x:c>
      <x:c r="O882" s="2" t="str">
        <x:v>ヨウテイ</x:v>
      </x:c>
    </x:row>
    <x:row r="883" ht="23" customHeight="1">
      <x:c r="A883" s="13" t="n">
        <x:v>875</x:v>
      </x:c>
      <x:c r="B883" s="2" t="str">
        <x:v>羊衜</x:v>
      </x:c>
      <x:c r="C883" s="2" t="str">
        <x:v>羊衜</x:v>
      </x:c>
      <x:c r="D883" s="2" t="str"/>
      <x:c r="E883" s="13" t="n">
        <x:v>211</x:v>
      </x:c>
      <x:c r="F883" s="13" t="n">
        <x:v>225</x:v>
      </x:c>
      <x:c r="G883" s="13" t="n">
        <x:v>246</x:v>
      </x:c>
      <x:c r="H883" s="2" t="str">
        <x:f>IF(OR($E$4="",NOT(ISNUMBER($E$4)),$E$4&lt;1,$E$4&gt;400),"参考年待填",IF(OR(E883="",F883="",G883=""),"年代待核",IF($E$4&lt;E883,"未出生",IF($E$4&lt;F883,"未登场",IF($E$4&gt;G883,"已过卒年",IF($E$4=G883,"卒年边界待核","年表可登场"))))))</x:f>
        <x:v>年表可登场</x:v>
      </x:c>
      <x:c r="I883" s="12"/>
      <x:c r="J883" s="2" t="str">
        <x:v>SAN14游戏设定</x:v>
      </x:c>
      <x:c r="K883" s="2" t="str">
        <x:v>来源姓名截断</x:v>
      </x:c>
      <x:c r="L883" s="2" t="str">
        <x:v>羊</x:v>
      </x:c>
      <x:c r="M883" s="2" t="str">
        <x:v>san14-candidate-0875</x:v>
      </x:c>
      <x:c r="N883" s="2" t="str">
        <x:v>羊ドウ</x:v>
      </x:c>
      <x:c r="O883" s="2" t="str">
        <x:v>ヨウドウ</x:v>
      </x:c>
    </x:row>
    <x:row r="884" ht="23" customHeight="1">
      <x:c r="A884" s="13" t="n">
        <x:v>876</x:v>
      </x:c>
      <x:c r="B884" s="2" t="str">
        <x:v>杨白</x:v>
      </x:c>
      <x:c r="C884" s="2" t="str">
        <x:v>楊白</x:v>
      </x:c>
      <x:c r="D884" s="2" t="str"/>
      <x:c r="E884" s="13" t="n">
        <x:v>171</x:v>
      </x:c>
      <x:c r="F884" s="13" t="n">
        <x:v>189</x:v>
      </x:c>
      <x:c r="G884" s="13" t="n">
        <x:v>214</x:v>
      </x:c>
      <x:c r="H884" s="2" t="str">
        <x:f>IF(OR($E$4="",NOT(ISNUMBER($E$4)),$E$4&lt;1,$E$4&gt;400),"参考年待填",IF(OR(E884="",F884="",G884=""),"年代待核",IF($E$4&lt;E884,"未出生",IF($E$4&lt;F884,"未登场",IF($E$4&gt;G884,"已过卒年",IF($E$4=G884,"卒年边界待核","年表可登场"))))))</x:f>
        <x:v>已过卒年</x:v>
      </x:c>
      <x:c r="I884" s="12"/>
      <x:c r="J884" s="2" t="str">
        <x:v>SAN14游戏设定</x:v>
      </x:c>
      <x:c r="K884" s="2" t="str">
        <x:v>来源异写待核</x:v>
      </x:c>
      <x:c r="L884" s="2" t="str">
        <x:v>楊柏</x:v>
      </x:c>
      <x:c r="M884" s="2" t="str">
        <x:v>san14-candidate-0876</x:v>
      </x:c>
      <x:c r="N884" s="2" t="str">
        <x:v>楊柏</x:v>
      </x:c>
      <x:c r="O884" s="2" t="str">
        <x:v>ヨウハク</x:v>
      </x:c>
    </x:row>
    <x:row r="885" ht="23" customHeight="1">
      <x:c r="A885" s="13" t="n">
        <x:v>877</x:v>
      </x:c>
      <x:c r="B885" s="2" t="str">
        <x:v>杨彪</x:v>
      </x:c>
      <x:c r="C885" s="2" t="str">
        <x:v>楊彪</x:v>
      </x:c>
      <x:c r="D885" s="2" t="str"/>
      <x:c r="E885" s="13" t="n">
        <x:v>142</x:v>
      </x:c>
      <x:c r="F885" s="13" t="n">
        <x:v>184</x:v>
      </x:c>
      <x:c r="G885" s="13" t="n">
        <x:v>225</x:v>
      </x:c>
      <x:c r="H885" s="2" t="str">
        <x:f>IF(OR($E$4="",NOT(ISNUMBER($E$4)),$E$4&lt;1,$E$4&gt;400),"参考年待填",IF(OR(E885="",F885="",G885=""),"年代待核",IF($E$4&lt;E885,"未出生",IF($E$4&lt;F885,"未登场",IF($E$4&gt;G885,"已过卒年",IF($E$4=G885,"卒年边界待核","年表可登场"))))))</x:f>
        <x:v>已过卒年</x:v>
      </x:c>
      <x:c r="I885" s="12"/>
      <x:c r="J885" s="2" t="str">
        <x:v>SAN14游戏设定</x:v>
      </x:c>
      <x:c r="K885" s="2" t="str"/>
      <x:c r="L885" s="2" t="str">
        <x:v>楊彪</x:v>
      </x:c>
      <x:c r="M885" s="2" t="str">
        <x:v>san14-candidate-0877</x:v>
      </x:c>
      <x:c r="N885" s="2" t="str">
        <x:v>楊彪</x:v>
      </x:c>
      <x:c r="O885" s="2" t="str">
        <x:v>ヨウヒョウ</x:v>
      </x:c>
    </x:row>
    <x:row r="886" ht="23" customHeight="1">
      <x:c r="A886" s="13" t="n">
        <x:v>878</x:v>
      </x:c>
      <x:c r="B886" s="2" t="str">
        <x:v>杨敏</x:v>
      </x:c>
      <x:c r="C886" s="2" t="str">
        <x:v>楊敏</x:v>
      </x:c>
      <x:c r="D886" s="2" t="str"/>
      <x:c r="E886" s="13" t="n">
        <x:v>204</x:v>
      </x:c>
      <x:c r="F886" s="13" t="n">
        <x:v>223</x:v>
      </x:c>
      <x:c r="G886" s="13" t="n">
        <x:v>253</x:v>
      </x:c>
      <x:c r="H886" s="2" t="str">
        <x:f>IF(OR($E$4="",NOT(ISNUMBER($E$4)),$E$4&lt;1,$E$4&gt;400),"参考年待填",IF(OR(E886="",F886="",G886=""),"年代待核",IF($E$4&lt;E886,"未出生",IF($E$4&lt;F886,"未登场",IF($E$4&gt;G886,"已过卒年",IF($E$4=G886,"卒年边界待核","年表可登场"))))))</x:f>
        <x:v>年表可登场</x:v>
      </x:c>
      <x:c r="I886" s="12"/>
      <x:c r="J886" s="2" t="str">
        <x:v>SAN14游戏设定</x:v>
      </x:c>
      <x:c r="K886" s="2" t="str"/>
      <x:c r="L886" s="2" t="str">
        <x:v>楊敏</x:v>
      </x:c>
      <x:c r="M886" s="2" t="str">
        <x:v>san14-candidate-0878</x:v>
      </x:c>
      <x:c r="N886" s="2" t="str">
        <x:v>楊敏</x:v>
      </x:c>
      <x:c r="O886" s="2" t="str">
        <x:v>ヨウビン</x:v>
      </x:c>
    </x:row>
    <x:row r="887" ht="23" customHeight="1">
      <x:c r="A887" s="13" t="n">
        <x:v>879</x:v>
      </x:c>
      <x:c r="B887" s="2" t="str">
        <x:v>杨阜</x:v>
      </x:c>
      <x:c r="C887" s="2" t="str">
        <x:v>楊阜</x:v>
      </x:c>
      <x:c r="D887" s="2" t="str"/>
      <x:c r="E887" s="13" t="n">
        <x:v>178</x:v>
      </x:c>
      <x:c r="F887" s="13" t="n">
        <x:v>197</x:v>
      </x:c>
      <x:c r="G887" s="13" t="n">
        <x:v>239</x:v>
      </x:c>
      <x:c r="H887" s="2" t="str">
        <x:f>IF(OR($E$4="",NOT(ISNUMBER($E$4)),$E$4&lt;1,$E$4&gt;400),"参考年待填",IF(OR(E887="",F887="",G887=""),"年代待核",IF($E$4&lt;E887,"未出生",IF($E$4&lt;F887,"未登场",IF($E$4&gt;G887,"已过卒年",IF($E$4=G887,"卒年边界待核","年表可登场"))))))</x:f>
        <x:v>年表可登场</x:v>
      </x:c>
      <x:c r="I887" s="12"/>
      <x:c r="J887" s="2" t="str">
        <x:v>SAN14游戏设定</x:v>
      </x:c>
      <x:c r="K887" s="2" t="str"/>
      <x:c r="L887" s="2" t="str">
        <x:v>楊阜</x:v>
      </x:c>
      <x:c r="M887" s="2" t="str">
        <x:v>san14-candidate-0879</x:v>
      </x:c>
      <x:c r="N887" s="2" t="str">
        <x:v>楊阜</x:v>
      </x:c>
      <x:c r="O887" s="2" t="str">
        <x:v>ヨウフ</x:v>
      </x:c>
    </x:row>
    <x:row r="888" ht="23" customHeight="1">
      <x:c r="A888" s="13" t="n">
        <x:v>880</x:v>
      </x:c>
      <x:c r="B888" s="2" t="str">
        <x:v>杨奉</x:v>
      </x:c>
      <x:c r="C888" s="2" t="str">
        <x:v>楊奉</x:v>
      </x:c>
      <x:c r="D888" s="2" t="str"/>
      <x:c r="E888" s="13" t="n">
        <x:v>153</x:v>
      </x:c>
      <x:c r="F888" s="13" t="n">
        <x:v>184</x:v>
      </x:c>
      <x:c r="G888" s="13" t="n">
        <x:v>197</x:v>
      </x:c>
      <x:c r="H888" s="2" t="str">
        <x:f>IF(OR($E$4="",NOT(ISNUMBER($E$4)),$E$4&lt;1,$E$4&gt;400),"参考年待填",IF(OR(E888="",F888="",G888=""),"年代待核",IF($E$4&lt;E888,"未出生",IF($E$4&lt;F888,"未登场",IF($E$4&gt;G888,"已过卒年",IF($E$4=G888,"卒年边界待核","年表可登场"))))))</x:f>
        <x:v>已过卒年</x:v>
      </x:c>
      <x:c r="I888" s="12"/>
      <x:c r="J888" s="2" t="str">
        <x:v>SAN14游戏设定</x:v>
      </x:c>
      <x:c r="K888" s="2" t="str"/>
      <x:c r="L888" s="2" t="str">
        <x:v>楊奉</x:v>
      </x:c>
      <x:c r="M888" s="2" t="str">
        <x:v>san14-candidate-0880</x:v>
      </x:c>
      <x:c r="N888" s="2" t="str">
        <x:v>楊奉</x:v>
      </x:c>
      <x:c r="O888" s="2" t="str">
        <x:v>ヨウホウ</x:v>
      </x:c>
    </x:row>
    <x:row r="889" ht="23" customHeight="1">
      <x:c r="A889" s="13" t="n">
        <x:v>881</x:v>
      </x:c>
      <x:c r="B889" s="2" t="str">
        <x:v>杨锋</x:v>
      </x:c>
      <x:c r="C889" s="2" t="str">
        <x:v>楊鋒</x:v>
      </x:c>
      <x:c r="D889" s="2" t="str"/>
      <x:c r="E889" s="13" t="n">
        <x:v>191</x:v>
      </x:c>
      <x:c r="F889" s="13" t="n">
        <x:v>213</x:v>
      </x:c>
      <x:c r="G889" s="13" t="n">
        <x:v>252</x:v>
      </x:c>
      <x:c r="H889" s="2" t="str">
        <x:f>IF(OR($E$4="",NOT(ISNUMBER($E$4)),$E$4&lt;1,$E$4&gt;400),"参考年待填",IF(OR(E889="",F889="",G889=""),"年代待核",IF($E$4&lt;E889,"未出生",IF($E$4&lt;F889,"未登场",IF($E$4&gt;G889,"已过卒年",IF($E$4=G889,"卒年边界待核","年表可登场"))))))</x:f>
        <x:v>年表可登场</x:v>
      </x:c>
      <x:c r="I889" s="12"/>
      <x:c r="J889" s="2" t="str">
        <x:v>SAN14游戏设定</x:v>
      </x:c>
      <x:c r="K889" s="2" t="str"/>
      <x:c r="L889" s="2" t="str">
        <x:v>楊鋒</x:v>
      </x:c>
      <x:c r="M889" s="2" t="str">
        <x:v>san14-candidate-0881</x:v>
      </x:c>
      <x:c r="N889" s="2" t="str">
        <x:v>楊鋒</x:v>
      </x:c>
      <x:c r="O889" s="2" t="str">
        <x:v>ヨウホウ</x:v>
      </x:c>
    </x:row>
    <x:row r="890" ht="23" customHeight="1">
      <x:c r="A890" s="13" t="n">
        <x:v>882</x:v>
      </x:c>
      <x:c r="B890" s="2" t="str">
        <x:v>杨密</x:v>
      </x:c>
      <x:c r="C890" s="2" t="str">
        <x:v>楊密</x:v>
      </x:c>
      <x:c r="D890" s="2" t="str"/>
      <x:c r="E890" s="13" t="n">
        <x:v>137</x:v>
      </x:c>
      <x:c r="F890" s="13" t="n">
        <x:v>184</x:v>
      </x:c>
      <x:c r="G890" s="13" t="n">
        <x:v>199</x:v>
      </x:c>
      <x:c r="H890" s="2" t="str">
        <x:f>IF(OR($E$4="",NOT(ISNUMBER($E$4)),$E$4&lt;1,$E$4&gt;400),"参考年待填",IF(OR(E890="",F890="",G890=""),"年代待核",IF($E$4&lt;E890,"未出生",IF($E$4&lt;F890,"未登场",IF($E$4&gt;G890,"已过卒年",IF($E$4=G890,"卒年边界待核","年表可登场"))))))</x:f>
        <x:v>已过卒年</x:v>
      </x:c>
      <x:c r="I890" s="12"/>
      <x:c r="J890" s="2" t="str">
        <x:v>SAN14游戏设定</x:v>
      </x:c>
      <x:c r="K890" s="2" t="str"/>
      <x:c r="L890" s="2" t="str">
        <x:v>楊密</x:v>
      </x:c>
      <x:c r="M890" s="2" t="str">
        <x:v>san14-candidate-0882</x:v>
      </x:c>
      <x:c r="N890" s="2" t="str">
        <x:v>楊密</x:v>
      </x:c>
      <x:c r="O890" s="2" t="str">
        <x:v>ヨウミツ</x:v>
      </x:c>
    </x:row>
    <x:row r="891" ht="23" customHeight="1">
      <x:c r="A891" s="13" t="n">
        <x:v>883</x:v>
      </x:c>
      <x:c r="B891" s="2" t="str">
        <x:v>赖恭</x:v>
      </x:c>
      <x:c r="C891" s="2" t="str">
        <x:v>賴恭</x:v>
      </x:c>
      <x:c r="D891" s="2" t="str"/>
      <x:c r="E891" s="13" t="n">
        <x:v>170</x:v>
      </x:c>
      <x:c r="F891" s="13" t="n">
        <x:v>194</x:v>
      </x:c>
      <x:c r="G891" s="13" t="n">
        <x:v>237</x:v>
      </x:c>
      <x:c r="H891" s="2" t="str">
        <x:f>IF(OR($E$4="",NOT(ISNUMBER($E$4)),$E$4&lt;1,$E$4&gt;400),"参考年待填",IF(OR(E891="",F891="",G891=""),"年代待核",IF($E$4&lt;E891,"未出生",IF($E$4&lt;F891,"未登场",IF($E$4&gt;G891,"已过卒年",IF($E$4=G891,"卒年边界待核","年表可登场"))))))</x:f>
        <x:v>年表可登场</x:v>
      </x:c>
      <x:c r="I891" s="12"/>
      <x:c r="J891" s="2" t="str">
        <x:v>SAN14游戏设定</x:v>
      </x:c>
      <x:c r="K891" s="2" t="str"/>
      <x:c r="L891" s="2" t="str">
        <x:v>賴恭</x:v>
      </x:c>
      <x:c r="M891" s="2" t="str">
        <x:v>san14-candidate-0883</x:v>
      </x:c>
      <x:c r="N891" s="2" t="str">
        <x:v>頼恭</x:v>
      </x:c>
      <x:c r="O891" s="2" t="str">
        <x:v>ライキョウ</x:v>
      </x:c>
    </x:row>
    <x:row r="892" ht="23" customHeight="1">
      <x:c r="A892" s="13" t="n">
        <x:v>884</x:v>
      </x:c>
      <x:c r="B892" s="2" t="str">
        <x:v>雷绪</x:v>
      </x:c>
      <x:c r="C892" s="2" t="str">
        <x:v>雷緒</x:v>
      </x:c>
      <x:c r="D892" s="2" t="str"/>
      <x:c r="E892" s="13" t="n">
        <x:v>172</x:v>
      </x:c>
      <x:c r="F892" s="13" t="n">
        <x:v>196</x:v>
      </x:c>
      <x:c r="G892" s="13" t="n">
        <x:v>213</x:v>
      </x:c>
      <x:c r="H892" s="2" t="str">
        <x:f>IF(OR($E$4="",NOT(ISNUMBER($E$4)),$E$4&lt;1,$E$4&gt;400),"参考年待填",IF(OR(E892="",F892="",G892=""),"年代待核",IF($E$4&lt;E892,"未出生",IF($E$4&lt;F892,"未登场",IF($E$4&gt;G892,"已过卒年",IF($E$4=G892,"卒年边界待核","年表可登场"))))))</x:f>
        <x:v>已过卒年</x:v>
      </x:c>
      <x:c r="I892" s="12"/>
      <x:c r="J892" s="2" t="str">
        <x:v>SAN14游戏设定</x:v>
      </x:c>
      <x:c r="K892" s="2" t="str"/>
      <x:c r="L892" s="2" t="str">
        <x:v>雷緒</x:v>
      </x:c>
      <x:c r="M892" s="2" t="str">
        <x:v>san14-candidate-0884</x:v>
      </x:c>
      <x:c r="N892" s="2" t="str">
        <x:v>雷緒</x:v>
      </x:c>
      <x:c r="O892" s="2" t="str">
        <x:v>ライショ</x:v>
      </x:c>
    </x:row>
    <x:row r="893" ht="23" customHeight="1">
      <x:c r="A893" s="13" t="n">
        <x:v>885</x:v>
      </x:c>
      <x:c r="B893" s="2" t="str">
        <x:v>雷叙</x:v>
      </x:c>
      <x:c r="C893" s="2" t="str">
        <x:v>雷敘</x:v>
      </x:c>
      <x:c r="D893" s="2" t="str"/>
      <x:c r="E893" s="13" t="n">
        <x:v>165</x:v>
      </x:c>
      <x:c r="F893" s="13" t="n">
        <x:v>184</x:v>
      </x:c>
      <x:c r="G893" s="13" t="n">
        <x:v>197</x:v>
      </x:c>
      <x:c r="H893" s="2" t="str">
        <x:f>IF(OR($E$4="",NOT(ISNUMBER($E$4)),$E$4&lt;1,$E$4&gt;400),"参考年待填",IF(OR(E893="",F893="",G893=""),"年代待核",IF($E$4&lt;E893,"未出生",IF($E$4&lt;F893,"未登场",IF($E$4&gt;G893,"已过卒年",IF($E$4=G893,"卒年边界待核","年表可登场"))))))</x:f>
        <x:v>已过卒年</x:v>
      </x:c>
      <x:c r="I893" s="12"/>
      <x:c r="J893" s="2" t="str">
        <x:v>SAN14游戏设定</x:v>
      </x:c>
      <x:c r="K893" s="2" t="str"/>
      <x:c r="L893" s="2" t="str">
        <x:v>雷敘</x:v>
      </x:c>
      <x:c r="M893" s="2" t="str">
        <x:v>san14-candidate-0885</x:v>
      </x:c>
      <x:c r="N893" s="2" t="str">
        <x:v>雷叙</x:v>
      </x:c>
      <x:c r="O893" s="2" t="str">
        <x:v>ライジョ</x:v>
      </x:c>
    </x:row>
    <x:row r="894" ht="23" customHeight="1">
      <x:c r="A894" s="13" t="n">
        <x:v>886</x:v>
      </x:c>
      <x:c r="B894" s="2" t="str">
        <x:v>雷铜</x:v>
      </x:c>
      <x:c r="C894" s="2" t="str">
        <x:v>雷銅</x:v>
      </x:c>
      <x:c r="D894" s="2" t="str"/>
      <x:c r="E894" s="13" t="n">
        <x:v>172</x:v>
      </x:c>
      <x:c r="F894" s="13" t="n">
        <x:v>191</x:v>
      </x:c>
      <x:c r="G894" s="13" t="n">
        <x:v>218</x:v>
      </x:c>
      <x:c r="H894" s="2" t="str">
        <x:f>IF(OR($E$4="",NOT(ISNUMBER($E$4)),$E$4&lt;1,$E$4&gt;400),"参考年待填",IF(OR(E894="",F894="",G894=""),"年代待核",IF($E$4&lt;E894,"未出生",IF($E$4&lt;F894,"未登场",IF($E$4&gt;G894,"已过卒年",IF($E$4=G894,"卒年边界待核","年表可登场"))))))</x:f>
        <x:v>已过卒年</x:v>
      </x:c>
      <x:c r="I894" s="12"/>
      <x:c r="J894" s="2" t="str">
        <x:v>SAN14游戏设定</x:v>
      </x:c>
      <x:c r="K894" s="2" t="str"/>
      <x:c r="L894" s="2" t="str">
        <x:v>雷銅</x:v>
      </x:c>
      <x:c r="M894" s="2" t="str">
        <x:v>san14-candidate-0886</x:v>
      </x:c>
      <x:c r="N894" s="2" t="str">
        <x:v>雷銅</x:v>
      </x:c>
      <x:c r="O894" s="2" t="str">
        <x:v>ライドウ</x:v>
      </x:c>
    </x:row>
    <x:row r="895" ht="23" customHeight="1">
      <x:c r="A895" s="13" t="n">
        <x:v>887</x:v>
      </x:c>
      <x:c r="B895" s="2" t="str">
        <x:v>雷薄</x:v>
      </x:c>
      <x:c r="C895" s="2" t="str">
        <x:v>雷薄</x:v>
      </x:c>
      <x:c r="D895" s="2" t="str"/>
      <x:c r="E895" s="13" t="n">
        <x:v>157</x:v>
      </x:c>
      <x:c r="F895" s="13" t="n">
        <x:v>184</x:v>
      </x:c>
      <x:c r="G895" s="13" t="n">
        <x:v>206</x:v>
      </x:c>
      <x:c r="H895" s="2" t="str">
        <x:f>IF(OR($E$4="",NOT(ISNUMBER($E$4)),$E$4&lt;1,$E$4&gt;400),"参考年待填",IF(OR(E895="",F895="",G895=""),"年代待核",IF($E$4&lt;E895,"未出生",IF($E$4&lt;F895,"未登场",IF($E$4&gt;G895,"已过卒年",IF($E$4=G895,"卒年边界待核","年表可登场"))))))</x:f>
        <x:v>已过卒年</x:v>
      </x:c>
      <x:c r="I895" s="12"/>
      <x:c r="J895" s="2" t="str">
        <x:v>SAN14游戏设定</x:v>
      </x:c>
      <x:c r="K895" s="2" t="str"/>
      <x:c r="L895" s="2" t="str">
        <x:v>雷薄</x:v>
      </x:c>
      <x:c r="M895" s="2" t="str">
        <x:v>san14-candidate-0887</x:v>
      </x:c>
      <x:c r="N895" s="2" t="str">
        <x:v>雷薄</x:v>
      </x:c>
      <x:c r="O895" s="2" t="str">
        <x:v>ライハク</x:v>
      </x:c>
    </x:row>
    <x:row r="896" ht="23" customHeight="1">
      <x:c r="A896" s="13" t="n">
        <x:v>888</x:v>
      </x:c>
      <x:c r="B896" s="2" t="str">
        <x:v>来敏</x:v>
      </x:c>
      <x:c r="C896" s="2" t="str">
        <x:v>來敏</x:v>
      </x:c>
      <x:c r="D896" s="2" t="str"/>
      <x:c r="E896" s="13" t="n">
        <x:v>164</x:v>
      </x:c>
      <x:c r="F896" s="13" t="n">
        <x:v>184</x:v>
      </x:c>
      <x:c r="G896" s="13" t="n">
        <x:v>260</x:v>
      </x:c>
      <x:c r="H896" s="2" t="str">
        <x:f>IF(OR($E$4="",NOT(ISNUMBER($E$4)),$E$4&lt;1,$E$4&gt;400),"参考年待填",IF(OR(E896="",F896="",G896=""),"年代待核",IF($E$4&lt;E896,"未出生",IF($E$4&lt;F896,"未登场",IF($E$4&gt;G896,"已过卒年",IF($E$4=G896,"卒年边界待核","年表可登场"))))))</x:f>
        <x:v>年表可登场</x:v>
      </x:c>
      <x:c r="I896" s="12"/>
      <x:c r="J896" s="2" t="str">
        <x:v>SAN14游戏设定</x:v>
      </x:c>
      <x:c r="K896" s="2" t="str"/>
      <x:c r="L896" s="2" t="str">
        <x:v>來敏</x:v>
      </x:c>
      <x:c r="M896" s="2" t="str">
        <x:v>san14-candidate-0888</x:v>
      </x:c>
      <x:c r="N896" s="2" t="str">
        <x:v>来敏</x:v>
      </x:c>
      <x:c r="O896" s="2" t="str">
        <x:v>ライビン</x:v>
      </x:c>
    </x:row>
    <x:row r="897" ht="23" customHeight="1">
      <x:c r="A897" s="13" t="n">
        <x:v>889</x:v>
      </x:c>
      <x:c r="B897" s="2" t="str">
        <x:v>骆统</x:v>
      </x:c>
      <x:c r="C897" s="2" t="str">
        <x:v>駱統</x:v>
      </x:c>
      <x:c r="D897" s="2" t="str"/>
      <x:c r="E897" s="13" t="n">
        <x:v>193</x:v>
      </x:c>
      <x:c r="F897" s="13" t="n">
        <x:v>207</x:v>
      </x:c>
      <x:c r="G897" s="13" t="n">
        <x:v>228</x:v>
      </x:c>
      <x:c r="H897" s="2" t="str">
        <x:f>IF(OR($E$4="",NOT(ISNUMBER($E$4)),$E$4&lt;1,$E$4&gt;400),"参考年待填",IF(OR(E897="",F897="",G897=""),"年代待核",IF($E$4&lt;E897,"未出生",IF($E$4&lt;F897,"未登场",IF($E$4&gt;G897,"已过卒年",IF($E$4=G897,"卒年边界待核","年表可登场"))))))</x:f>
        <x:v>已过卒年</x:v>
      </x:c>
      <x:c r="I897" s="12"/>
      <x:c r="J897" s="2" t="str">
        <x:v>SAN14游戏设定</x:v>
      </x:c>
      <x:c r="K897" s="2" t="str"/>
      <x:c r="L897" s="2" t="str">
        <x:v>駱統</x:v>
      </x:c>
      <x:c r="M897" s="2" t="str">
        <x:v>san14-candidate-0889</x:v>
      </x:c>
      <x:c r="N897" s="2" t="str">
        <x:v>駱統</x:v>
      </x:c>
      <x:c r="O897" s="2" t="str">
        <x:v>ラクトウ</x:v>
      </x:c>
    </x:row>
    <x:row r="898" ht="23" customHeight="1">
      <x:c r="A898" s="13" t="n">
        <x:v>890</x:v>
      </x:c>
      <x:c r="B898" s="2" t="str">
        <x:v>罗宪</x:v>
      </x:c>
      <x:c r="C898" s="2" t="str">
        <x:v>羅憲</x:v>
      </x:c>
      <x:c r="D898" s="2" t="str"/>
      <x:c r="E898" s="13" t="n">
        <x:v>218</x:v>
      </x:c>
      <x:c r="F898" s="13" t="n">
        <x:v>237</x:v>
      </x:c>
      <x:c r="G898" s="13" t="n">
        <x:v>270</x:v>
      </x:c>
      <x:c r="H898" s="2" t="str">
        <x:f>IF(OR($E$4="",NOT(ISNUMBER($E$4)),$E$4&lt;1,$E$4&gt;400),"参考年待填",IF(OR(E898="",F898="",G898=""),"年代待核",IF($E$4&lt;E898,"未出生",IF($E$4&lt;F898,"未登场",IF($E$4&gt;G898,"已过卒年",IF($E$4=G898,"卒年边界待核","年表可登场"))))))</x:f>
        <x:v>未登场</x:v>
      </x:c>
      <x:c r="I898" s="12"/>
      <x:c r="J898" s="2" t="str">
        <x:v>SAN14游戏设定</x:v>
      </x:c>
      <x:c r="K898" s="2" t="str"/>
      <x:c r="L898" s="2" t="str">
        <x:v>羅憲</x:v>
      </x:c>
      <x:c r="M898" s="2" t="str">
        <x:v>san14-candidate-0890</x:v>
      </x:c>
      <x:c r="N898" s="2" t="str">
        <x:v>羅憲</x:v>
      </x:c>
      <x:c r="O898" s="2" t="str">
        <x:v>ラケン</x:v>
      </x:c>
    </x:row>
    <x:row r="899" ht="23" customHeight="1">
      <x:c r="A899" s="13" t="n">
        <x:v>891</x:v>
      </x:c>
      <x:c r="B899" s="2" t="str">
        <x:v>李异</x:v>
      </x:c>
      <x:c r="C899" s="2" t="str">
        <x:v>李異</x:v>
      </x:c>
      <x:c r="D899" s="2" t="str"/>
      <x:c r="E899" s="13" t="n">
        <x:v>187</x:v>
      </x:c>
      <x:c r="F899" s="13" t="n">
        <x:v>206</x:v>
      </x:c>
      <x:c r="G899" s="13" t="n">
        <x:v>222</x:v>
      </x:c>
      <x:c r="H899" s="2" t="str">
        <x:f>IF(OR($E$4="",NOT(ISNUMBER($E$4)),$E$4&lt;1,$E$4&gt;400),"参考年待填",IF(OR(E899="",F899="",G899=""),"年代待核",IF($E$4&lt;E899,"未出生",IF($E$4&lt;F899,"未登场",IF($E$4&gt;G899,"已过卒年",IF($E$4=G899,"卒年边界待核","年表可登场"))))))</x:f>
        <x:v>已过卒年</x:v>
      </x:c>
      <x:c r="I899" s="12"/>
      <x:c r="J899" s="2" t="str">
        <x:v>SAN14游戏设定</x:v>
      </x:c>
      <x:c r="K899" s="2" t="str"/>
      <x:c r="L899" s="2" t="str">
        <x:v>李異</x:v>
      </x:c>
      <x:c r="M899" s="2" t="str">
        <x:v>san14-candidate-0891</x:v>
      </x:c>
      <x:c r="N899" s="2" t="str">
        <x:v>李異</x:v>
      </x:c>
      <x:c r="O899" s="2" t="str">
        <x:v>リイ</x:v>
      </x:c>
    </x:row>
    <x:row r="900" ht="23" customHeight="1">
      <x:c r="A900" s="13" t="n">
        <x:v>892</x:v>
      </x:c>
      <x:c r="B900" s="2" t="str">
        <x:v>李恢</x:v>
      </x:c>
      <x:c r="C900" s="2" t="str">
        <x:v>李恢</x:v>
      </x:c>
      <x:c r="D900" s="2" t="str"/>
      <x:c r="E900" s="13" t="n">
        <x:v>175</x:v>
      </x:c>
      <x:c r="F900" s="13" t="n">
        <x:v>194</x:v>
      </x:c>
      <x:c r="G900" s="13" t="n">
        <x:v>231</x:v>
      </x:c>
      <x:c r="H900" s="2" t="str">
        <x:f>IF(OR($E$4="",NOT(ISNUMBER($E$4)),$E$4&lt;1,$E$4&gt;400),"参考年待填",IF(OR(E900="",F900="",G900=""),"年代待核",IF($E$4&lt;E900,"未出生",IF($E$4&lt;F900,"未登场",IF($E$4&gt;G900,"已过卒年",IF($E$4=G900,"卒年边界待核","年表可登场"))))))</x:f>
        <x:v>年表可登场</x:v>
      </x:c>
      <x:c r="I900" s="12"/>
      <x:c r="J900" s="2" t="str">
        <x:v>SAN14游戏设定</x:v>
      </x:c>
      <x:c r="K900" s="2" t="str"/>
      <x:c r="L900" s="2" t="str">
        <x:v>李恢</x:v>
      </x:c>
      <x:c r="M900" s="2" t="str">
        <x:v>san14-candidate-0892</x:v>
      </x:c>
      <x:c r="N900" s="2" t="str">
        <x:v>李恢</x:v>
      </x:c>
      <x:c r="O900" s="2" t="str">
        <x:v>リカイ</x:v>
      </x:c>
    </x:row>
    <x:row r="901" ht="23" customHeight="1">
      <x:c r="A901" s="13" t="n">
        <x:v>893</x:v>
      </x:c>
      <x:c r="B901" s="2" t="str">
        <x:v>李傕</x:v>
      </x:c>
      <x:c r="C901" s="2" t="str">
        <x:v>李傕</x:v>
      </x:c>
      <x:c r="D901" s="2" t="str"/>
      <x:c r="E901" s="13" t="n">
        <x:v>148</x:v>
      </x:c>
      <x:c r="F901" s="13" t="n">
        <x:v>184</x:v>
      </x:c>
      <x:c r="G901" s="13" t="n">
        <x:v>198</x:v>
      </x:c>
      <x:c r="H901" s="2" t="str">
        <x:f>IF(OR($E$4="",NOT(ISNUMBER($E$4)),$E$4&lt;1,$E$4&gt;400),"参考年待填",IF(OR(E901="",F901="",G901=""),"年代待核",IF($E$4&lt;E901,"未出生",IF($E$4&lt;F901,"未登场",IF($E$4&gt;G901,"已过卒年",IF($E$4=G901,"卒年边界待核","年表可登场"))))))</x:f>
        <x:v>已过卒年</x:v>
      </x:c>
      <x:c r="I901" s="12"/>
      <x:c r="J901" s="2" t="str">
        <x:v>SAN14游戏设定</x:v>
      </x:c>
      <x:c r="K901" s="2" t="str"/>
      <x:c r="L901" s="2" t="str">
        <x:v>李傕</x:v>
      </x:c>
      <x:c r="M901" s="2" t="str">
        <x:v>san14-candidate-0893</x:v>
      </x:c>
      <x:c r="N901" s="2" t="str">
        <x:v>李カク</x:v>
      </x:c>
      <x:c r="O901" s="2" t="str">
        <x:v>リカク</x:v>
      </x:c>
    </x:row>
    <x:row r="902" ht="23" customHeight="1">
      <x:c r="A902" s="13" t="n">
        <x:v>894</x:v>
      </x:c>
      <x:c r="B902" s="2" t="str">
        <x:v>李乐</x:v>
      </x:c>
      <x:c r="C902" s="2" t="str">
        <x:v>李樂</x:v>
      </x:c>
      <x:c r="D902" s="2" t="str"/>
      <x:c r="E902" s="13" t="n">
        <x:v>160</x:v>
      </x:c>
      <x:c r="F902" s="13" t="n">
        <x:v>184</x:v>
      </x:c>
      <x:c r="G902" s="13" t="n">
        <x:v>196</x:v>
      </x:c>
      <x:c r="H902" s="2" t="str">
        <x:f>IF(OR($E$4="",NOT(ISNUMBER($E$4)),$E$4&lt;1,$E$4&gt;400),"参考年待填",IF(OR(E902="",F902="",G902=""),"年代待核",IF($E$4&lt;E902,"未出生",IF($E$4&lt;F902,"未登场",IF($E$4&gt;G902,"已过卒年",IF($E$4=G902,"卒年边界待核","年表可登场"))))))</x:f>
        <x:v>已过卒年</x:v>
      </x:c>
      <x:c r="I902" s="12"/>
      <x:c r="J902" s="2" t="str">
        <x:v>SAN14游戏设定</x:v>
      </x:c>
      <x:c r="K902" s="2" t="str"/>
      <x:c r="L902" s="2" t="str">
        <x:v>李樂</x:v>
      </x:c>
      <x:c r="M902" s="2" t="str">
        <x:v>san14-candidate-0894</x:v>
      </x:c>
      <x:c r="N902" s="2" t="str">
        <x:v>李楽</x:v>
      </x:c>
      <x:c r="O902" s="2" t="str">
        <x:v>リガク</x:v>
      </x:c>
    </x:row>
    <x:row r="903" ht="23" customHeight="1">
      <x:c r="A903" s="13" t="n">
        <x:v>895</x:v>
      </x:c>
      <x:c r="B903" s="2" t="str">
        <x:v>李堪</x:v>
      </x:c>
      <x:c r="C903" s="2" t="str">
        <x:v>李堪</x:v>
      </x:c>
      <x:c r="D903" s="2" t="str"/>
      <x:c r="E903" s="13" t="n">
        <x:v>176</x:v>
      </x:c>
      <x:c r="F903" s="13" t="n">
        <x:v>195</x:v>
      </x:c>
      <x:c r="G903" s="13" t="n">
        <x:v>211</x:v>
      </x:c>
      <x:c r="H903" s="2" t="str">
        <x:f>IF(OR($E$4="",NOT(ISNUMBER($E$4)),$E$4&lt;1,$E$4&gt;400),"参考年待填",IF(OR(E903="",F903="",G903=""),"年代待核",IF($E$4&lt;E903,"未出生",IF($E$4&lt;F903,"未登场",IF($E$4&gt;G903,"已过卒年",IF($E$4=G903,"卒年边界待核","年表可登场"))))))</x:f>
        <x:v>已过卒年</x:v>
      </x:c>
      <x:c r="I903" s="12"/>
      <x:c r="J903" s="2" t="str">
        <x:v>SAN14游戏设定</x:v>
      </x:c>
      <x:c r="K903" s="2" t="str"/>
      <x:c r="L903" s="2" t="str">
        <x:v>李堪</x:v>
      </x:c>
      <x:c r="M903" s="2" t="str">
        <x:v>san14-candidate-0895</x:v>
      </x:c>
      <x:c r="N903" s="2" t="str">
        <x:v>李堪</x:v>
      </x:c>
      <x:c r="O903" s="2" t="str">
        <x:v>リカン</x:v>
      </x:c>
    </x:row>
    <x:row r="904" ht="23" customHeight="1">
      <x:c r="A904" s="13" t="n">
        <x:v>896</x:v>
      </x:c>
      <x:c r="B904" s="2" t="str">
        <x:v>李歆</x:v>
      </x:c>
      <x:c r="C904" s="2" t="str">
        <x:v>李歆</x:v>
      </x:c>
      <x:c r="D904" s="2" t="str"/>
      <x:c r="E904" s="13" t="n">
        <x:v>215</x:v>
      </x:c>
      <x:c r="F904" s="13" t="n">
        <x:v>234</x:v>
      </x:c>
      <x:c r="G904" s="13" t="n">
        <x:v>250</x:v>
      </x:c>
      <x:c r="H904" s="2" t="str">
        <x:f>IF(OR($E$4="",NOT(ISNUMBER($E$4)),$E$4&lt;1,$E$4&gt;400),"参考年待填",IF(OR(E904="",F904="",G904=""),"年代待核",IF($E$4&lt;E904,"未出生",IF($E$4&lt;F904,"未登场",IF($E$4&gt;G904,"已过卒年",IF($E$4=G904,"卒年边界待核","年表可登场"))))))</x:f>
        <x:v>未登场</x:v>
      </x:c>
      <x:c r="I904" s="12"/>
      <x:c r="J904" s="2" t="str">
        <x:v>SAN14游戏设定</x:v>
      </x:c>
      <x:c r="K904" s="2" t="str"/>
      <x:c r="L904" s="2" t="str">
        <x:v>李歆</x:v>
      </x:c>
      <x:c r="M904" s="2" t="str">
        <x:v>san14-candidate-0896</x:v>
      </x:c>
      <x:c r="N904" s="2" t="str">
        <x:v>李キン</x:v>
      </x:c>
      <x:c r="O904" s="2" t="str">
        <x:v>リキン</x:v>
      </x:c>
    </x:row>
    <x:row r="905" ht="23" customHeight="1">
      <x:c r="A905" s="13" t="n">
        <x:v>897</x:v>
      </x:c>
      <x:c r="B905" s="2" t="str">
        <x:v>陆胤</x:v>
      </x:c>
      <x:c r="C905" s="2" t="str">
        <x:v>陸胤</x:v>
      </x:c>
      <x:c r="D905" s="2" t="str"/>
      <x:c r="E905" s="13" t="n">
        <x:v>201</x:v>
      </x:c>
      <x:c r="F905" s="13" t="n">
        <x:v>220</x:v>
      </x:c>
      <x:c r="G905" s="13" t="n">
        <x:v>271</x:v>
      </x:c>
      <x:c r="H905" s="2" t="str">
        <x:f>IF(OR($E$4="",NOT(ISNUMBER($E$4)),$E$4&lt;1,$E$4&gt;400),"参考年待填",IF(OR(E905="",F905="",G905=""),"年代待核",IF($E$4&lt;E905,"未出生",IF($E$4&lt;F905,"未登场",IF($E$4&gt;G905,"已过卒年",IF($E$4=G905,"卒年边界待核","年表可登场"))))))</x:f>
        <x:v>年表可登场</x:v>
      </x:c>
      <x:c r="I905" s="12"/>
      <x:c r="J905" s="2" t="str">
        <x:v>SAN14游戏设定</x:v>
      </x:c>
      <x:c r="K905" s="2" t="str"/>
      <x:c r="L905" s="2" t="str">
        <x:v>陸胤</x:v>
      </x:c>
      <x:c r="M905" s="2" t="str">
        <x:v>san14-candidate-0897</x:v>
      </x:c>
      <x:c r="N905" s="2" t="str">
        <x:v>陸胤</x:v>
      </x:c>
      <x:c r="O905" s="2" t="str">
        <x:v>リクイン</x:v>
      </x:c>
    </x:row>
    <x:row r="906" ht="23" customHeight="1">
      <x:c r="A906" s="13" t="n">
        <x:v>898</x:v>
      </x:c>
      <x:c r="B906" s="2" t="str">
        <x:v>陆郁生</x:v>
      </x:c>
      <x:c r="C906" s="2" t="str">
        <x:v>陸鬱生</x:v>
      </x:c>
      <x:c r="D906" s="2" t="str"/>
      <x:c r="E906" s="13" t="n">
        <x:v>212</x:v>
      </x:c>
      <x:c r="F906" s="13" t="n">
        <x:v>224</x:v>
      </x:c>
      <x:c r="G906" s="13" t="n">
        <x:v>266</x:v>
      </x:c>
      <x:c r="H906" s="2" t="str">
        <x:f>IF(OR($E$4="",NOT(ISNUMBER($E$4)),$E$4&lt;1,$E$4&gt;400),"参考年待填",IF(OR(E906="",F906="",G906=""),"年代待核",IF($E$4&lt;E906,"未出生",IF($E$4&lt;F906,"未登场",IF($E$4&gt;G906,"已过卒年",IF($E$4=G906,"卒年边界待核","年表可登场"))))))</x:f>
        <x:v>年表可登场</x:v>
      </x:c>
      <x:c r="I906" s="12"/>
      <x:c r="J906" s="2" t="str">
        <x:v>SAN14游戏设定</x:v>
      </x:c>
      <x:c r="K906" s="2" t="str"/>
      <x:c r="L906" s="2" t="str">
        <x:v>陸鬱生</x:v>
      </x:c>
      <x:c r="M906" s="2" t="str">
        <x:v>san14-candidate-0898</x:v>
      </x:c>
      <x:c r="N906" s="2" t="str">
        <x:v>陸鬱生</x:v>
      </x:c>
      <x:c r="O906" s="2" t="str">
        <x:v>リクウツセイ</x:v>
      </x:c>
    </x:row>
    <x:row r="907" ht="23" customHeight="1">
      <x:c r="A907" s="13" t="n">
        <x:v>899</x:v>
      </x:c>
      <x:c r="B907" s="2" t="str">
        <x:v>陆凯</x:v>
      </x:c>
      <x:c r="C907" s="2" t="str">
        <x:v>陸凱</x:v>
      </x:c>
      <x:c r="D907" s="2" t="str"/>
      <x:c r="E907" s="13" t="n">
        <x:v>198</x:v>
      </x:c>
      <x:c r="F907" s="13" t="n">
        <x:v>217</x:v>
      </x:c>
      <x:c r="G907" s="13" t="n">
        <x:v>269</x:v>
      </x:c>
      <x:c r="H907" s="2" t="str">
        <x:f>IF(OR($E$4="",NOT(ISNUMBER($E$4)),$E$4&lt;1,$E$4&gt;400),"参考年待填",IF(OR(E907="",F907="",G907=""),"年代待核",IF($E$4&lt;E907,"未出生",IF($E$4&lt;F907,"未登场",IF($E$4&gt;G907,"已过卒年",IF($E$4=G907,"卒年边界待核","年表可登场"))))))</x:f>
        <x:v>年表可登场</x:v>
      </x:c>
      <x:c r="I907" s="12"/>
      <x:c r="J907" s="2" t="str">
        <x:v>SAN14游戏设定</x:v>
      </x:c>
      <x:c r="K907" s="2" t="str"/>
      <x:c r="L907" s="2" t="str">
        <x:v>陸凱</x:v>
      </x:c>
      <x:c r="M907" s="2" t="str">
        <x:v>san14-candidate-0899</x:v>
      </x:c>
      <x:c r="N907" s="2" t="str">
        <x:v>陸凱</x:v>
      </x:c>
      <x:c r="O907" s="2" t="str">
        <x:v>リクガイ</x:v>
      </x:c>
    </x:row>
    <x:row r="908" ht="23" customHeight="1">
      <x:c r="A908" s="13" t="n">
        <x:v>900</x:v>
      </x:c>
      <x:c r="B908" s="2" t="str">
        <x:v>陆抗</x:v>
      </x:c>
      <x:c r="C908" s="2" t="str">
        <x:v>陸抗</x:v>
      </x:c>
      <x:c r="D908" s="2" t="str"/>
      <x:c r="E908" s="13" t="n">
        <x:v>226</x:v>
      </x:c>
      <x:c r="F908" s="13" t="n">
        <x:v>240</x:v>
      </x:c>
      <x:c r="G908" s="13" t="n">
        <x:v>274</x:v>
      </x:c>
      <x:c r="H908" s="2" t="str">
        <x:f>IF(OR($E$4="",NOT(ISNUMBER($E$4)),$E$4&lt;1,$E$4&gt;400),"参考年待填",IF(OR(E908="",F908="",G908=""),"年代待核",IF($E$4&lt;E908,"未出生",IF($E$4&lt;F908,"未登场",IF($E$4&gt;G908,"已过卒年",IF($E$4=G908,"卒年边界待核","年表可登场"))))))</x:f>
        <x:v>未登场</x:v>
      </x:c>
      <x:c r="I908" s="12"/>
      <x:c r="J908" s="2" t="str">
        <x:v>SAN14游戏设定</x:v>
      </x:c>
      <x:c r="K908" s="2" t="str"/>
      <x:c r="L908" s="2" t="str">
        <x:v>陸抗</x:v>
      </x:c>
      <x:c r="M908" s="2" t="str">
        <x:v>san14-candidate-0900</x:v>
      </x:c>
      <x:c r="N908" s="2" t="str">
        <x:v>陸抗</x:v>
      </x:c>
      <x:c r="O908" s="2" t="str">
        <x:v>リクコウ</x:v>
      </x:c>
    </x:row>
    <x:row r="909" ht="23" customHeight="1">
      <x:c r="A909" s="13" t="n">
        <x:v>901</x:v>
      </x:c>
      <x:c r="B909" s="2" t="str">
        <x:v>陆绩</x:v>
      </x:c>
      <x:c r="C909" s="2" t="str">
        <x:v>陸績</x:v>
      </x:c>
      <x:c r="D909" s="2" t="str"/>
      <x:c r="E909" s="13" t="n">
        <x:v>187</x:v>
      </x:c>
      <x:c r="F909" s="13" t="n">
        <x:v>206</x:v>
      </x:c>
      <x:c r="G909" s="13" t="n">
        <x:v>219</x:v>
      </x:c>
      <x:c r="H909" s="2" t="str">
        <x:f>IF(OR($E$4="",NOT(ISNUMBER($E$4)),$E$4&lt;1,$E$4&gt;400),"参考年待填",IF(OR(E909="",F909="",G909=""),"年代待核",IF($E$4&lt;E909,"未出生",IF($E$4&lt;F909,"未登场",IF($E$4&gt;G909,"已过卒年",IF($E$4=G909,"卒年边界待核","年表可登场"))))))</x:f>
        <x:v>已过卒年</x:v>
      </x:c>
      <x:c r="I909" s="12"/>
      <x:c r="J909" s="2" t="str">
        <x:v>SAN14游戏设定</x:v>
      </x:c>
      <x:c r="K909" s="2" t="str"/>
      <x:c r="L909" s="2" t="str">
        <x:v>陸績</x:v>
      </x:c>
      <x:c r="M909" s="2" t="str">
        <x:v>san14-candidate-0901</x:v>
      </x:c>
      <x:c r="N909" s="2" t="str">
        <x:v>陸績</x:v>
      </x:c>
      <x:c r="O909" s="2" t="str">
        <x:v>リクセキ</x:v>
      </x:c>
    </x:row>
    <x:row r="910" ht="23" customHeight="1">
      <x:c r="A910" s="13" t="n">
        <x:v>902</x:v>
      </x:c>
      <x:c r="B910" s="2" t="str">
        <x:v>陆逊</x:v>
      </x:c>
      <x:c r="C910" s="2" t="str">
        <x:v>陸遜</x:v>
      </x:c>
      <x:c r="D910" s="2" t="str"/>
      <x:c r="E910" s="13" t="n">
        <x:v>183</x:v>
      </x:c>
      <x:c r="F910" s="13" t="n">
        <x:v>202</x:v>
      </x:c>
      <x:c r="G910" s="13" t="n">
        <x:v>245</x:v>
      </x:c>
      <x:c r="H910" s="2" t="str">
        <x:f>IF(OR($E$4="",NOT(ISNUMBER($E$4)),$E$4&lt;1,$E$4&gt;400),"参考年待填",IF(OR(E910="",F910="",G910=""),"年代待核",IF($E$4&lt;E910,"未出生",IF($E$4&lt;F910,"未登场",IF($E$4&gt;G910,"已过卒年",IF($E$4=G910,"卒年边界待核","年表可登场"))))))</x:f>
        <x:v>年表可登场</x:v>
      </x:c>
      <x:c r="I910" s="12"/>
      <x:c r="J910" s="2" t="str">
        <x:v>SAN14游戏设定</x:v>
      </x:c>
      <x:c r="K910" s="2" t="str"/>
      <x:c r="L910" s="2" t="str">
        <x:v>陸遜</x:v>
      </x:c>
      <x:c r="M910" s="2" t="str">
        <x:v>san14-candidate-0902</x:v>
      </x:c>
      <x:c r="N910" s="2" t="str">
        <x:v>陸遜</x:v>
      </x:c>
      <x:c r="O910" s="2" t="str">
        <x:v>リクソン</x:v>
      </x:c>
    </x:row>
    <x:row r="911" ht="23" customHeight="1">
      <x:c r="A911" s="13" t="n">
        <x:v>903</x:v>
      </x:c>
      <x:c r="B911" s="2" t="str">
        <x:v>陆瑁</x:v>
      </x:c>
      <x:c r="C911" s="2" t="str">
        <x:v>陸瑁</x:v>
      </x:c>
      <x:c r="D911" s="2" t="str"/>
      <x:c r="E911" s="13" t="n">
        <x:v>188</x:v>
      </x:c>
      <x:c r="F911" s="13" t="n">
        <x:v>207</x:v>
      </x:c>
      <x:c r="G911" s="13" t="n">
        <x:v>239</x:v>
      </x:c>
      <x:c r="H911" s="2" t="str">
        <x:f>IF(OR($E$4="",NOT(ISNUMBER($E$4)),$E$4&lt;1,$E$4&gt;400),"参考年待填",IF(OR(E911="",F911="",G911=""),"年代待核",IF($E$4&lt;E911,"未出生",IF($E$4&lt;F911,"未登场",IF($E$4&gt;G911,"已过卒年",IF($E$4=G911,"卒年边界待核","年表可登场"))))))</x:f>
        <x:v>年表可登场</x:v>
      </x:c>
      <x:c r="I911" s="12"/>
      <x:c r="J911" s="2" t="str">
        <x:v>SAN14游戏设定</x:v>
      </x:c>
      <x:c r="K911" s="2" t="str"/>
      <x:c r="L911" s="2" t="str">
        <x:v>陸瑁</x:v>
      </x:c>
      <x:c r="M911" s="2" t="str">
        <x:v>san14-candidate-0903</x:v>
      </x:c>
      <x:c r="N911" s="2" t="str">
        <x:v>陸瑁</x:v>
      </x:c>
      <x:c r="O911" s="2" t="str">
        <x:v>リクボウ</x:v>
      </x:c>
    </x:row>
    <x:row r="912" ht="23" customHeight="1">
      <x:c r="A912" s="13" t="n">
        <x:v>904</x:v>
      </x:c>
      <x:c r="B912" s="2" t="str">
        <x:v>李严</x:v>
      </x:c>
      <x:c r="C912" s="2" t="str">
        <x:v>李嚴</x:v>
      </x:c>
      <x:c r="D912" s="2" t="str"/>
      <x:c r="E912" s="13" t="n">
        <x:v>168</x:v>
      </x:c>
      <x:c r="F912" s="13" t="n">
        <x:v>187</x:v>
      </x:c>
      <x:c r="G912" s="13" t="n">
        <x:v>234</x:v>
      </x:c>
      <x:c r="H912" s="2" t="str">
        <x:f>IF(OR($E$4="",NOT(ISNUMBER($E$4)),$E$4&lt;1,$E$4&gt;400),"参考年待填",IF(OR(E912="",F912="",G912=""),"年代待核",IF($E$4&lt;E912,"未出生",IF($E$4&lt;F912,"未登场",IF($E$4&gt;G912,"已过卒年",IF($E$4=G912,"卒年边界待核","年表可登场"))))))</x:f>
        <x:v>年表可登场</x:v>
      </x:c>
      <x:c r="I912" s="12"/>
      <x:c r="J912" s="2" t="str">
        <x:v>SAN14游戏设定</x:v>
      </x:c>
      <x:c r="K912" s="2" t="str"/>
      <x:c r="L912" s="2" t="str">
        <x:v>李嚴</x:v>
      </x:c>
      <x:c r="M912" s="2" t="str">
        <x:v>san14-candidate-0904</x:v>
      </x:c>
      <x:c r="N912" s="2" t="str">
        <x:v>李厳</x:v>
      </x:c>
      <x:c r="O912" s="2" t="str">
        <x:v>リゲン</x:v>
      </x:c>
    </x:row>
    <x:row r="913" ht="23" customHeight="1">
      <x:c r="A913" s="13" t="n">
        <x:v>905</x:v>
      </x:c>
      <x:c r="B913" s="2" t="str">
        <x:v>李衡</x:v>
      </x:c>
      <x:c r="C913" s="2" t="str">
        <x:v>李衡</x:v>
      </x:c>
      <x:c r="D913" s="2" t="str"/>
      <x:c r="E913" s="13" t="n">
        <x:v>204</x:v>
      </x:c>
      <x:c r="F913" s="13" t="n">
        <x:v>223</x:v>
      </x:c>
      <x:c r="G913" s="13" t="n">
        <x:v>263</x:v>
      </x:c>
      <x:c r="H913" s="2" t="str">
        <x:f>IF(OR($E$4="",NOT(ISNUMBER($E$4)),$E$4&lt;1,$E$4&gt;400),"参考年待填",IF(OR(E913="",F913="",G913=""),"年代待核",IF($E$4&lt;E913,"未出生",IF($E$4&lt;F913,"未登场",IF($E$4&gt;G913,"已过卒年",IF($E$4=G913,"卒年边界待核","年表可登场"))))))</x:f>
        <x:v>年表可登场</x:v>
      </x:c>
      <x:c r="I913" s="12"/>
      <x:c r="J913" s="2" t="str">
        <x:v>SAN14游戏设定</x:v>
      </x:c>
      <x:c r="K913" s="2" t="str"/>
      <x:c r="L913" s="2" t="str">
        <x:v>李衡</x:v>
      </x:c>
      <x:c r="M913" s="2" t="str">
        <x:v>san14-candidate-0905</x:v>
      </x:c>
      <x:c r="N913" s="2" t="str">
        <x:v>李衡</x:v>
      </x:c>
      <x:c r="O913" s="2" t="str">
        <x:v>リコウ</x:v>
      </x:c>
    </x:row>
    <x:row r="914" ht="23" customHeight="1">
      <x:c r="A914" s="13" t="n">
        <x:v>906</x:v>
      </x:c>
      <x:c r="B914" s="2" t="str">
        <x:v>李氏</x:v>
      </x:c>
      <x:c r="C914" s="2" t="str">
        <x:v>李氏</x:v>
      </x:c>
      <x:c r="D914" s="2" t="str"/>
      <x:c r="E914" s="13" t="n">
        <x:v>223</x:v>
      </x:c>
      <x:c r="F914" s="13" t="n">
        <x:v>240</x:v>
      </x:c>
      <x:c r="G914" s="13" t="n">
        <x:v>264</x:v>
      </x:c>
      <x:c r="H914" s="2" t="str">
        <x:f>IF(OR($E$4="",NOT(ISNUMBER($E$4)),$E$4&lt;1,$E$4&gt;400),"参考年待填",IF(OR(E914="",F914="",G914=""),"年代待核",IF($E$4&lt;E914,"未出生",IF($E$4&lt;F914,"未登场",IF($E$4&gt;G914,"已过卒年",IF($E$4=G914,"卒年边界待核","年表可登场"))))))</x:f>
        <x:v>未登场</x:v>
      </x:c>
      <x:c r="I914" s="12"/>
      <x:c r="J914" s="2" t="str">
        <x:v>SAN14游戏设定</x:v>
      </x:c>
      <x:c r="K914" s="2" t="str"/>
      <x:c r="L914" s="2" t="str">
        <x:v>李氏</x:v>
      </x:c>
      <x:c r="M914" s="2" t="str">
        <x:v>san14-candidate-0906</x:v>
      </x:c>
      <x:c r="N914" s="2" t="str">
        <x:v>李氏</x:v>
      </x:c>
      <x:c r="O914" s="2" t="str">
        <x:v>リシ</x:v>
      </x:c>
    </x:row>
    <x:row r="915" ht="23" customHeight="1">
      <x:c r="A915" s="13" t="n">
        <x:v>907</x:v>
      </x:c>
      <x:c r="B915" s="2" t="str">
        <x:v>李儒</x:v>
      </x:c>
      <x:c r="C915" s="2" t="str">
        <x:v>李儒</x:v>
      </x:c>
      <x:c r="D915" s="2" t="str"/>
      <x:c r="E915" s="13" t="n">
        <x:v>150</x:v>
      </x:c>
      <x:c r="F915" s="13" t="n">
        <x:v>184</x:v>
      </x:c>
      <x:c r="G915" s="13" t="n">
        <x:v>192</x:v>
      </x:c>
      <x:c r="H915" s="2" t="str">
        <x:f>IF(OR($E$4="",NOT(ISNUMBER($E$4)),$E$4&lt;1,$E$4&gt;400),"参考年待填",IF(OR(E915="",F915="",G915=""),"年代待核",IF($E$4&lt;E915,"未出生",IF($E$4&lt;F915,"未登场",IF($E$4&gt;G915,"已过卒年",IF($E$4=G915,"卒年边界待核","年表可登场"))))))</x:f>
        <x:v>已过卒年</x:v>
      </x:c>
      <x:c r="I915" s="12"/>
      <x:c r="J915" s="2" t="str">
        <x:v>SAN14游戏设定</x:v>
      </x:c>
      <x:c r="K915" s="2" t="str"/>
      <x:c r="L915" s="2" t="str">
        <x:v>李儒</x:v>
      </x:c>
      <x:c r="M915" s="2" t="str">
        <x:v>san14-candidate-0907</x:v>
      </x:c>
      <x:c r="N915" s="2" t="str">
        <x:v>李儒</x:v>
      </x:c>
      <x:c r="O915" s="2" t="str">
        <x:v>リジュ</x:v>
      </x:c>
    </x:row>
    <x:row r="916" ht="23" customHeight="1">
      <x:c r="A916" s="13" t="n">
        <x:v>908</x:v>
      </x:c>
      <x:c r="B916" s="2" t="str">
        <x:v>李肃</x:v>
      </x:c>
      <x:c r="C916" s="2" t="str">
        <x:v>李肅</x:v>
      </x:c>
      <x:c r="D916" s="2" t="str"/>
      <x:c r="E916" s="13" t="n">
        <x:v>156</x:v>
      </x:c>
      <x:c r="F916" s="13" t="n">
        <x:v>184</x:v>
      </x:c>
      <x:c r="G916" s="13" t="n">
        <x:v>192</x:v>
      </x:c>
      <x:c r="H916" s="2" t="str">
        <x:f>IF(OR($E$4="",NOT(ISNUMBER($E$4)),$E$4&lt;1,$E$4&gt;400),"参考年待填",IF(OR(E916="",F916="",G916=""),"年代待核",IF($E$4&lt;E916,"未出生",IF($E$4&lt;F916,"未登场",IF($E$4&gt;G916,"已过卒年",IF($E$4=G916,"卒年边界待核","年表可登场"))))))</x:f>
        <x:v>已过卒年</x:v>
      </x:c>
      <x:c r="I916" s="12"/>
      <x:c r="J916" s="2" t="str">
        <x:v>SAN14游戏设定</x:v>
      </x:c>
      <x:c r="K916" s="2" t="str"/>
      <x:c r="L916" s="2" t="str">
        <x:v>李肅</x:v>
      </x:c>
      <x:c r="M916" s="2" t="str">
        <x:v>san14-candidate-0908</x:v>
      </x:c>
      <x:c r="N916" s="2" t="str">
        <x:v>李粛</x:v>
      </x:c>
      <x:c r="O916" s="2" t="str">
        <x:v>リシュク</x:v>
      </x:c>
    </x:row>
    <x:row r="917" ht="23" customHeight="1">
      <x:c r="A917" s="13" t="n">
        <x:v>909</x:v>
      </x:c>
      <x:c r="B917" s="2" t="str">
        <x:v>李胜</x:v>
      </x:c>
      <x:c r="C917" s="2" t="str">
        <x:v>李勝</x:v>
      </x:c>
      <x:c r="D917" s="2" t="str"/>
      <x:c r="E917" s="13" t="n">
        <x:v>201</x:v>
      </x:c>
      <x:c r="F917" s="13" t="n">
        <x:v>220</x:v>
      </x:c>
      <x:c r="G917" s="13" t="n">
        <x:v>249</x:v>
      </x:c>
      <x:c r="H917" s="2" t="str">
        <x:f>IF(OR($E$4="",NOT(ISNUMBER($E$4)),$E$4&lt;1,$E$4&gt;400),"参考年待填",IF(OR(E917="",F917="",G917=""),"年代待核",IF($E$4&lt;E917,"未出生",IF($E$4&lt;F917,"未登场",IF($E$4&gt;G917,"已过卒年",IF($E$4=G917,"卒年边界待核","年表可登场"))))))</x:f>
        <x:v>年表可登场</x:v>
      </x:c>
      <x:c r="I917" s="12"/>
      <x:c r="J917" s="2" t="str">
        <x:v>SAN14游戏设定</x:v>
      </x:c>
      <x:c r="K917" s="2" t="str"/>
      <x:c r="L917" s="2" t="str">
        <x:v>李勝</x:v>
      </x:c>
      <x:c r="M917" s="2" t="str">
        <x:v>san14-candidate-0909</x:v>
      </x:c>
      <x:c r="N917" s="2" t="str">
        <x:v>李勝</x:v>
      </x:c>
      <x:c r="O917" s="2" t="str">
        <x:v>リショウ</x:v>
      </x:c>
    </x:row>
    <x:row r="918" ht="23" customHeight="1">
      <x:c r="A918" s="13" t="n">
        <x:v>910</x:v>
      </x:c>
      <x:c r="B918" s="2" t="str">
        <x:v>李邵</x:v>
      </x:c>
      <x:c r="C918" s="2" t="str">
        <x:v>李邵</x:v>
      </x:c>
      <x:c r="D918" s="2" t="str"/>
      <x:c r="E918" s="13" t="n">
        <x:v>188</x:v>
      </x:c>
      <x:c r="F918" s="13" t="n">
        <x:v>207</x:v>
      </x:c>
      <x:c r="G918" s="13" t="n">
        <x:v>225</x:v>
      </x:c>
      <x:c r="H918" s="2" t="str">
        <x:f>IF(OR($E$4="",NOT(ISNUMBER($E$4)),$E$4&lt;1,$E$4&gt;400),"参考年待填",IF(OR(E918="",F918="",G918=""),"年代待核",IF($E$4&lt;E918,"未出生",IF($E$4&lt;F918,"未登场",IF($E$4&gt;G918,"已过卒年",IF($E$4=G918,"卒年边界待核","年表可登场"))))))</x:f>
        <x:v>已过卒年</x:v>
      </x:c>
      <x:c r="I918" s="12"/>
      <x:c r="J918" s="2" t="str">
        <x:v>SAN14游戏设定</x:v>
      </x:c>
      <x:c r="K918" s="2" t="str"/>
      <x:c r="L918" s="2" t="str">
        <x:v>李邵</x:v>
      </x:c>
      <x:c r="M918" s="2" t="str">
        <x:v>san14-candidate-0910</x:v>
      </x:c>
      <x:c r="N918" s="2" t="str">
        <x:v>李邵</x:v>
      </x:c>
      <x:c r="O918" s="2" t="str">
        <x:v>リショウ</x:v>
      </x:c>
    </x:row>
    <x:row r="919" ht="23" customHeight="1">
      <x:c r="A919" s="13" t="n">
        <x:v>911</x:v>
      </x:c>
      <x:c r="B919" s="2" t="str">
        <x:v>李通</x:v>
      </x:c>
      <x:c r="C919" s="2" t="str">
        <x:v>李通</x:v>
      </x:c>
      <x:c r="D919" s="2" t="str"/>
      <x:c r="E919" s="13" t="n">
        <x:v>168</x:v>
      </x:c>
      <x:c r="F919" s="13" t="n">
        <x:v>187</x:v>
      </x:c>
      <x:c r="G919" s="13" t="n">
        <x:v>211</x:v>
      </x:c>
      <x:c r="H919" s="2" t="str">
        <x:f>IF(OR($E$4="",NOT(ISNUMBER($E$4)),$E$4&lt;1,$E$4&gt;400),"参考年待填",IF(OR(E919="",F919="",G919=""),"年代待核",IF($E$4&lt;E919,"未出生",IF($E$4&lt;F919,"未登场",IF($E$4&gt;G919,"已过卒年",IF($E$4=G919,"卒年边界待核","年表可登场"))))))</x:f>
        <x:v>已过卒年</x:v>
      </x:c>
      <x:c r="I919" s="12"/>
      <x:c r="J919" s="2" t="str">
        <x:v>SAN14游戏设定</x:v>
      </x:c>
      <x:c r="K919" s="2" t="str"/>
      <x:c r="L919" s="2" t="str">
        <x:v>李通</x:v>
      </x:c>
      <x:c r="M919" s="2" t="str">
        <x:v>san14-candidate-0911</x:v>
      </x:c>
      <x:c r="N919" s="2" t="str">
        <x:v>李通</x:v>
      </x:c>
      <x:c r="O919" s="2" t="str">
        <x:v>リツウ</x:v>
      </x:c>
    </x:row>
    <x:row r="920" ht="23" customHeight="1">
      <x:c r="A920" s="13" t="n">
        <x:v>912</x:v>
      </x:c>
      <x:c r="B920" s="2" t="str">
        <x:v>李朝</x:v>
      </x:c>
      <x:c r="C920" s="2" t="str">
        <x:v>李朝</x:v>
      </x:c>
      <x:c r="D920" s="2" t="str"/>
      <x:c r="E920" s="13" t="n">
        <x:v>185</x:v>
      </x:c>
      <x:c r="F920" s="13" t="n">
        <x:v>204</x:v>
      </x:c>
      <x:c r="G920" s="13" t="n">
        <x:v>222</x:v>
      </x:c>
      <x:c r="H920" s="2" t="str">
        <x:f>IF(OR($E$4="",NOT(ISNUMBER($E$4)),$E$4&lt;1,$E$4&gt;400),"参考年待填",IF(OR(E920="",F920="",G920=""),"年代待核",IF($E$4&lt;E920,"未出生",IF($E$4&lt;F920,"未登场",IF($E$4&gt;G920,"已过卒年",IF($E$4=G920,"卒年边界待核","年表可登场"))))))</x:f>
        <x:v>已过卒年</x:v>
      </x:c>
      <x:c r="I920" s="12"/>
      <x:c r="J920" s="2" t="str">
        <x:v>SAN14游戏设定</x:v>
      </x:c>
      <x:c r="K920" s="2" t="str"/>
      <x:c r="L920" s="2" t="str">
        <x:v>李朝</x:v>
      </x:c>
      <x:c r="M920" s="2" t="str">
        <x:v>san14-candidate-0912</x:v>
      </x:c>
      <x:c r="N920" s="2" t="str">
        <x:v>李朝</x:v>
      </x:c>
      <x:c r="O920" s="2" t="str">
        <x:v>リチョウ</x:v>
      </x:c>
    </x:row>
    <x:row r="921" ht="23" customHeight="1">
      <x:c r="A921" s="13" t="n">
        <x:v>913</x:v>
      </x:c>
      <x:c r="B921" s="2" t="str">
        <x:v>李典</x:v>
      </x:c>
      <x:c r="C921" s="2" t="str">
        <x:v>李典</x:v>
      </x:c>
      <x:c r="D921" s="2" t="str"/>
      <x:c r="E921" s="13" t="n">
        <x:v>174</x:v>
      </x:c>
      <x:c r="F921" s="13" t="n">
        <x:v>189</x:v>
      </x:c>
      <x:c r="G921" s="13" t="n">
        <x:v>216</x:v>
      </x:c>
      <x:c r="H921" s="2" t="str">
        <x:f>IF(OR($E$4="",NOT(ISNUMBER($E$4)),$E$4&lt;1,$E$4&gt;400),"参考年待填",IF(OR(E921="",F921="",G921=""),"年代待核",IF($E$4&lt;E921,"未出生",IF($E$4&lt;F921,"未登场",IF($E$4&gt;G921,"已过卒年",IF($E$4=G921,"卒年边界待核","年表可登场"))))))</x:f>
        <x:v>已过卒年</x:v>
      </x:c>
      <x:c r="I921" s="12"/>
      <x:c r="J921" s="2" t="str">
        <x:v>SAN14游戏设定</x:v>
      </x:c>
      <x:c r="K921" s="2" t="str"/>
      <x:c r="L921" s="2" t="str">
        <x:v>李典</x:v>
      </x:c>
      <x:c r="M921" s="2" t="str">
        <x:v>san14-candidate-0913</x:v>
      </x:c>
      <x:c r="N921" s="2" t="str">
        <x:v>李典</x:v>
      </x:c>
      <x:c r="O921" s="2" t="str">
        <x:v>リテン</x:v>
      </x:c>
    </x:row>
    <x:row r="922" ht="23" customHeight="1">
      <x:c r="A922" s="13" t="n">
        <x:v>914</x:v>
      </x:c>
      <x:c r="B922" s="2" t="str">
        <x:v>李孚</x:v>
      </x:c>
      <x:c r="C922" s="2" t="str">
        <x:v>李孚</x:v>
      </x:c>
      <x:c r="D922" s="2" t="str"/>
      <x:c r="E922" s="13" t="n">
        <x:v>162</x:v>
      </x:c>
      <x:c r="F922" s="13" t="n">
        <x:v>184</x:v>
      </x:c>
      <x:c r="G922" s="13" t="n">
        <x:v>210</x:v>
      </x:c>
      <x:c r="H922" s="2" t="str">
        <x:f>IF(OR($E$4="",NOT(ISNUMBER($E$4)),$E$4&lt;1,$E$4&gt;400),"参考年待填",IF(OR(E922="",F922="",G922=""),"年代待核",IF($E$4&lt;E922,"未出生",IF($E$4&lt;F922,"未登场",IF($E$4&gt;G922,"已过卒年",IF($E$4=G922,"卒年边界待核","年表可登场"))))))</x:f>
        <x:v>已过卒年</x:v>
      </x:c>
      <x:c r="I922" s="12"/>
      <x:c r="J922" s="2" t="str">
        <x:v>SAN14游戏设定</x:v>
      </x:c>
      <x:c r="K922" s="2" t="str"/>
      <x:c r="L922" s="2" t="str">
        <x:v>李孚</x:v>
      </x:c>
      <x:c r="M922" s="2" t="str">
        <x:v>san14-candidate-0914</x:v>
      </x:c>
      <x:c r="N922" s="2" t="str">
        <x:v>李孚</x:v>
      </x:c>
      <x:c r="O922" s="2" t="str">
        <x:v>リフ</x:v>
      </x:c>
    </x:row>
    <x:row r="923" ht="23" customHeight="1">
      <x:c r="A923" s="13" t="n">
        <x:v>915</x:v>
      </x:c>
      <x:c r="B923" s="2" t="str">
        <x:v>李福</x:v>
      </x:c>
      <x:c r="C923" s="2" t="str">
        <x:v>李福</x:v>
      </x:c>
      <x:c r="D923" s="2" t="str"/>
      <x:c r="E923" s="13" t="n">
        <x:v>177</x:v>
      </x:c>
      <x:c r="F923" s="13" t="n">
        <x:v>194</x:v>
      </x:c>
      <x:c r="G923" s="13" t="n">
        <x:v>238</x:v>
      </x:c>
      <x:c r="H923" s="2" t="str">
        <x:f>IF(OR($E$4="",NOT(ISNUMBER($E$4)),$E$4&lt;1,$E$4&gt;400),"参考年待填",IF(OR(E923="",F923="",G923=""),"年代待核",IF($E$4&lt;E923,"未出生",IF($E$4&lt;F923,"未登场",IF($E$4&gt;G923,"已过卒年",IF($E$4=G923,"卒年边界待核","年表可登场"))))))</x:f>
        <x:v>年表可登场</x:v>
      </x:c>
      <x:c r="I923" s="12"/>
      <x:c r="J923" s="2" t="str">
        <x:v>SAN14游戏设定</x:v>
      </x:c>
      <x:c r="K923" s="2" t="str"/>
      <x:c r="L923" s="2" t="str">
        <x:v>李福</x:v>
      </x:c>
      <x:c r="M923" s="2" t="str">
        <x:v>san14-candidate-0915</x:v>
      </x:c>
      <x:c r="N923" s="2" t="str">
        <x:v>李福</x:v>
      </x:c>
      <x:c r="O923" s="2" t="str">
        <x:v>リフク</x:v>
      </x:c>
    </x:row>
    <x:row r="924" ht="23" customHeight="1">
      <x:c r="A924" s="13" t="n">
        <x:v>916</x:v>
      </x:c>
      <x:c r="B924" s="2" t="str">
        <x:v>李辅</x:v>
      </x:c>
      <x:c r="C924" s="2" t="str">
        <x:v>李輔</x:v>
      </x:c>
      <x:c r="D924" s="2" t="str"/>
      <x:c r="E924" s="13" t="n">
        <x:v>198</x:v>
      </x:c>
      <x:c r="F924" s="13" t="n">
        <x:v>219</x:v>
      </x:c>
      <x:c r="G924" s="13" t="n">
        <x:v>265</x:v>
      </x:c>
      <x:c r="H924" s="2" t="str">
        <x:f>IF(OR($E$4="",NOT(ISNUMBER($E$4)),$E$4&lt;1,$E$4&gt;400),"参考年待填",IF(OR(E924="",F924="",G924=""),"年代待核",IF($E$4&lt;E924,"未出生",IF($E$4&lt;F924,"未登场",IF($E$4&gt;G924,"已过卒年",IF($E$4=G924,"卒年边界待核","年表可登场"))))))</x:f>
        <x:v>年表可登场</x:v>
      </x:c>
      <x:c r="I924" s="12"/>
      <x:c r="J924" s="2" t="str">
        <x:v>SAN14游戏设定</x:v>
      </x:c>
      <x:c r="K924" s="2" t="str"/>
      <x:c r="L924" s="2" t="str">
        <x:v>李輔</x:v>
      </x:c>
      <x:c r="M924" s="2" t="str">
        <x:v>san14-candidate-0916</x:v>
      </x:c>
      <x:c r="N924" s="2" t="str">
        <x:v>李輔</x:v>
      </x:c>
      <x:c r="O924" s="2" t="str">
        <x:v>リホ</x:v>
      </x:c>
    </x:row>
    <x:row r="925" ht="23" customHeight="1">
      <x:c r="A925" s="13" t="n">
        <x:v>917</x:v>
      </x:c>
      <x:c r="B925" s="2" t="str">
        <x:v>李丰</x:v>
      </x:c>
      <x:c r="C925" s="2" t="str">
        <x:v>李豐</x:v>
      </x:c>
      <x:c r="D925" s="2" t="str">
        <x:v>蜀汉系，第三方设定202—260</x:v>
      </x:c>
      <x:c r="E925" s="13" t="n">
        <x:v>202</x:v>
      </x:c>
      <x:c r="F925" s="13" t="n">
        <x:v>216</x:v>
      </x:c>
      <x:c r="G925" s="13" t="n">
        <x:v>260</x:v>
      </x:c>
      <x:c r="H925" s="2" t="str">
        <x:f>IF(OR($E$4="",NOT(ISNUMBER($E$4)),$E$4&lt;1,$E$4&gt;400),"参考年待填",IF(OR(E925="",F925="",G925=""),"年代待核",IF($E$4&lt;E925,"未出生",IF($E$4&lt;F925,"未登场",IF($E$4&gt;G925,"已过卒年",IF($E$4=G925,"卒年边界待核","年表可登场"))))))</x:f>
        <x:v>年表可登场</x:v>
      </x:c>
      <x:c r="I925" s="12"/>
      <x:c r="J925" s="2" t="str">
        <x:v>SAN14游戏设定</x:v>
      </x:c>
      <x:c r="K925" s="2" t="str">
        <x:v>同名异人，保留</x:v>
      </x:c>
      <x:c r="L925" s="2" t="str">
        <x:v>李豐</x:v>
      </x:c>
      <x:c r="M925" s="2" t="str">
        <x:v>san14-candidate-0917</x:v>
      </x:c>
      <x:c r="N925" s="2" t="str">
        <x:v>李豊</x:v>
      </x:c>
      <x:c r="O925" s="2" t="str">
        <x:v>リホウ</x:v>
      </x:c>
    </x:row>
    <x:row r="926" ht="23" customHeight="1">
      <x:c r="A926" s="13" t="n">
        <x:v>918</x:v>
      </x:c>
      <x:c r="B926" s="2" t="str">
        <x:v>李丰</x:v>
      </x:c>
      <x:c r="C926" s="2" t="str">
        <x:v>李豐</x:v>
      </x:c>
      <x:c r="D926" s="2" t="str">
        <x:v>曹魏系，第三方设定204—254</x:v>
      </x:c>
      <x:c r="E926" s="13" t="n">
        <x:v>204</x:v>
      </x:c>
      <x:c r="F926" s="13" t="n">
        <x:v>223</x:v>
      </x:c>
      <x:c r="G926" s="13" t="n">
        <x:v>254</x:v>
      </x:c>
      <x:c r="H926" s="2" t="str">
        <x:f>IF(OR($E$4="",NOT(ISNUMBER($E$4)),$E$4&lt;1,$E$4&gt;400),"参考年待填",IF(OR(E926="",F926="",G926=""),"年代待核",IF($E$4&lt;E926,"未出生",IF($E$4&lt;F926,"未登场",IF($E$4&gt;G926,"已过卒年",IF($E$4=G926,"卒年边界待核","年表可登场"))))))</x:f>
        <x:v>年表可登场</x:v>
      </x:c>
      <x:c r="I926" s="12"/>
      <x:c r="J926" s="2" t="str">
        <x:v>SAN14游戏设定</x:v>
      </x:c>
      <x:c r="K926" s="2" t="str">
        <x:v>同名异人，保留</x:v>
      </x:c>
      <x:c r="L926" s="2" t="str">
        <x:v>李豐</x:v>
      </x:c>
      <x:c r="M926" s="2" t="str">
        <x:v>san14-candidate-0918</x:v>
      </x:c>
      <x:c r="N926" s="2" t="str">
        <x:v>李豊</x:v>
      </x:c>
      <x:c r="O926" s="2" t="str">
        <x:v>リホウ</x:v>
      </x:c>
    </x:row>
    <x:row r="927" ht="23" customHeight="1">
      <x:c r="A927" s="13" t="n">
        <x:v>919</x:v>
      </x:c>
      <x:c r="B927" s="2" t="str">
        <x:v>李丰</x:v>
      </x:c>
      <x:c r="C927" s="2" t="str">
        <x:v>李豐</x:v>
      </x:c>
      <x:c r="D927" s="2" t="str">
        <x:v>袁术系，第三方设定158—199</x:v>
      </x:c>
      <x:c r="E927" s="13" t="n">
        <x:v>158</x:v>
      </x:c>
      <x:c r="F927" s="13" t="n">
        <x:v>184</x:v>
      </x:c>
      <x:c r="G927" s="13" t="n">
        <x:v>199</x:v>
      </x:c>
      <x:c r="H927" s="2" t="str">
        <x:f>IF(OR($E$4="",NOT(ISNUMBER($E$4)),$E$4&lt;1,$E$4&gt;400),"参考年待填",IF(OR(E927="",F927="",G927=""),"年代待核",IF($E$4&lt;E927,"未出生",IF($E$4&lt;F927,"未登场",IF($E$4&gt;G927,"已过卒年",IF($E$4=G927,"卒年边界待核","年表可登场"))))))</x:f>
        <x:v>已过卒年</x:v>
      </x:c>
      <x:c r="I927" s="12"/>
      <x:c r="J927" s="2" t="str">
        <x:v>SAN14游戏设定</x:v>
      </x:c>
      <x:c r="K927" s="2" t="str">
        <x:v>同名异人，保留</x:v>
      </x:c>
      <x:c r="L927" s="2" t="str">
        <x:v>李豐</x:v>
      </x:c>
      <x:c r="M927" s="2" t="str">
        <x:v>san14-candidate-0919</x:v>
      </x:c>
      <x:c r="N927" s="2" t="str">
        <x:v>李豊</x:v>
      </x:c>
      <x:c r="O927" s="2" t="str">
        <x:v>リホウ</x:v>
      </x:c>
    </x:row>
    <x:row r="928" ht="23" customHeight="1">
      <x:c r="A928" s="13" t="n">
        <x:v>920</x:v>
      </x:c>
      <x:c r="B928" s="2" t="str">
        <x:v>李封</x:v>
      </x:c>
      <x:c r="C928" s="2" t="str">
        <x:v>李封</x:v>
      </x:c>
      <x:c r="D928" s="2" t="str"/>
      <x:c r="E928" s="13" t="n">
        <x:v>157</x:v>
      </x:c>
      <x:c r="F928" s="13" t="n">
        <x:v>191</x:v>
      </x:c>
      <x:c r="G928" s="13" t="n">
        <x:v>195</x:v>
      </x:c>
      <x:c r="H928" s="2" t="str">
        <x:f>IF(OR($E$4="",NOT(ISNUMBER($E$4)),$E$4&lt;1,$E$4&gt;400),"参考年待填",IF(OR(E928="",F928="",G928=""),"年代待核",IF($E$4&lt;E928,"未出生",IF($E$4&lt;F928,"未登场",IF($E$4&gt;G928,"已过卒年",IF($E$4=G928,"卒年边界待核","年表可登场"))))))</x:f>
        <x:v>已过卒年</x:v>
      </x:c>
      <x:c r="I928" s="12"/>
      <x:c r="J928" s="2" t="str">
        <x:v>SAN14游戏设定</x:v>
      </x:c>
      <x:c r="K928" s="2" t="str"/>
      <x:c r="L928" s="2" t="str">
        <x:v>李封</x:v>
      </x:c>
      <x:c r="M928" s="2" t="str">
        <x:v>san14-candidate-0920</x:v>
      </x:c>
      <x:c r="N928" s="2" t="str">
        <x:v>李封</x:v>
      </x:c>
      <x:c r="O928" s="2" t="str">
        <x:v>リホウ</x:v>
      </x:c>
    </x:row>
    <x:row r="929" ht="23" customHeight="1">
      <x:c r="A929" s="13" t="n">
        <x:v>921</x:v>
      </x:c>
      <x:c r="B929" s="2" t="str">
        <x:v>李密</x:v>
      </x:c>
      <x:c r="C929" s="2" t="str">
        <x:v>李密</x:v>
      </x:c>
      <x:c r="D929" s="2" t="str"/>
      <x:c r="E929" s="13" t="n">
        <x:v>224</x:v>
      </x:c>
      <x:c r="F929" s="13" t="n">
        <x:v>238</x:v>
      </x:c>
      <x:c r="G929" s="13" t="n">
        <x:v>287</x:v>
      </x:c>
      <x:c r="H929" s="2" t="str">
        <x:f>IF(OR($E$4="",NOT(ISNUMBER($E$4)),$E$4&lt;1,$E$4&gt;400),"参考年待填",IF(OR(E929="",F929="",G929=""),"年代待核",IF($E$4&lt;E929,"未出生",IF($E$4&lt;F929,"未登场",IF($E$4&gt;G929,"已过卒年",IF($E$4=G929,"卒年边界待核","年表可登场"))))))</x:f>
        <x:v>未登场</x:v>
      </x:c>
      <x:c r="I929" s="12"/>
      <x:c r="J929" s="2" t="str">
        <x:v>SAN14游戏设定</x:v>
      </x:c>
      <x:c r="K929" s="2" t="str"/>
      <x:c r="L929" s="2" t="str">
        <x:v>李密</x:v>
      </x:c>
      <x:c r="M929" s="2" t="str">
        <x:v>san14-candidate-0921</x:v>
      </x:c>
      <x:c r="N929" s="2" t="str">
        <x:v>李密</x:v>
      </x:c>
      <x:c r="O929" s="2" t="str">
        <x:v>リミツ</x:v>
      </x:c>
    </x:row>
    <x:row r="930" ht="23" customHeight="1">
      <x:c r="A930" s="13" t="n">
        <x:v>922</x:v>
      </x:c>
      <x:c r="B930" s="2" t="str">
        <x:v>李蒙</x:v>
      </x:c>
      <x:c r="C930" s="2" t="str">
        <x:v>李蒙</x:v>
      </x:c>
      <x:c r="D930" s="2" t="str"/>
      <x:c r="E930" s="13" t="n">
        <x:v>151</x:v>
      </x:c>
      <x:c r="F930" s="13" t="n">
        <x:v>184</x:v>
      </x:c>
      <x:c r="G930" s="13" t="n">
        <x:v>192</x:v>
      </x:c>
      <x:c r="H930" s="2" t="str">
        <x:f>IF(OR($E$4="",NOT(ISNUMBER($E$4)),$E$4&lt;1,$E$4&gt;400),"参考年待填",IF(OR(E930="",F930="",G930=""),"年代待核",IF($E$4&lt;E930,"未出生",IF($E$4&lt;F930,"未登场",IF($E$4&gt;G930,"已过卒年",IF($E$4=G930,"卒年边界待核","年表可登场"))))))</x:f>
        <x:v>已过卒年</x:v>
      </x:c>
      <x:c r="I930" s="12"/>
      <x:c r="J930" s="2" t="str">
        <x:v>SAN14游戏设定</x:v>
      </x:c>
      <x:c r="K930" s="2" t="str"/>
      <x:c r="L930" s="2" t="str">
        <x:v>李蒙</x:v>
      </x:c>
      <x:c r="M930" s="2" t="str">
        <x:v>san14-candidate-0922</x:v>
      </x:c>
      <x:c r="N930" s="2" t="str">
        <x:v>李蒙</x:v>
      </x:c>
      <x:c r="O930" s="2" t="str">
        <x:v>リモウ</x:v>
      </x:c>
    </x:row>
    <x:row r="931" ht="23" customHeight="1">
      <x:c r="A931" s="13" t="n">
        <x:v>923</x:v>
      </x:c>
      <x:c r="B931" s="2" t="str">
        <x:v>柳隐</x:v>
      </x:c>
      <x:c r="C931" s="2" t="str">
        <x:v>柳隱</x:v>
      </x:c>
      <x:c r="D931" s="2" t="str"/>
      <x:c r="E931" s="13" t="n">
        <x:v>189</x:v>
      </x:c>
      <x:c r="F931" s="13" t="n">
        <x:v>208</x:v>
      </x:c>
      <x:c r="G931" s="13" t="n">
        <x:v>268</x:v>
      </x:c>
      <x:c r="H931" s="2" t="str">
        <x:f>IF(OR($E$4="",NOT(ISNUMBER($E$4)),$E$4&lt;1,$E$4&gt;400),"参考年待填",IF(OR(E931="",F931="",G931=""),"年代待核",IF($E$4&lt;E931,"未出生",IF($E$4&lt;F931,"未登场",IF($E$4&gt;G931,"已过卒年",IF($E$4=G931,"卒年边界待核","年表可登场"))))))</x:f>
        <x:v>年表可登场</x:v>
      </x:c>
      <x:c r="I931" s="12"/>
      <x:c r="J931" s="2" t="str">
        <x:v>SAN14游戏设定</x:v>
      </x:c>
      <x:c r="K931" s="2" t="str"/>
      <x:c r="L931" s="2" t="str">
        <x:v>柳隱</x:v>
      </x:c>
      <x:c r="M931" s="2" t="str">
        <x:v>san14-candidate-0923</x:v>
      </x:c>
      <x:c r="N931" s="2" t="str">
        <x:v>柳隠</x:v>
      </x:c>
      <x:c r="O931" s="2" t="str">
        <x:v>リュウイン</x:v>
      </x:c>
    </x:row>
    <x:row r="932" ht="23" customHeight="1">
      <x:c r="A932" s="13" t="n">
        <x:v>924</x:v>
      </x:c>
      <x:c r="B932" s="2" t="str">
        <x:v>刘永</x:v>
      </x:c>
      <x:c r="C932" s="2" t="str">
        <x:v>劉永</x:v>
      </x:c>
      <x:c r="D932" s="2" t="str"/>
      <x:c r="E932" s="13" t="n">
        <x:v>210</x:v>
      </x:c>
      <x:c r="F932" s="13" t="n">
        <x:v>224</x:v>
      </x:c>
      <x:c r="G932" s="13" t="n">
        <x:v>269</x:v>
      </x:c>
      <x:c r="H932" s="2" t="str">
        <x:f>IF(OR($E$4="",NOT(ISNUMBER($E$4)),$E$4&lt;1,$E$4&gt;400),"参考年待填",IF(OR(E932="",F932="",G932=""),"年代待核",IF($E$4&lt;E932,"未出生",IF($E$4&lt;F932,"未登场",IF($E$4&gt;G932,"已过卒年",IF($E$4=G932,"卒年边界待核","年表可登场"))))))</x:f>
        <x:v>年表可登场</x:v>
      </x:c>
      <x:c r="I932" s="12"/>
      <x:c r="J932" s="2" t="str">
        <x:v>SAN14游戏设定</x:v>
      </x:c>
      <x:c r="K932" s="2" t="str"/>
      <x:c r="L932" s="2" t="str">
        <x:v>劉永</x:v>
      </x:c>
      <x:c r="M932" s="2" t="str">
        <x:v>san14-candidate-0924</x:v>
      </x:c>
      <x:c r="N932" s="2" t="str">
        <x:v>劉永</x:v>
      </x:c>
      <x:c r="O932" s="2" t="str">
        <x:v>リュウエイ</x:v>
      </x:c>
    </x:row>
    <x:row r="933" ht="23" customHeight="1">
      <x:c r="A933" s="13" t="n">
        <x:v>925</x:v>
      </x:c>
      <x:c r="B933" s="2" t="str">
        <x:v>刘焉</x:v>
      </x:c>
      <x:c r="C933" s="2" t="str">
        <x:v>劉焉</x:v>
      </x:c>
      <x:c r="D933" s="2" t="str"/>
      <x:c r="E933" s="13" t="n">
        <x:v>132</x:v>
      </x:c>
      <x:c r="F933" s="13" t="n">
        <x:v>184</x:v>
      </x:c>
      <x:c r="G933" s="13" t="n">
        <x:v>194</x:v>
      </x:c>
      <x:c r="H933" s="2" t="str">
        <x:f>IF(OR($E$4="",NOT(ISNUMBER($E$4)),$E$4&lt;1,$E$4&gt;400),"参考年待填",IF(OR(E933="",F933="",G933=""),"年代待核",IF($E$4&lt;E933,"未出生",IF($E$4&lt;F933,"未登场",IF($E$4&gt;G933,"已过卒年",IF($E$4=G933,"卒年边界待核","年表可登场"))))))</x:f>
        <x:v>已过卒年</x:v>
      </x:c>
      <x:c r="I933" s="12"/>
      <x:c r="J933" s="2" t="str">
        <x:v>SAN14游戏设定</x:v>
      </x:c>
      <x:c r="K933" s="2" t="str"/>
      <x:c r="L933" s="2" t="str">
        <x:v>劉焉</x:v>
      </x:c>
      <x:c r="M933" s="2" t="str">
        <x:v>san14-candidate-0925</x:v>
      </x:c>
      <x:c r="N933" s="2" t="str">
        <x:v>劉焉</x:v>
      </x:c>
      <x:c r="O933" s="2" t="str">
        <x:v>リュウエン</x:v>
      </x:c>
    </x:row>
    <x:row r="934" ht="23" customHeight="1">
      <x:c r="A934" s="13" t="n">
        <x:v>926</x:v>
      </x:c>
      <x:c r="B934" s="2" t="str">
        <x:v>刘延</x:v>
      </x:c>
      <x:c r="C934" s="2" t="str">
        <x:v>劉延</x:v>
      </x:c>
      <x:c r="D934" s="2" t="str"/>
      <x:c r="E934" s="13" t="n">
        <x:v>166</x:v>
      </x:c>
      <x:c r="F934" s="13" t="n">
        <x:v>190</x:v>
      </x:c>
      <x:c r="G934" s="13" t="n">
        <x:v>221</x:v>
      </x:c>
      <x:c r="H934" s="2" t="str">
        <x:f>IF(OR($E$4="",NOT(ISNUMBER($E$4)),$E$4&lt;1,$E$4&gt;400),"参考年待填",IF(OR(E934="",F934="",G934=""),"年代待核",IF($E$4&lt;E934,"未出生",IF($E$4&lt;F934,"未登场",IF($E$4&gt;G934,"已过卒年",IF($E$4=G934,"卒年边界待核","年表可登场"))))))</x:f>
        <x:v>已过卒年</x:v>
      </x:c>
      <x:c r="I934" s="12"/>
      <x:c r="J934" s="2" t="str">
        <x:v>SAN14游戏设定</x:v>
      </x:c>
      <x:c r="K934" s="2" t="str"/>
      <x:c r="L934" s="2" t="str">
        <x:v>劉延</x:v>
      </x:c>
      <x:c r="M934" s="2" t="str">
        <x:v>san14-candidate-0926</x:v>
      </x:c>
      <x:c r="N934" s="2" t="str">
        <x:v>劉延</x:v>
      </x:c>
      <x:c r="O934" s="2" t="str">
        <x:v>リュウエン</x:v>
      </x:c>
    </x:row>
    <x:row r="935" ht="23" customHeight="1">
      <x:c r="A935" s="13" t="n">
        <x:v>927</x:v>
      </x:c>
      <x:c r="B935" s="2" t="str">
        <x:v>刘和</x:v>
      </x:c>
      <x:c r="C935" s="2" t="str">
        <x:v>劉和</x:v>
      </x:c>
      <x:c r="D935" s="2" t="str"/>
      <x:c r="E935" s="13" t="n">
        <x:v>165</x:v>
      </x:c>
      <x:c r="F935" s="13" t="n">
        <x:v>184</x:v>
      </x:c>
      <x:c r="G935" s="13" t="n">
        <x:v>193</x:v>
      </x:c>
      <x:c r="H935" s="2" t="str">
        <x:f>IF(OR($E$4="",NOT(ISNUMBER($E$4)),$E$4&lt;1,$E$4&gt;400),"参考年待填",IF(OR(E935="",F935="",G935=""),"年代待核",IF($E$4&lt;E935,"未出生",IF($E$4&lt;F935,"未登场",IF($E$4&gt;G935,"已过卒年",IF($E$4=G935,"卒年边界待核","年表可登场"))))))</x:f>
        <x:v>已过卒年</x:v>
      </x:c>
      <x:c r="I935" s="12"/>
      <x:c r="J935" s="2" t="str">
        <x:v>SAN14游戏设定</x:v>
      </x:c>
      <x:c r="K935" s="2" t="str"/>
      <x:c r="L935" s="2" t="str">
        <x:v>劉和</x:v>
      </x:c>
      <x:c r="M935" s="2" t="str">
        <x:v>san14-candidate-0927</x:v>
      </x:c>
      <x:c r="N935" s="2" t="str">
        <x:v>劉和</x:v>
      </x:c>
      <x:c r="O935" s="2" t="str">
        <x:v>リュウカ</x:v>
      </x:c>
    </x:row>
    <x:row r="936" ht="23" customHeight="1">
      <x:c r="A936" s="13" t="n">
        <x:v>928</x:v>
      </x:c>
      <x:c r="B936" s="2" t="str">
        <x:v>刘璝</x:v>
      </x:c>
      <x:c r="C936" s="2" t="str">
        <x:v>劉璝</x:v>
      </x:c>
      <x:c r="D936" s="2" t="str"/>
      <x:c r="E936" s="13" t="n">
        <x:v>165</x:v>
      </x:c>
      <x:c r="F936" s="13" t="n">
        <x:v>189</x:v>
      </x:c>
      <x:c r="G936" s="13" t="n">
        <x:v>214</x:v>
      </x:c>
      <x:c r="H936" s="2" t="str">
        <x:f>IF(OR($E$4="",NOT(ISNUMBER($E$4)),$E$4&lt;1,$E$4&gt;400),"参考年待填",IF(OR(E936="",F936="",G936=""),"年代待核",IF($E$4&lt;E936,"未出生",IF($E$4&lt;F936,"未登场",IF($E$4&gt;G936,"已过卒年",IF($E$4=G936,"卒年边界待核","年表可登场"))))))</x:f>
        <x:v>已过卒年</x:v>
      </x:c>
      <x:c r="I936" s="12"/>
      <x:c r="J936" s="2" t="str">
        <x:v>SAN14游戏设定</x:v>
      </x:c>
      <x:c r="K936" s="2" t="str"/>
      <x:c r="L936" s="2" t="str">
        <x:v>劉璝</x:v>
      </x:c>
      <x:c r="M936" s="2" t="str">
        <x:v>san14-candidate-0928</x:v>
      </x:c>
      <x:c r="N936" s="2" t="str">
        <x:v>劉カイ</x:v>
      </x:c>
      <x:c r="O936" s="2" t="str">
        <x:v>リュウカイ</x:v>
      </x:c>
    </x:row>
    <x:row r="937" ht="23" customHeight="1">
      <x:c r="A937" s="13" t="n">
        <x:v>929</x:v>
      </x:c>
      <x:c r="B937" s="2" t="str">
        <x:v>刘琦</x:v>
      </x:c>
      <x:c r="C937" s="2" t="str">
        <x:v>劉琦</x:v>
      </x:c>
      <x:c r="D937" s="2" t="str"/>
      <x:c r="E937" s="13" t="n">
        <x:v>174</x:v>
      </x:c>
      <x:c r="F937" s="13" t="n">
        <x:v>188</x:v>
      </x:c>
      <x:c r="G937" s="13" t="n">
        <x:v>209</x:v>
      </x:c>
      <x:c r="H937" s="2" t="str">
        <x:f>IF(OR($E$4="",NOT(ISNUMBER($E$4)),$E$4&lt;1,$E$4&gt;400),"参考年待填",IF(OR(E937="",F937="",G937=""),"年代待核",IF($E$4&lt;E937,"未出生",IF($E$4&lt;F937,"未登场",IF($E$4&gt;G937,"已过卒年",IF($E$4=G937,"卒年边界待核","年表可登场"))))))</x:f>
        <x:v>已过卒年</x:v>
      </x:c>
      <x:c r="I937" s="12"/>
      <x:c r="J937" s="2" t="str">
        <x:v>SAN14游戏设定</x:v>
      </x:c>
      <x:c r="K937" s="2" t="str"/>
      <x:c r="L937" s="2" t="str">
        <x:v>劉琦</x:v>
      </x:c>
      <x:c r="M937" s="2" t="str">
        <x:v>san14-candidate-0929</x:v>
      </x:c>
      <x:c r="N937" s="2" t="str">
        <x:v>劉琦</x:v>
      </x:c>
      <x:c r="O937" s="2" t="str">
        <x:v>リュウキ</x:v>
      </x:c>
    </x:row>
    <x:row r="938" ht="23" customHeight="1">
      <x:c r="A938" s="13" t="n">
        <x:v>930</x:v>
      </x:c>
      <x:c r="B938" s="2" t="str">
        <x:v>刘基</x:v>
      </x:c>
      <x:c r="C938" s="2" t="str">
        <x:v>劉基</x:v>
      </x:c>
      <x:c r="D938" s="2" t="str"/>
      <x:c r="E938" s="13" t="n">
        <x:v>184</x:v>
      </x:c>
      <x:c r="F938" s="13" t="n">
        <x:v>197</x:v>
      </x:c>
      <x:c r="G938" s="13" t="n">
        <x:v>232</x:v>
      </x:c>
      <x:c r="H938" s="2" t="str">
        <x:f>IF(OR($E$4="",NOT(ISNUMBER($E$4)),$E$4&lt;1,$E$4&gt;400),"参考年待填",IF(OR(E938="",F938="",G938=""),"年代待核",IF($E$4&lt;E938,"未出生",IF($E$4&lt;F938,"未登场",IF($E$4&gt;G938,"已过卒年",IF($E$4=G938,"卒年边界待核","年表可登场"))))))</x:f>
        <x:v>年表可登场</x:v>
      </x:c>
      <x:c r="I938" s="12"/>
      <x:c r="J938" s="2" t="str">
        <x:v>SAN14游戏设定</x:v>
      </x:c>
      <x:c r="K938" s="2" t="str"/>
      <x:c r="L938" s="2" t="str">
        <x:v>劉基</x:v>
      </x:c>
      <x:c r="M938" s="2" t="str">
        <x:v>san14-candidate-0930</x:v>
      </x:c>
      <x:c r="N938" s="2" t="str">
        <x:v>劉基</x:v>
      </x:c>
      <x:c r="O938" s="2" t="str">
        <x:v>リュウキ</x:v>
      </x:c>
    </x:row>
    <x:row r="939" ht="23" customHeight="1">
      <x:c r="A939" s="13" t="n">
        <x:v>931</x:v>
      </x:c>
      <x:c r="B939" s="2" t="str">
        <x:v>柳毅</x:v>
      </x:c>
      <x:c r="C939" s="2" t="str">
        <x:v>柳毅</x:v>
      </x:c>
      <x:c r="D939" s="2" t="str"/>
      <x:c r="E939" s="13" t="n">
        <x:v>160</x:v>
      </x:c>
      <x:c r="F939" s="13" t="n">
        <x:v>184</x:v>
      </x:c>
      <x:c r="G939" s="13" t="n">
        <x:v>205</x:v>
      </x:c>
      <x:c r="H939" s="2" t="str">
        <x:f>IF(OR($E$4="",NOT(ISNUMBER($E$4)),$E$4&lt;1,$E$4&gt;400),"参考年待填",IF(OR(E939="",F939="",G939=""),"年代待核",IF($E$4&lt;E939,"未出生",IF($E$4&lt;F939,"未登场",IF($E$4&gt;G939,"已过卒年",IF($E$4=G939,"卒年边界待核","年表可登场"))))))</x:f>
        <x:v>已过卒年</x:v>
      </x:c>
      <x:c r="I939" s="12"/>
      <x:c r="J939" s="2" t="str">
        <x:v>SAN14游戏设定</x:v>
      </x:c>
      <x:c r="K939" s="2" t="str"/>
      <x:c r="L939" s="2" t="str">
        <x:v>柳毅</x:v>
      </x:c>
      <x:c r="M939" s="2" t="str">
        <x:v>san14-candidate-0931</x:v>
      </x:c>
      <x:c r="N939" s="2" t="str">
        <x:v>柳毅</x:v>
      </x:c>
      <x:c r="O939" s="2" t="str">
        <x:v>リュウキ</x:v>
      </x:c>
    </x:row>
    <x:row r="940" ht="23" customHeight="1">
      <x:c r="A940" s="13" t="n">
        <x:v>932</x:v>
      </x:c>
      <x:c r="B940" s="2" t="str">
        <x:v>刘虞</x:v>
      </x:c>
      <x:c r="C940" s="2" t="str">
        <x:v>劉虞</x:v>
      </x:c>
      <x:c r="D940" s="2" t="str"/>
      <x:c r="E940" s="13" t="n">
        <x:v>145</x:v>
      </x:c>
      <x:c r="F940" s="13" t="n">
        <x:v>184</x:v>
      </x:c>
      <x:c r="G940" s="13" t="n">
        <x:v>193</x:v>
      </x:c>
      <x:c r="H940" s="2" t="str">
        <x:f>IF(OR($E$4="",NOT(ISNUMBER($E$4)),$E$4&lt;1,$E$4&gt;400),"参考年待填",IF(OR(E940="",F940="",G940=""),"年代待核",IF($E$4&lt;E940,"未出生",IF($E$4&lt;F940,"未登场",IF($E$4&gt;G940,"已过卒年",IF($E$4=G940,"卒年边界待核","年表可登场"))))))</x:f>
        <x:v>已过卒年</x:v>
      </x:c>
      <x:c r="I940" s="12"/>
      <x:c r="J940" s="2" t="str">
        <x:v>SAN14游戏设定</x:v>
      </x:c>
      <x:c r="K940" s="2" t="str"/>
      <x:c r="L940" s="2" t="str">
        <x:v>劉虞</x:v>
      </x:c>
      <x:c r="M940" s="2" t="str">
        <x:v>san14-candidate-0932</x:v>
      </x:c>
      <x:c r="N940" s="2" t="str">
        <x:v>劉虞</x:v>
      </x:c>
      <x:c r="O940" s="2" t="str">
        <x:v>リュウグ</x:v>
      </x:c>
    </x:row>
    <x:row r="941" ht="23" customHeight="1">
      <x:c r="A941" s="13" t="n">
        <x:v>933</x:v>
      </x:c>
      <x:c r="B941" s="2" t="str">
        <x:v>刘勋</x:v>
      </x:c>
      <x:c r="C941" s="2" t="str">
        <x:v>劉勳</x:v>
      </x:c>
      <x:c r="D941" s="2" t="str"/>
      <x:c r="E941" s="13" t="n">
        <x:v>163</x:v>
      </x:c>
      <x:c r="F941" s="13" t="n">
        <x:v>184</x:v>
      </x:c>
      <x:c r="G941" s="13" t="n">
        <x:v>216</x:v>
      </x:c>
      <x:c r="H941" s="2" t="str">
        <x:f>IF(OR($E$4="",NOT(ISNUMBER($E$4)),$E$4&lt;1,$E$4&gt;400),"参考年待填",IF(OR(E941="",F941="",G941=""),"年代待核",IF($E$4&lt;E941,"未出生",IF($E$4&lt;F941,"未登场",IF($E$4&gt;G941,"已过卒年",IF($E$4=G941,"卒年边界待核","年表可登场"))))))</x:f>
        <x:v>已过卒年</x:v>
      </x:c>
      <x:c r="I941" s="12"/>
      <x:c r="J941" s="2" t="str">
        <x:v>SAN14游戏设定</x:v>
      </x:c>
      <x:c r="K941" s="2" t="str"/>
      <x:c r="L941" s="2" t="str">
        <x:v>劉勳</x:v>
      </x:c>
      <x:c r="M941" s="2" t="str">
        <x:v>san14-candidate-0933</x:v>
      </x:c>
      <x:c r="N941" s="2" t="str">
        <x:v>劉勳</x:v>
      </x:c>
      <x:c r="O941" s="2" t="str">
        <x:v>リュウクン</x:v>
      </x:c>
    </x:row>
    <x:row r="942" ht="23" customHeight="1">
      <x:c r="A942" s="13" t="n">
        <x:v>934</x:v>
      </x:c>
      <x:c r="B942" s="2" t="str">
        <x:v>刘贤</x:v>
      </x:c>
      <x:c r="C942" s="2" t="str">
        <x:v>劉賢</x:v>
      </x:c>
      <x:c r="D942" s="2" t="str"/>
      <x:c r="E942" s="13" t="n">
        <x:v>188</x:v>
      </x:c>
      <x:c r="F942" s="13" t="n">
        <x:v>202</x:v>
      </x:c>
      <x:c r="G942" s="13" t="n">
        <x:v>252</x:v>
      </x:c>
      <x:c r="H942" s="2" t="str">
        <x:f>IF(OR($E$4="",NOT(ISNUMBER($E$4)),$E$4&lt;1,$E$4&gt;400),"参考年待填",IF(OR(E942="",F942="",G942=""),"年代待核",IF($E$4&lt;E942,"未出生",IF($E$4&lt;F942,"未登场",IF($E$4&gt;G942,"已过卒年",IF($E$4=G942,"卒年边界待核","年表可登场"))))))</x:f>
        <x:v>年表可登场</x:v>
      </x:c>
      <x:c r="I942" s="12"/>
      <x:c r="J942" s="2" t="str">
        <x:v>SAN14游戏设定</x:v>
      </x:c>
      <x:c r="K942" s="2" t="str"/>
      <x:c r="L942" s="2" t="str">
        <x:v>劉賢</x:v>
      </x:c>
      <x:c r="M942" s="2" t="str">
        <x:v>san14-candidate-0934</x:v>
      </x:c>
      <x:c r="N942" s="2" t="str">
        <x:v>劉賢</x:v>
      </x:c>
      <x:c r="O942" s="2" t="str">
        <x:v>リュウケン</x:v>
      </x:c>
    </x:row>
    <x:row r="943" ht="23" customHeight="1">
      <x:c r="A943" s="13" t="n">
        <x:v>935</x:v>
      </x:c>
      <x:c r="B943" s="2" t="str">
        <x:v>留赞</x:v>
      </x:c>
      <x:c r="C943" s="2" t="str">
        <x:v>留贊</x:v>
      </x:c>
      <x:c r="D943" s="2" t="str"/>
      <x:c r="E943" s="13" t="n">
        <x:v>183</x:v>
      </x:c>
      <x:c r="F943" s="13" t="n">
        <x:v>202</x:v>
      </x:c>
      <x:c r="G943" s="13" t="n">
        <x:v>255</x:v>
      </x:c>
      <x:c r="H943" s="2" t="str">
        <x:f>IF(OR($E$4="",NOT(ISNUMBER($E$4)),$E$4&lt;1,$E$4&gt;400),"参考年待填",IF(OR(E943="",F943="",G943=""),"年代待核",IF($E$4&lt;E943,"未出生",IF($E$4&lt;F943,"未登场",IF($E$4&gt;G943,"已过卒年",IF($E$4=G943,"卒年边界待核","年表可登场"))))))</x:f>
        <x:v>年表可登场</x:v>
      </x:c>
      <x:c r="I943" s="12"/>
      <x:c r="J943" s="2" t="str">
        <x:v>SAN14游戏设定</x:v>
      </x:c>
      <x:c r="K943" s="2" t="str"/>
      <x:c r="L943" s="2" t="str">
        <x:v>留贊</x:v>
      </x:c>
      <x:c r="M943" s="2" t="str">
        <x:v>san14-candidate-0935</x:v>
      </x:c>
      <x:c r="N943" s="2" t="str">
        <x:v>留賛</x:v>
      </x:c>
      <x:c r="O943" s="2" t="str">
        <x:v>リュウサン</x:v>
      </x:c>
    </x:row>
    <x:row r="944" ht="23" customHeight="1">
      <x:c r="A944" s="13" t="n">
        <x:v>936</x:v>
      </x:c>
      <x:c r="B944" s="2" t="str">
        <x:v>刘氏</x:v>
      </x:c>
      <x:c r="C944" s="2" t="str">
        <x:v>劉氏</x:v>
      </x:c>
      <x:c r="D944" s="2" t="str"/>
      <x:c r="E944" s="13" t="n">
        <x:v>164</x:v>
      </x:c>
      <x:c r="F944" s="13" t="n">
        <x:v>184</x:v>
      </x:c>
      <x:c r="G944" s="13" t="n">
        <x:v>205</x:v>
      </x:c>
      <x:c r="H944" s="2" t="str">
        <x:f>IF(OR($E$4="",NOT(ISNUMBER($E$4)),$E$4&lt;1,$E$4&gt;400),"参考年待填",IF(OR(E944="",F944="",G944=""),"年代待核",IF($E$4&lt;E944,"未出生",IF($E$4&lt;F944,"未登场",IF($E$4&gt;G944,"已过卒年",IF($E$4=G944,"卒年边界待核","年表可登场"))))))</x:f>
        <x:v>已过卒年</x:v>
      </x:c>
      <x:c r="I944" s="12"/>
      <x:c r="J944" s="2" t="str">
        <x:v>SAN14游戏设定</x:v>
      </x:c>
      <x:c r="K944" s="2" t="str"/>
      <x:c r="L944" s="2" t="str">
        <x:v>劉氏</x:v>
      </x:c>
      <x:c r="M944" s="2" t="str">
        <x:v>san14-candidate-0936</x:v>
      </x:c>
      <x:c r="N944" s="2" t="str">
        <x:v>劉氏</x:v>
      </x:c>
      <x:c r="O944" s="2" t="str">
        <x:v>リュウシ</x:v>
      </x:c>
    </x:row>
    <x:row r="945" ht="23" customHeight="1">
      <x:c r="A945" s="13" t="n">
        <x:v>937</x:v>
      </x:c>
      <x:c r="B945" s="2" t="str">
        <x:v>刘循</x:v>
      </x:c>
      <x:c r="C945" s="2" t="str">
        <x:v>劉循</x:v>
      </x:c>
      <x:c r="D945" s="2" t="str"/>
      <x:c r="E945" s="13" t="n">
        <x:v>184</x:v>
      </x:c>
      <x:c r="F945" s="13" t="n">
        <x:v>198</x:v>
      </x:c>
      <x:c r="G945" s="13" t="n">
        <x:v>239</x:v>
      </x:c>
      <x:c r="H945" s="2" t="str">
        <x:f>IF(OR($E$4="",NOT(ISNUMBER($E$4)),$E$4&lt;1,$E$4&gt;400),"参考年待填",IF(OR(E945="",F945="",G945=""),"年代待核",IF($E$4&lt;E945,"未出生",IF($E$4&lt;F945,"未登场",IF($E$4&gt;G945,"已过卒年",IF($E$4=G945,"卒年边界待核","年表可登场"))))))</x:f>
        <x:v>年表可登场</x:v>
      </x:c>
      <x:c r="I945" s="12"/>
      <x:c r="J945" s="2" t="str">
        <x:v>SAN14游戏设定</x:v>
      </x:c>
      <x:c r="K945" s="2" t="str"/>
      <x:c r="L945" s="2" t="str">
        <x:v>劉循</x:v>
      </x:c>
      <x:c r="M945" s="2" t="str">
        <x:v>san14-candidate-0937</x:v>
      </x:c>
      <x:c r="N945" s="2" t="str">
        <x:v>劉循</x:v>
      </x:c>
      <x:c r="O945" s="2" t="str">
        <x:v>リュウジュン</x:v>
      </x:c>
    </x:row>
    <x:row r="946" ht="23" customHeight="1">
      <x:c r="A946" s="13" t="n">
        <x:v>938</x:v>
      </x:c>
      <x:c r="B946" s="2" t="str">
        <x:v>刘璋</x:v>
      </x:c>
      <x:c r="C946" s="2" t="str">
        <x:v>劉璋</x:v>
      </x:c>
      <x:c r="D946" s="2" t="str"/>
      <x:c r="E946" s="13" t="n">
        <x:v>162</x:v>
      </x:c>
      <x:c r="F946" s="13" t="n">
        <x:v>184</x:v>
      </x:c>
      <x:c r="G946" s="13" t="n">
        <x:v>219</x:v>
      </x:c>
      <x:c r="H946" s="2" t="str">
        <x:f>IF(OR($E$4="",NOT(ISNUMBER($E$4)),$E$4&lt;1,$E$4&gt;400),"参考年待填",IF(OR(E946="",F946="",G946=""),"年代待核",IF($E$4&lt;E946,"未出生",IF($E$4&lt;F946,"未登场",IF($E$4&gt;G946,"已过卒年",IF($E$4=G946,"卒年边界待核","年表可登场"))))))</x:f>
        <x:v>已过卒年</x:v>
      </x:c>
      <x:c r="I946" s="12"/>
      <x:c r="J946" s="2" t="str">
        <x:v>SAN14游戏设定</x:v>
      </x:c>
      <x:c r="K946" s="2" t="str"/>
      <x:c r="L946" s="2" t="str">
        <x:v>劉璋</x:v>
      </x:c>
      <x:c r="M946" s="2" t="str">
        <x:v>san14-candidate-0938</x:v>
      </x:c>
      <x:c r="N946" s="2" t="str">
        <x:v>劉璋</x:v>
      </x:c>
      <x:c r="O946" s="2" t="str">
        <x:v>リュウショウ</x:v>
      </x:c>
    </x:row>
    <x:row r="947" ht="23" customHeight="1">
      <x:c r="A947" s="13" t="n">
        <x:v>939</x:v>
      </x:c>
      <x:c r="B947" s="2" t="str">
        <x:v>刘劭</x:v>
      </x:c>
      <x:c r="C947" s="2" t="str">
        <x:v>劉劭</x:v>
      </x:c>
      <x:c r="D947" s="2" t="str"/>
      <x:c r="E947" s="13" t="n">
        <x:v>195</x:v>
      </x:c>
      <x:c r="F947" s="13" t="n">
        <x:v>212</x:v>
      </x:c>
      <x:c r="G947" s="13" t="n">
        <x:v>264</x:v>
      </x:c>
      <x:c r="H947" s="2" t="str">
        <x:f>IF(OR($E$4="",NOT(ISNUMBER($E$4)),$E$4&lt;1,$E$4&gt;400),"参考年待填",IF(OR(E947="",F947="",G947=""),"年代待核",IF($E$4&lt;E947,"未出生",IF($E$4&lt;F947,"未登场",IF($E$4&gt;G947,"已过卒年",IF($E$4=G947,"卒年边界待核","年表可登场"))))))</x:f>
        <x:v>年表可登场</x:v>
      </x:c>
      <x:c r="I947" s="12"/>
      <x:c r="J947" s="2" t="str">
        <x:v>SAN14游戏设定</x:v>
      </x:c>
      <x:c r="K947" s="2" t="str"/>
      <x:c r="L947" s="2" t="str">
        <x:v>劉劭</x:v>
      </x:c>
      <x:c r="M947" s="2" t="str">
        <x:v>san14-candidate-0939</x:v>
      </x:c>
      <x:c r="N947" s="2" t="str">
        <x:v>劉劭</x:v>
      </x:c>
      <x:c r="O947" s="2" t="str">
        <x:v>リュウショウ</x:v>
      </x:c>
    </x:row>
    <x:row r="948" ht="23" customHeight="1">
      <x:c r="A948" s="13" t="n">
        <x:v>940</x:v>
      </x:c>
      <x:c r="B948" s="2" t="str">
        <x:v>刘丞</x:v>
      </x:c>
      <x:c r="C948" s="2" t="str">
        <x:v>劉丞</x:v>
      </x:c>
      <x:c r="D948" s="2" t="str"/>
      <x:c r="E948" s="13" t="n">
        <x:v>215</x:v>
      </x:c>
      <x:c r="F948" s="13" t="n">
        <x:v>234</x:v>
      </x:c>
      <x:c r="G948" s="13" t="n">
        <x:v>258</x:v>
      </x:c>
      <x:c r="H948" s="2" t="str">
        <x:f>IF(OR($E$4="",NOT(ISNUMBER($E$4)),$E$4&lt;1,$E$4&gt;400),"参考年待填",IF(OR(E948="",F948="",G948=""),"年代待核",IF($E$4&lt;E948,"未出生",IF($E$4&lt;F948,"未登场",IF($E$4&gt;G948,"已过卒年",IF($E$4=G948,"卒年边界待核","年表可登场"))))))</x:f>
        <x:v>未登场</x:v>
      </x:c>
      <x:c r="I948" s="12"/>
      <x:c r="J948" s="2" t="str">
        <x:v>SAN14游戏设定</x:v>
      </x:c>
      <x:c r="K948" s="2" t="str"/>
      <x:c r="L948" s="2" t="str">
        <x:v>劉丞</x:v>
      </x:c>
      <x:c r="M948" s="2" t="str">
        <x:v>san14-candidate-0940</x:v>
      </x:c>
      <x:c r="N948" s="2" t="str">
        <x:v>劉丞</x:v>
      </x:c>
      <x:c r="O948" s="2" t="str">
        <x:v>リュウジョウ</x:v>
      </x:c>
    </x:row>
    <x:row r="949" ht="23" customHeight="1">
      <x:c r="A949" s="13" t="n">
        <x:v>941</x:v>
      </x:c>
      <x:c r="B949" s="2" t="str">
        <x:v>刘谌</x:v>
      </x:c>
      <x:c r="C949" s="2" t="str">
        <x:v>劉諶</x:v>
      </x:c>
      <x:c r="D949" s="2" t="str"/>
      <x:c r="E949" s="13" t="n">
        <x:v>238</x:v>
      </x:c>
      <x:c r="F949" s="13" t="n">
        <x:v>252</x:v>
      </x:c>
      <x:c r="G949" s="13" t="n">
        <x:v>263</x:v>
      </x:c>
      <x:c r="H949" s="2" t="str">
        <x:f>IF(OR($E$4="",NOT(ISNUMBER($E$4)),$E$4&lt;1,$E$4&gt;400),"参考年待填",IF(OR(E949="",F949="",G949=""),"年代待核",IF($E$4&lt;E949,"未出生",IF($E$4&lt;F949,"未登场",IF($E$4&gt;G949,"已过卒年",IF($E$4=G949,"卒年边界待核","年表可登场"))))))</x:f>
        <x:v>未出生</x:v>
      </x:c>
      <x:c r="I949" s="12"/>
      <x:c r="J949" s="2" t="str">
        <x:v>SAN14游戏设定</x:v>
      </x:c>
      <x:c r="K949" s="2" t="str"/>
      <x:c r="L949" s="2" t="str">
        <x:v>劉諶</x:v>
      </x:c>
      <x:c r="M949" s="2" t="str">
        <x:v>san14-candidate-0941</x:v>
      </x:c>
      <x:c r="N949" s="2" t="str">
        <x:v>劉諶</x:v>
      </x:c>
      <x:c r="O949" s="2" t="str">
        <x:v>リュウシン</x:v>
      </x:c>
    </x:row>
    <x:row r="950" ht="23" customHeight="1">
      <x:c r="A950" s="13" t="n">
        <x:v>942</x:v>
      </x:c>
      <x:c r="B950" s="2" t="str">
        <x:v>刘靖</x:v>
      </x:c>
      <x:c r="C950" s="2" t="str">
        <x:v>劉靖</x:v>
      </x:c>
      <x:c r="D950" s="2" t="str"/>
      <x:c r="E950" s="13" t="n">
        <x:v>189</x:v>
      </x:c>
      <x:c r="F950" s="13" t="n">
        <x:v>208</x:v>
      </x:c>
      <x:c r="G950" s="13" t="n">
        <x:v>254</x:v>
      </x:c>
      <x:c r="H950" s="2" t="str">
        <x:f>IF(OR($E$4="",NOT(ISNUMBER($E$4)),$E$4&lt;1,$E$4&gt;400),"参考年待填",IF(OR(E950="",F950="",G950=""),"年代待核",IF($E$4&lt;E950,"未出生",IF($E$4&lt;F950,"未登场",IF($E$4&gt;G950,"已过卒年",IF($E$4=G950,"卒年边界待核","年表可登场"))))))</x:f>
        <x:v>年表可登场</x:v>
      </x:c>
      <x:c r="I950" s="12"/>
      <x:c r="J950" s="2" t="str">
        <x:v>SAN14游戏设定</x:v>
      </x:c>
      <x:c r="K950" s="2" t="str"/>
      <x:c r="L950" s="2" t="str">
        <x:v>劉靖</x:v>
      </x:c>
      <x:c r="M950" s="2" t="str">
        <x:v>san14-candidate-0942</x:v>
      </x:c>
      <x:c r="N950" s="2" t="str">
        <x:v>劉靖</x:v>
      </x:c>
      <x:c r="O950" s="2" t="str">
        <x:v>リュウセイ</x:v>
      </x:c>
    </x:row>
    <x:row r="951" ht="23" customHeight="1">
      <x:c r="A951" s="13" t="n">
        <x:v>943</x:v>
      </x:c>
      <x:c r="B951" s="2" t="str">
        <x:v>刘璇</x:v>
      </x:c>
      <x:c r="C951" s="2" t="str">
        <x:v>劉璿</x:v>
      </x:c>
      <x:c r="D951" s="2" t="str"/>
      <x:c r="E951" s="13" t="n">
        <x:v>224</x:v>
      </x:c>
      <x:c r="F951" s="13" t="n">
        <x:v>238</x:v>
      </x:c>
      <x:c r="G951" s="13" t="n">
        <x:v>264</x:v>
      </x:c>
      <x:c r="H951" s="2" t="str">
        <x:f>IF(OR($E$4="",NOT(ISNUMBER($E$4)),$E$4&lt;1,$E$4&gt;400),"参考年待填",IF(OR(E951="",F951="",G951=""),"年代待核",IF($E$4&lt;E951,"未出生",IF($E$4&lt;F951,"未登场",IF($E$4&gt;G951,"已过卒年",IF($E$4=G951,"卒年边界待核","年表可登场"))))))</x:f>
        <x:v>未登场</x:v>
      </x:c>
      <x:c r="I951" s="12"/>
      <x:c r="J951" s="2" t="str">
        <x:v>SAN14游戏设定</x:v>
      </x:c>
      <x:c r="K951" s="2" t="str"/>
      <x:c r="L951" s="2" t="str">
        <x:v>劉璿</x:v>
      </x:c>
      <x:c r="M951" s="2" t="str">
        <x:v>san14-candidate-0943</x:v>
      </x:c>
      <x:c r="N951" s="2" t="str">
        <x:v>劉セン</x:v>
      </x:c>
      <x:c r="O951" s="2" t="str">
        <x:v>リュウセン</x:v>
      </x:c>
    </x:row>
    <x:row r="952" ht="23" customHeight="1">
      <x:c r="A952" s="13" t="n">
        <x:v>944</x:v>
      </x:c>
      <x:c r="B952" s="2" t="str">
        <x:v>刘先</x:v>
      </x:c>
      <x:c r="C952" s="2" t="str">
        <x:v>劉先</x:v>
      </x:c>
      <x:c r="D952" s="2" t="str"/>
      <x:c r="E952" s="13" t="n">
        <x:v>160</x:v>
      </x:c>
      <x:c r="F952" s="13" t="n">
        <x:v>184</x:v>
      </x:c>
      <x:c r="G952" s="13" t="n">
        <x:v>227</x:v>
      </x:c>
      <x:c r="H952" s="2" t="str">
        <x:f>IF(OR($E$4="",NOT(ISNUMBER($E$4)),$E$4&lt;1,$E$4&gt;400),"参考年待填",IF(OR(E952="",F952="",G952=""),"年代待核",IF($E$4&lt;E952,"未出生",IF($E$4&lt;F952,"未登场",IF($E$4&gt;G952,"已过卒年",IF($E$4=G952,"卒年边界待核","年表可登场"))))))</x:f>
        <x:v>已过卒年</x:v>
      </x:c>
      <x:c r="I952" s="12"/>
      <x:c r="J952" s="2" t="str">
        <x:v>SAN14游戏设定</x:v>
      </x:c>
      <x:c r="K952" s="2" t="str"/>
      <x:c r="L952" s="2" t="str">
        <x:v>劉先</x:v>
      </x:c>
      <x:c r="M952" s="2" t="str">
        <x:v>san14-candidate-0944</x:v>
      </x:c>
      <x:c r="N952" s="2" t="str">
        <x:v>劉先</x:v>
      </x:c>
      <x:c r="O952" s="2" t="str">
        <x:v>リュウセン</x:v>
      </x:c>
    </x:row>
    <x:row r="953" ht="23" customHeight="1">
      <x:c r="A953" s="13" t="n">
        <x:v>945</x:v>
      </x:c>
      <x:c r="B953" s="2" t="str">
        <x:v>刘禅</x:v>
      </x:c>
      <x:c r="C953" s="2" t="str">
        <x:v>劉禪</x:v>
      </x:c>
      <x:c r="D953" s="2" t="str"/>
      <x:c r="E953" s="13" t="n">
        <x:v>207</x:v>
      </x:c>
      <x:c r="F953" s="13" t="n">
        <x:v>221</x:v>
      </x:c>
      <x:c r="G953" s="13" t="n">
        <x:v>271</x:v>
      </x:c>
      <x:c r="H953" s="2" t="str">
        <x:f>IF(OR($E$4="",NOT(ISNUMBER($E$4)),$E$4&lt;1,$E$4&gt;400),"参考年待填",IF(OR(E953="",F953="",G953=""),"年代待核",IF($E$4&lt;E953,"未出生",IF($E$4&lt;F953,"未登场",IF($E$4&gt;G953,"已过卒年",IF($E$4=G953,"卒年边界待核","年表可登场"))))))</x:f>
        <x:v>年表可登场</x:v>
      </x:c>
      <x:c r="I953" s="12"/>
      <x:c r="J953" s="2" t="str">
        <x:v>SAN14游戏设定</x:v>
      </x:c>
      <x:c r="K953" s="2" t="str"/>
      <x:c r="L953" s="2" t="str">
        <x:v>劉禪</x:v>
      </x:c>
      <x:c r="M953" s="2" t="str">
        <x:v>san14-candidate-0945</x:v>
      </x:c>
      <x:c r="N953" s="2" t="str">
        <x:v>劉禅</x:v>
      </x:c>
      <x:c r="O953" s="2" t="str">
        <x:v>リュウゼン</x:v>
      </x:c>
    </x:row>
    <x:row r="954" ht="23" customHeight="1">
      <x:c r="A954" s="13" t="n">
        <x:v>946</x:v>
      </x:c>
      <x:c r="B954" s="2" t="str">
        <x:v>刘琮</x:v>
      </x:c>
      <x:c r="C954" s="2" t="str">
        <x:v>劉琮</x:v>
      </x:c>
      <x:c r="D954" s="2" t="str"/>
      <x:c r="E954" s="13" t="n">
        <x:v>195</x:v>
      </x:c>
      <x:c r="F954" s="13" t="n">
        <x:v>207</x:v>
      </x:c>
      <x:c r="G954" s="13" t="n">
        <x:v>208</x:v>
      </x:c>
      <x:c r="H954" s="2" t="str">
        <x:f>IF(OR($E$4="",NOT(ISNUMBER($E$4)),$E$4&lt;1,$E$4&gt;400),"参考年待填",IF(OR(E954="",F954="",G954=""),"年代待核",IF($E$4&lt;E954,"未出生",IF($E$4&lt;F954,"未登场",IF($E$4&gt;G954,"已过卒年",IF($E$4=G954,"卒年边界待核","年表可登场"))))))</x:f>
        <x:v>已过卒年</x:v>
      </x:c>
      <x:c r="I954" s="12"/>
      <x:c r="J954" s="2" t="str">
        <x:v>SAN14游戏设定</x:v>
      </x:c>
      <x:c r="K954" s="2" t="str"/>
      <x:c r="L954" s="2" t="str">
        <x:v>劉琮</x:v>
      </x:c>
      <x:c r="M954" s="2" t="str">
        <x:v>san14-candidate-0946</x:v>
      </x:c>
      <x:c r="N954" s="2" t="str">
        <x:v>劉琮</x:v>
      </x:c>
      <x:c r="O954" s="2" t="str">
        <x:v>リュウソウ</x:v>
      </x:c>
    </x:row>
    <x:row r="955" ht="23" customHeight="1">
      <x:c r="A955" s="13" t="n">
        <x:v>947</x:v>
      </x:c>
      <x:c r="B955" s="2" t="str">
        <x:v>刘岱</x:v>
      </x:c>
      <x:c r="C955" s="2" t="str">
        <x:v>劉岱</x:v>
      </x:c>
      <x:c r="D955" s="2" t="str"/>
      <x:c r="E955" s="13" t="n">
        <x:v>147</x:v>
      </x:c>
      <x:c r="F955" s="13" t="n">
        <x:v>184</x:v>
      </x:c>
      <x:c r="G955" s="13" t="n">
        <x:v>202</x:v>
      </x:c>
      <x:c r="H955" s="2" t="str">
        <x:f>IF(OR($E$4="",NOT(ISNUMBER($E$4)),$E$4&lt;1,$E$4&gt;400),"参考年待填",IF(OR(E955="",F955="",G955=""),"年代待核",IF($E$4&lt;E955,"未出生",IF($E$4&lt;F955,"未登场",IF($E$4&gt;G955,"已过卒年",IF($E$4=G955,"卒年边界待核","年表可登场"))))))</x:f>
        <x:v>已过卒年</x:v>
      </x:c>
      <x:c r="I955" s="12"/>
      <x:c r="J955" s="2" t="str">
        <x:v>SAN14游戏设定</x:v>
      </x:c>
      <x:c r="K955" s="2" t="str"/>
      <x:c r="L955" s="2" t="str">
        <x:v>劉岱</x:v>
      </x:c>
      <x:c r="M955" s="2" t="str">
        <x:v>san14-candidate-0947</x:v>
      </x:c>
      <x:c r="N955" s="2" t="str">
        <x:v>劉岱</x:v>
      </x:c>
      <x:c r="O955" s="2" t="str">
        <x:v>リュウタイ</x:v>
      </x:c>
    </x:row>
    <x:row r="956" ht="23" customHeight="1">
      <x:c r="A956" s="13" t="n">
        <x:v>948</x:v>
      </x:c>
      <x:c r="B956" s="2" t="str">
        <x:v>刘胄</x:v>
      </x:c>
      <x:c r="C956" s="2" t="str">
        <x:v>劉冑</x:v>
      </x:c>
      <x:c r="D956" s="2" t="str"/>
      <x:c r="E956" s="13" t="n">
        <x:v>189</x:v>
      </x:c>
      <x:c r="F956" s="13" t="n">
        <x:v>208</x:v>
      </x:c>
      <x:c r="G956" s="13" t="n">
        <x:v>233</x:v>
      </x:c>
      <x:c r="H956" s="2" t="str">
        <x:f>IF(OR($E$4="",NOT(ISNUMBER($E$4)),$E$4&lt;1,$E$4&gt;400),"参考年待填",IF(OR(E956="",F956="",G956=""),"年代待核",IF($E$4&lt;E956,"未出生",IF($E$4&lt;F956,"未登场",IF($E$4&gt;G956,"已过卒年",IF($E$4=G956,"卒年边界待核","年表可登场"))))))</x:f>
        <x:v>年表可登场</x:v>
      </x:c>
      <x:c r="I956" s="12"/>
      <x:c r="J956" s="2" t="str">
        <x:v>SAN14游戏设定</x:v>
      </x:c>
      <x:c r="K956" s="2" t="str"/>
      <x:c r="L956" s="2" t="str">
        <x:v>劉冑</x:v>
      </x:c>
      <x:c r="M956" s="2" t="str">
        <x:v>san14-candidate-0948</x:v>
      </x:c>
      <x:c r="N956" s="2" t="str">
        <x:v>劉冑</x:v>
      </x:c>
      <x:c r="O956" s="2" t="str">
        <x:v>リュウチュウ</x:v>
      </x:c>
    </x:row>
    <x:row r="957" ht="23" customHeight="1">
      <x:c r="A957" s="13" t="n">
        <x:v>949</x:v>
      </x:c>
      <x:c r="B957" s="2" t="str">
        <x:v>刘度</x:v>
      </x:c>
      <x:c r="C957" s="2" t="str">
        <x:v>劉度</x:v>
      </x:c>
      <x:c r="D957" s="2" t="str"/>
      <x:c r="E957" s="13" t="n">
        <x:v>168</x:v>
      </x:c>
      <x:c r="F957" s="13" t="n">
        <x:v>187</x:v>
      </x:c>
      <x:c r="G957" s="13" t="n">
        <x:v>214</x:v>
      </x:c>
      <x:c r="H957" s="2" t="str">
        <x:f>IF(OR($E$4="",NOT(ISNUMBER($E$4)),$E$4&lt;1,$E$4&gt;400),"参考年待填",IF(OR(E957="",F957="",G957=""),"年代待核",IF($E$4&lt;E957,"未出生",IF($E$4&lt;F957,"未登场",IF($E$4&gt;G957,"已过卒年",IF($E$4=G957,"卒年边界待核","年表可登场"))))))</x:f>
        <x:v>已过卒年</x:v>
      </x:c>
      <x:c r="I957" s="12"/>
      <x:c r="J957" s="2" t="str">
        <x:v>SAN14游戏设定</x:v>
      </x:c>
      <x:c r="K957" s="2" t="str"/>
      <x:c r="L957" s="2" t="str">
        <x:v>劉度</x:v>
      </x:c>
      <x:c r="M957" s="2" t="str">
        <x:v>san14-candidate-0949</x:v>
      </x:c>
      <x:c r="N957" s="2" t="str">
        <x:v>劉度</x:v>
      </x:c>
      <x:c r="O957" s="2" t="str">
        <x:v>リュウド</x:v>
      </x:c>
    </x:row>
    <x:row r="958" ht="23" customHeight="1">
      <x:c r="A958" s="13" t="n">
        <x:v>950</x:v>
      </x:c>
      <x:c r="B958" s="2" t="str">
        <x:v>刘巴</x:v>
      </x:c>
      <x:c r="C958" s="2" t="str">
        <x:v>劉巴</x:v>
      </x:c>
      <x:c r="D958" s="2" t="str"/>
      <x:c r="E958" s="13" t="n">
        <x:v>186</x:v>
      </x:c>
      <x:c r="F958" s="13" t="n">
        <x:v>205</x:v>
      </x:c>
      <x:c r="G958" s="13" t="n">
        <x:v>222</x:v>
      </x:c>
      <x:c r="H958" s="2" t="str">
        <x:f>IF(OR($E$4="",NOT(ISNUMBER($E$4)),$E$4&lt;1,$E$4&gt;400),"参考年待填",IF(OR(E958="",F958="",G958=""),"年代待核",IF($E$4&lt;E958,"未出生",IF($E$4&lt;F958,"未登场",IF($E$4&gt;G958,"已过卒年",IF($E$4=G958,"卒年边界待核","年表可登场"))))))</x:f>
        <x:v>已过卒年</x:v>
      </x:c>
      <x:c r="I958" s="12"/>
      <x:c r="J958" s="2" t="str">
        <x:v>SAN14游戏设定</x:v>
      </x:c>
      <x:c r="K958" s="2" t="str"/>
      <x:c r="L958" s="2" t="str">
        <x:v>劉巴</x:v>
      </x:c>
      <x:c r="M958" s="2" t="str">
        <x:v>san14-candidate-0950</x:v>
      </x:c>
      <x:c r="N958" s="2" t="str">
        <x:v>劉巴</x:v>
      </x:c>
      <x:c r="O958" s="2" t="str">
        <x:v>リュウハ</x:v>
      </x:c>
    </x:row>
    <x:row r="959" ht="23" customHeight="1">
      <x:c r="A959" s="13" t="n">
        <x:v>951</x:v>
      </x:c>
      <x:c r="B959" s="2" t="str">
        <x:v>刘磐</x:v>
      </x:c>
      <x:c r="C959" s="2" t="str">
        <x:v>劉磐</x:v>
      </x:c>
      <x:c r="D959" s="2" t="str"/>
      <x:c r="E959" s="13" t="n">
        <x:v>168</x:v>
      </x:c>
      <x:c r="F959" s="13" t="n">
        <x:v>188</x:v>
      </x:c>
      <x:c r="G959" s="13" t="n">
        <x:v>210</x:v>
      </x:c>
      <x:c r="H959" s="2" t="str">
        <x:f>IF(OR($E$4="",NOT(ISNUMBER($E$4)),$E$4&lt;1,$E$4&gt;400),"参考年待填",IF(OR(E959="",F959="",G959=""),"年代待核",IF($E$4&lt;E959,"未出生",IF($E$4&lt;F959,"未登场",IF($E$4&gt;G959,"已过卒年",IF($E$4=G959,"卒年边界待核","年表可登场"))))))</x:f>
        <x:v>已过卒年</x:v>
      </x:c>
      <x:c r="I959" s="12"/>
      <x:c r="J959" s="2" t="str">
        <x:v>SAN14游戏设定</x:v>
      </x:c>
      <x:c r="K959" s="2" t="str"/>
      <x:c r="L959" s="2" t="str">
        <x:v>劉磐</x:v>
      </x:c>
      <x:c r="M959" s="2" t="str">
        <x:v>san14-candidate-0951</x:v>
      </x:c>
      <x:c r="N959" s="2" t="str">
        <x:v>劉磐</x:v>
      </x:c>
      <x:c r="O959" s="2" t="str">
        <x:v>リュウバン</x:v>
      </x:c>
    </x:row>
    <x:row r="960" ht="23" customHeight="1">
      <x:c r="A960" s="13" t="n">
        <x:v>952</x:v>
      </x:c>
      <x:c r="B960" s="2" t="str">
        <x:v>刘备</x:v>
      </x:c>
      <x:c r="C960" s="2" t="str">
        <x:v>劉備</x:v>
      </x:c>
      <x:c r="D960" s="2" t="str"/>
      <x:c r="E960" s="13" t="n">
        <x:v>161</x:v>
      </x:c>
      <x:c r="F960" s="13" t="n">
        <x:v>184</x:v>
      </x:c>
      <x:c r="G960" s="13" t="n">
        <x:v>223</x:v>
      </x:c>
      <x:c r="H960" s="2" t="str">
        <x:f>IF(OR($E$4="",NOT(ISNUMBER($E$4)),$E$4&lt;1,$E$4&gt;400),"参考年待填",IF(OR(E960="",F960="",G960=""),"年代待核",IF($E$4&lt;E960,"未出生",IF($E$4&lt;F960,"未登场",IF($E$4&gt;G960,"已过卒年",IF($E$4=G960,"卒年边界待核","年表可登场"))))))</x:f>
        <x:v>已过卒年</x:v>
      </x:c>
      <x:c r="I960" s="12" t="n">
        <x:v>222</x:v>
      </x:c>
      <x:c r="J960" s="2" t="str">
        <x:v>SAN14游戏设定</x:v>
      </x:c>
      <x:c r="K960" s="2" t="str"/>
      <x:c r="L960" s="2" t="str">
        <x:v>劉備</x:v>
      </x:c>
      <x:c r="M960" s="2" t="str">
        <x:v>san14-candidate-0952</x:v>
      </x:c>
      <x:c r="N960" s="2" t="str">
        <x:v>劉備</x:v>
      </x:c>
      <x:c r="O960" s="2" t="str">
        <x:v>リュウビ</x:v>
      </x:c>
    </x:row>
    <x:row r="961" ht="23" customHeight="1">
      <x:c r="A961" s="13" t="n">
        <x:v>953</x:v>
      </x:c>
      <x:c r="B961" s="2" t="str">
        <x:v>刘表</x:v>
      </x:c>
      <x:c r="C961" s="2" t="str">
        <x:v>劉表</x:v>
      </x:c>
      <x:c r="D961" s="2" t="str"/>
      <x:c r="E961" s="13" t="n">
        <x:v>142</x:v>
      </x:c>
      <x:c r="F961" s="13" t="n">
        <x:v>184</x:v>
      </x:c>
      <x:c r="G961" s="13" t="n">
        <x:v>208</x:v>
      </x:c>
      <x:c r="H961" s="2" t="str">
        <x:f>IF(OR($E$4="",NOT(ISNUMBER($E$4)),$E$4&lt;1,$E$4&gt;400),"参考年待填",IF(OR(E961="",F961="",G961=""),"年代待核",IF($E$4&lt;E961,"未出生",IF($E$4&lt;F961,"未登场",IF($E$4&gt;G961,"已过卒年",IF($E$4=G961,"卒年边界待核","年表可登场"))))))</x:f>
        <x:v>已过卒年</x:v>
      </x:c>
      <x:c r="I961" s="12"/>
      <x:c r="J961" s="2" t="str">
        <x:v>SAN14游戏设定</x:v>
      </x:c>
      <x:c r="K961" s="2" t="str"/>
      <x:c r="L961" s="2" t="str">
        <x:v>劉表</x:v>
      </x:c>
      <x:c r="M961" s="2" t="str">
        <x:v>san14-candidate-0953</x:v>
      </x:c>
      <x:c r="N961" s="2" t="str">
        <x:v>劉表</x:v>
      </x:c>
      <x:c r="O961" s="2" t="str">
        <x:v>リュウヒョウ</x:v>
      </x:c>
    </x:row>
    <x:row r="962" ht="23" customHeight="1">
      <x:c r="A962" s="13" t="n">
        <x:v>954</x:v>
      </x:c>
      <x:c r="B962" s="2" t="str">
        <x:v>刘豹</x:v>
      </x:c>
      <x:c r="C962" s="2" t="str">
        <x:v>劉豹</x:v>
      </x:c>
      <x:c r="D962" s="2" t="str"/>
      <x:c r="E962" s="13" t="n">
        <x:v>181</x:v>
      </x:c>
      <x:c r="F962" s="13" t="n">
        <x:v>195</x:v>
      </x:c>
      <x:c r="G962" s="13" t="n">
        <x:v>279</x:v>
      </x:c>
      <x:c r="H962" s="2" t="str">
        <x:f>IF(OR($E$4="",NOT(ISNUMBER($E$4)),$E$4&lt;1,$E$4&gt;400),"参考年待填",IF(OR(E962="",F962="",G962=""),"年代待核",IF($E$4&lt;E962,"未出生",IF($E$4&lt;F962,"未登场",IF($E$4&gt;G962,"已过卒年",IF($E$4=G962,"卒年边界待核","年表可登场"))))))</x:f>
        <x:v>年表可登场</x:v>
      </x:c>
      <x:c r="I962" s="12"/>
      <x:c r="J962" s="2" t="str">
        <x:v>SAN14游戏设定</x:v>
      </x:c>
      <x:c r="K962" s="2" t="str"/>
      <x:c r="L962" s="2" t="str">
        <x:v>劉豹</x:v>
      </x:c>
      <x:c r="M962" s="2" t="str">
        <x:v>san14-candidate-0954</x:v>
      </x:c>
      <x:c r="N962" s="2" t="str">
        <x:v>劉豹</x:v>
      </x:c>
      <x:c r="O962" s="2" t="str">
        <x:v>リュウヒョウ</x:v>
      </x:c>
    </x:row>
    <x:row r="963" ht="23" customHeight="1">
      <x:c r="A963" s="13" t="n">
        <x:v>955</x:v>
      </x:c>
      <x:c r="B963" s="2" t="str">
        <x:v>刘敏</x:v>
      </x:c>
      <x:c r="C963" s="2" t="str">
        <x:v>劉敏</x:v>
      </x:c>
      <x:c r="D963" s="2" t="str"/>
      <x:c r="E963" s="13" t="n">
        <x:v>196</x:v>
      </x:c>
      <x:c r="F963" s="13" t="n">
        <x:v>215</x:v>
      </x:c>
      <x:c r="G963" s="13" t="n">
        <x:v>255</x:v>
      </x:c>
      <x:c r="H963" s="2" t="str">
        <x:f>IF(OR($E$4="",NOT(ISNUMBER($E$4)),$E$4&lt;1,$E$4&gt;400),"参考年待填",IF(OR(E963="",F963="",G963=""),"年代待核",IF($E$4&lt;E963,"未出生",IF($E$4&lt;F963,"未登场",IF($E$4&gt;G963,"已过卒年",IF($E$4=G963,"卒年边界待核","年表可登场"))))))</x:f>
        <x:v>年表可登场</x:v>
      </x:c>
      <x:c r="I963" s="12"/>
      <x:c r="J963" s="2" t="str">
        <x:v>SAN14游戏设定</x:v>
      </x:c>
      <x:c r="K963" s="2" t="str"/>
      <x:c r="L963" s="2" t="str">
        <x:v>劉敏</x:v>
      </x:c>
      <x:c r="M963" s="2" t="str">
        <x:v>san14-candidate-0955</x:v>
      </x:c>
      <x:c r="N963" s="2" t="str">
        <x:v>劉敏</x:v>
      </x:c>
      <x:c r="O963" s="2" t="str">
        <x:v>リュウビン</x:v>
      </x:c>
    </x:row>
    <x:row r="964" ht="23" customHeight="1">
      <x:c r="A964" s="13" t="n">
        <x:v>956</x:v>
      </x:c>
      <x:c r="B964" s="2" t="str">
        <x:v>刘馥</x:v>
      </x:c>
      <x:c r="C964" s="2" t="str">
        <x:v>劉馥</x:v>
      </x:c>
      <x:c r="D964" s="2" t="str"/>
      <x:c r="E964" s="13" t="n">
        <x:v>164</x:v>
      </x:c>
      <x:c r="F964" s="13" t="n">
        <x:v>184</x:v>
      </x:c>
      <x:c r="G964" s="13" t="n">
        <x:v>208</x:v>
      </x:c>
      <x:c r="H964" s="2" t="str">
        <x:f>IF(OR($E$4="",NOT(ISNUMBER($E$4)),$E$4&lt;1,$E$4&gt;400),"参考年待填",IF(OR(E964="",F964="",G964=""),"年代待核",IF($E$4&lt;E964,"未出生",IF($E$4&lt;F964,"未登场",IF($E$4&gt;G964,"已过卒年",IF($E$4=G964,"卒年边界待核","年表可登场"))))))</x:f>
        <x:v>已过卒年</x:v>
      </x:c>
      <x:c r="I964" s="12"/>
      <x:c r="J964" s="2" t="str">
        <x:v>SAN14游戏设定</x:v>
      </x:c>
      <x:c r="K964" s="2" t="str"/>
      <x:c r="L964" s="2" t="str">
        <x:v>劉馥</x:v>
      </x:c>
      <x:c r="M964" s="2" t="str">
        <x:v>san14-candidate-0956</x:v>
      </x:c>
      <x:c r="N964" s="2" t="str">
        <x:v>劉馥</x:v>
      </x:c>
      <x:c r="O964" s="2" t="str">
        <x:v>リュウフク</x:v>
      </x:c>
    </x:row>
    <x:row r="965" ht="23" customHeight="1">
      <x:c r="A965" s="13" t="n">
        <x:v>957</x:v>
      </x:c>
      <x:c r="B965" s="2" t="str">
        <x:v>留平</x:v>
      </x:c>
      <x:c r="C965" s="2" t="str">
        <x:v>留平</x:v>
      </x:c>
      <x:c r="D965" s="2" t="str"/>
      <x:c r="E965" s="13" t="n">
        <x:v>218</x:v>
      </x:c>
      <x:c r="F965" s="13" t="n">
        <x:v>232</x:v>
      </x:c>
      <x:c r="G965" s="13" t="n">
        <x:v>272</x:v>
      </x:c>
      <x:c r="H965" s="2" t="str">
        <x:f>IF(OR($E$4="",NOT(ISNUMBER($E$4)),$E$4&lt;1,$E$4&gt;400),"参考年待填",IF(OR(E965="",F965="",G965=""),"年代待核",IF($E$4&lt;E965,"未出生",IF($E$4&lt;F965,"未登场",IF($E$4&gt;G965,"已过卒年",IF($E$4=G965,"卒年边界待核","年表可登场"))))))</x:f>
        <x:v>未登场</x:v>
      </x:c>
      <x:c r="I965" s="12"/>
      <x:c r="J965" s="2" t="str">
        <x:v>SAN14游戏设定</x:v>
      </x:c>
      <x:c r="K965" s="2" t="str"/>
      <x:c r="L965" s="2" t="str">
        <x:v>留平</x:v>
      </x:c>
      <x:c r="M965" s="2" t="str">
        <x:v>san14-candidate-0957</x:v>
      </x:c>
      <x:c r="N965" s="2" t="str">
        <x:v>留平</x:v>
      </x:c>
      <x:c r="O965" s="2" t="str">
        <x:v>リュウヘイ</x:v>
      </x:c>
    </x:row>
    <x:row r="966" ht="23" customHeight="1">
      <x:c r="A966" s="13" t="n">
        <x:v>958</x:v>
      </x:c>
      <x:c r="B966" s="2" t="str">
        <x:v>刘辟</x:v>
      </x:c>
      <x:c r="C966" s="2" t="str">
        <x:v>劉辟</x:v>
      </x:c>
      <x:c r="D966" s="2" t="str"/>
      <x:c r="E966" s="13" t="n">
        <x:v>145</x:v>
      </x:c>
      <x:c r="F966" s="13" t="n">
        <x:v>184</x:v>
      </x:c>
      <x:c r="G966" s="13" t="n">
        <x:v>201</x:v>
      </x:c>
      <x:c r="H966" s="2" t="str">
        <x:f>IF(OR($E$4="",NOT(ISNUMBER($E$4)),$E$4&lt;1,$E$4&gt;400),"参考年待填",IF(OR(E966="",F966="",G966=""),"年代待核",IF($E$4&lt;E966,"未出生",IF($E$4&lt;F966,"未登场",IF($E$4&gt;G966,"已过卒年",IF($E$4=G966,"卒年边界待核","年表可登场"))))))</x:f>
        <x:v>已过卒年</x:v>
      </x:c>
      <x:c r="I966" s="12"/>
      <x:c r="J966" s="2" t="str">
        <x:v>SAN14游戏设定</x:v>
      </x:c>
      <x:c r="K966" s="2" t="str"/>
      <x:c r="L966" s="2" t="str">
        <x:v>劉辟</x:v>
      </x:c>
      <x:c r="M966" s="2" t="str">
        <x:v>san14-candidate-0958</x:v>
      </x:c>
      <x:c r="N966" s="2" t="str">
        <x:v>劉辟</x:v>
      </x:c>
      <x:c r="O966" s="2" t="str">
        <x:v>リュウヘキ</x:v>
      </x:c>
    </x:row>
    <x:row r="967" ht="23" customHeight="1">
      <x:c r="A967" s="13" t="n">
        <x:v>959</x:v>
      </x:c>
      <x:c r="B967" s="2" t="str">
        <x:v>刘封</x:v>
      </x:c>
      <x:c r="C967" s="2" t="str">
        <x:v>劉封</x:v>
      </x:c>
      <x:c r="D967" s="2" t="str"/>
      <x:c r="E967" s="13" t="n">
        <x:v>188</x:v>
      </x:c>
      <x:c r="F967" s="13" t="n">
        <x:v>206</x:v>
      </x:c>
      <x:c r="G967" s="13" t="n">
        <x:v>220</x:v>
      </x:c>
      <x:c r="H967" s="2" t="str">
        <x:f>IF(OR($E$4="",NOT(ISNUMBER($E$4)),$E$4&lt;1,$E$4&gt;400),"参考年待填",IF(OR(E967="",F967="",G967=""),"年代待核",IF($E$4&lt;E967,"未出生",IF($E$4&lt;F967,"未登场",IF($E$4&gt;G967,"已过卒年",IF($E$4=G967,"卒年边界待核","年表可登场"))))))</x:f>
        <x:v>已过卒年</x:v>
      </x:c>
      <x:c r="I967" s="12"/>
      <x:c r="J967" s="2" t="str">
        <x:v>SAN14游戏设定</x:v>
      </x:c>
      <x:c r="K967" s="2" t="str"/>
      <x:c r="L967" s="2" t="str">
        <x:v>劉封</x:v>
      </x:c>
      <x:c r="M967" s="2" t="str">
        <x:v>san14-candidate-0959</x:v>
      </x:c>
      <x:c r="N967" s="2" t="str">
        <x:v>劉封</x:v>
      </x:c>
      <x:c r="O967" s="2" t="str">
        <x:v>リュウホウ</x:v>
      </x:c>
    </x:row>
    <x:row r="968" ht="23" customHeight="1">
      <x:c r="A968" s="13" t="n">
        <x:v>960</x:v>
      </x:c>
      <x:c r="B968" s="2" t="str">
        <x:v>刘放</x:v>
      </x:c>
      <x:c r="C968" s="2" t="str">
        <x:v>劉放</x:v>
      </x:c>
      <x:c r="D968" s="2" t="str"/>
      <x:c r="E968" s="13" t="n">
        <x:v>176</x:v>
      </x:c>
      <x:c r="F968" s="13" t="n">
        <x:v>195</x:v>
      </x:c>
      <x:c r="G968" s="13" t="n">
        <x:v>250</x:v>
      </x:c>
      <x:c r="H968" s="2" t="str">
        <x:f>IF(OR($E$4="",NOT(ISNUMBER($E$4)),$E$4&lt;1,$E$4&gt;400),"参考年待填",IF(OR(E968="",F968="",G968=""),"年代待核",IF($E$4&lt;E968,"未出生",IF($E$4&lt;F968,"未登场",IF($E$4&gt;G968,"已过卒年",IF($E$4=G968,"卒年边界待核","年表可登场"))))))</x:f>
        <x:v>年表可登场</x:v>
      </x:c>
      <x:c r="I968" s="12"/>
      <x:c r="J968" s="2" t="str">
        <x:v>SAN14游戏设定</x:v>
      </x:c>
      <x:c r="K968" s="2" t="str"/>
      <x:c r="L968" s="2" t="str">
        <x:v>劉放</x:v>
      </x:c>
      <x:c r="M968" s="2" t="str">
        <x:v>san14-candidate-0960</x:v>
      </x:c>
      <x:c r="N968" s="2" t="str">
        <x:v>劉放</x:v>
      </x:c>
      <x:c r="O968" s="2" t="str">
        <x:v>リュウホウ</x:v>
      </x:c>
    </x:row>
    <x:row r="969" ht="23" customHeight="1">
      <x:c r="A969" s="13" t="n">
        <x:v>961</x:v>
      </x:c>
      <x:c r="B969" s="2" t="str">
        <x:v>刘瑁</x:v>
      </x:c>
      <x:c r="C969" s="2" t="str">
        <x:v>劉瑁</x:v>
      </x:c>
      <x:c r="D969" s="2" t="str"/>
      <x:c r="E969" s="13" t="n">
        <x:v>159</x:v>
      </x:c>
      <x:c r="F969" s="13" t="n">
        <x:v>184</x:v>
      </x:c>
      <x:c r="G969" s="13" t="n">
        <x:v>210</x:v>
      </x:c>
      <x:c r="H969" s="2" t="str">
        <x:f>IF(OR($E$4="",NOT(ISNUMBER($E$4)),$E$4&lt;1,$E$4&gt;400),"参考年待填",IF(OR(E969="",F969="",G969=""),"年代待核",IF($E$4&lt;E969,"未出生",IF($E$4&lt;F969,"未登场",IF($E$4&gt;G969,"已过卒年",IF($E$4=G969,"卒年边界待核","年表可登场"))))))</x:f>
        <x:v>已过卒年</x:v>
      </x:c>
      <x:c r="I969" s="12"/>
      <x:c r="J969" s="2" t="str">
        <x:v>SAN14游戏设定</x:v>
      </x:c>
      <x:c r="K969" s="2" t="str"/>
      <x:c r="L969" s="2" t="str">
        <x:v>劉瑁</x:v>
      </x:c>
      <x:c r="M969" s="2" t="str">
        <x:v>san14-candidate-0961</x:v>
      </x:c>
      <x:c r="N969" s="2" t="str">
        <x:v>劉瑁</x:v>
      </x:c>
      <x:c r="O969" s="2" t="str">
        <x:v>リュウボウ</x:v>
      </x:c>
    </x:row>
    <x:row r="970" ht="23" customHeight="1">
      <x:c r="A970" s="13" t="n">
        <x:v>962</x:v>
      </x:c>
      <x:c r="B970" s="2" t="str">
        <x:v>刘晔</x:v>
      </x:c>
      <x:c r="C970" s="2" t="str">
        <x:v>劉曄</x:v>
      </x:c>
      <x:c r="D970" s="2" t="str"/>
      <x:c r="E970" s="13" t="n">
        <x:v>176</x:v>
      </x:c>
      <x:c r="F970" s="13" t="n">
        <x:v>193</x:v>
      </x:c>
      <x:c r="G970" s="13" t="n">
        <x:v>235</x:v>
      </x:c>
      <x:c r="H970" s="2" t="str">
        <x:f>IF(OR($E$4="",NOT(ISNUMBER($E$4)),$E$4&lt;1,$E$4&gt;400),"参考年待填",IF(OR(E970="",F970="",G970=""),"年代待核",IF($E$4&lt;E970,"未出生",IF($E$4&lt;F970,"未登场",IF($E$4&gt;G970,"已过卒年",IF($E$4=G970,"卒年边界待核","年表可登场"))))))</x:f>
        <x:v>年表可登场</x:v>
      </x:c>
      <x:c r="I970" s="12"/>
      <x:c r="J970" s="2" t="str">
        <x:v>SAN14游戏设定</x:v>
      </x:c>
      <x:c r="K970" s="2" t="str"/>
      <x:c r="L970" s="2" t="str">
        <x:v>劉曄</x:v>
      </x:c>
      <x:c r="M970" s="2" t="str">
        <x:v>san14-candidate-0962</x:v>
      </x:c>
      <x:c r="N970" s="2" t="str">
        <x:v>劉曄</x:v>
      </x:c>
      <x:c r="O970" s="2" t="str">
        <x:v>リュウヨウ</x:v>
      </x:c>
    </x:row>
    <x:row r="971" ht="23" customHeight="1">
      <x:c r="A971" s="13" t="n">
        <x:v>963</x:v>
      </x:c>
      <x:c r="B971" s="2" t="str">
        <x:v>刘繇</x:v>
      </x:c>
      <x:c r="C971" s="2" t="str">
        <x:v>劉繇</x:v>
      </x:c>
      <x:c r="D971" s="2" t="str"/>
      <x:c r="E971" s="13" t="n">
        <x:v>156</x:v>
      </x:c>
      <x:c r="F971" s="13" t="n">
        <x:v>184</x:v>
      </x:c>
      <x:c r="G971" s="13" t="n">
        <x:v>197</x:v>
      </x:c>
      <x:c r="H971" s="2" t="str">
        <x:f>IF(OR($E$4="",NOT(ISNUMBER($E$4)),$E$4&lt;1,$E$4&gt;400),"参考年待填",IF(OR(E971="",F971="",G971=""),"年代待核",IF($E$4&lt;E971,"未出生",IF($E$4&lt;F971,"未登场",IF($E$4&gt;G971,"已过卒年",IF($E$4=G971,"卒年边界待核","年表可登场"))))))</x:f>
        <x:v>已过卒年</x:v>
      </x:c>
      <x:c r="I971" s="12"/>
      <x:c r="J971" s="2" t="str">
        <x:v>SAN14游戏设定</x:v>
      </x:c>
      <x:c r="K971" s="2" t="str"/>
      <x:c r="L971" s="2" t="str">
        <x:v>劉繇</x:v>
      </x:c>
      <x:c r="M971" s="2" t="str">
        <x:v>san14-candidate-0963</x:v>
      </x:c>
      <x:c r="N971" s="2" t="str">
        <x:v>劉ヨウ</x:v>
      </x:c>
      <x:c r="O971" s="2" t="str">
        <x:v>リュウヨウ</x:v>
      </x:c>
    </x:row>
    <x:row r="972" ht="23" customHeight="1">
      <x:c r="A972" s="13" t="n">
        <x:v>964</x:v>
      </x:c>
      <x:c r="B972" s="2" t="str">
        <x:v>刘理</x:v>
      </x:c>
      <x:c r="C972" s="2" t="str">
        <x:v>劉理</x:v>
      </x:c>
      <x:c r="D972" s="2" t="str"/>
      <x:c r="E972" s="13" t="n">
        <x:v>211</x:v>
      </x:c>
      <x:c r="F972" s="13" t="n">
        <x:v>225</x:v>
      </x:c>
      <x:c r="G972" s="13" t="n">
        <x:v>244</x:v>
      </x:c>
      <x:c r="H972" s="2" t="str">
        <x:f>IF(OR($E$4="",NOT(ISNUMBER($E$4)),$E$4&lt;1,$E$4&gt;400),"参考年待填",IF(OR(E972="",F972="",G972=""),"年代待核",IF($E$4&lt;E972,"未出生",IF($E$4&lt;F972,"未登场",IF($E$4&gt;G972,"已过卒年",IF($E$4=G972,"卒年边界待核","年表可登场"))))))</x:f>
        <x:v>年表可登场</x:v>
      </x:c>
      <x:c r="I972" s="12"/>
      <x:c r="J972" s="2" t="str">
        <x:v>SAN14游戏设定</x:v>
      </x:c>
      <x:c r="K972" s="2" t="str"/>
      <x:c r="L972" s="2" t="str">
        <x:v>劉理</x:v>
      </x:c>
      <x:c r="M972" s="2" t="str">
        <x:v>san14-candidate-0964</x:v>
      </x:c>
      <x:c r="N972" s="2" t="str">
        <x:v>劉理</x:v>
      </x:c>
      <x:c r="O972" s="2" t="str">
        <x:v>リュウリ</x:v>
      </x:c>
    </x:row>
    <x:row r="973" ht="23" customHeight="1">
      <x:c r="A973" s="13" t="n">
        <x:v>965</x:v>
      </x:c>
      <x:c r="B973" s="2" t="str">
        <x:v>留略</x:v>
      </x:c>
      <x:c r="C973" s="2" t="str">
        <x:v>留略</x:v>
      </x:c>
      <x:c r="D973" s="2" t="str"/>
      <x:c r="E973" s="13" t="n">
        <x:v>212</x:v>
      </x:c>
      <x:c r="F973" s="13" t="n">
        <x:v>226</x:v>
      </x:c>
      <x:c r="G973" s="13" t="n">
        <x:v>279</x:v>
      </x:c>
      <x:c r="H973" s="2" t="str">
        <x:f>IF(OR($E$4="",NOT(ISNUMBER($E$4)),$E$4&lt;1,$E$4&gt;400),"参考年待填",IF(OR(E973="",F973="",G973=""),"年代待核",IF($E$4&lt;E973,"未出生",IF($E$4&lt;F973,"未登场",IF($E$4&gt;G973,"已过卒年",IF($E$4=G973,"卒年边界待核","年表可登场"))))))</x:f>
        <x:v>年表可登场</x:v>
      </x:c>
      <x:c r="I973" s="12"/>
      <x:c r="J973" s="2" t="str">
        <x:v>SAN14游戏设定</x:v>
      </x:c>
      <x:c r="K973" s="2" t="str"/>
      <x:c r="L973" s="2" t="str">
        <x:v>留略</x:v>
      </x:c>
      <x:c r="M973" s="2" t="str">
        <x:v>san14-candidate-0965</x:v>
      </x:c>
      <x:c r="N973" s="2" t="str">
        <x:v>留略</x:v>
      </x:c>
      <x:c r="O973" s="2" t="str">
        <x:v>リュウリャク</x:v>
      </x:c>
    </x:row>
    <x:row r="974" ht="23" customHeight="1">
      <x:c r="A974" s="13" t="n">
        <x:v>966</x:v>
      </x:c>
      <x:c r="B974" s="2" t="str">
        <x:v>吕威璜</x:v>
      </x:c>
      <x:c r="C974" s="2" t="str">
        <x:v>呂威璜</x:v>
      </x:c>
      <x:c r="D974" s="2" t="str"/>
      <x:c r="E974" s="13" t="n">
        <x:v>159</x:v>
      </x:c>
      <x:c r="F974" s="13" t="n">
        <x:v>188</x:v>
      </x:c>
      <x:c r="G974" s="13" t="n">
        <x:v>200</x:v>
      </x:c>
      <x:c r="H974" s="2" t="str">
        <x:f>IF(OR($E$4="",NOT(ISNUMBER($E$4)),$E$4&lt;1,$E$4&gt;400),"参考年待填",IF(OR(E974="",F974="",G974=""),"年代待核",IF($E$4&lt;E974,"未出生",IF($E$4&lt;F974,"未登场",IF($E$4&gt;G974,"已过卒年",IF($E$4=G974,"卒年边界待核","年表可登场"))))))</x:f>
        <x:v>已过卒年</x:v>
      </x:c>
      <x:c r="I974" s="12"/>
      <x:c r="J974" s="2" t="str">
        <x:v>SAN14游戏设定</x:v>
      </x:c>
      <x:c r="K974" s="2" t="str"/>
      <x:c r="L974" s="2" t="str">
        <x:v>呂威璜</x:v>
      </x:c>
      <x:c r="M974" s="2" t="str">
        <x:v>san14-candidate-0966</x:v>
      </x:c>
      <x:c r="N974" s="2" t="str">
        <x:v>呂威コウ</x:v>
      </x:c>
      <x:c r="O974" s="2" t="str">
        <x:v>リョイコウ</x:v>
      </x:c>
    </x:row>
    <x:row r="975" ht="23" customHeight="1">
      <x:c r="A975" s="13" t="n">
        <x:v>967</x:v>
      </x:c>
      <x:c r="B975" s="2" t="str">
        <x:v>吕壹</x:v>
      </x:c>
      <x:c r="C975" s="2" t="str">
        <x:v>呂壹</x:v>
      </x:c>
      <x:c r="D975" s="2" t="str"/>
      <x:c r="E975" s="13" t="n">
        <x:v>198</x:v>
      </x:c>
      <x:c r="F975" s="13" t="n">
        <x:v>217</x:v>
      </x:c>
      <x:c r="G975" s="13" t="n">
        <x:v>238</x:v>
      </x:c>
      <x:c r="H975" s="2" t="str">
        <x:f>IF(OR($E$4="",NOT(ISNUMBER($E$4)),$E$4&lt;1,$E$4&gt;400),"参考年待填",IF(OR(E975="",F975="",G975=""),"年代待核",IF($E$4&lt;E975,"未出生",IF($E$4&lt;F975,"未登场",IF($E$4&gt;G975,"已过卒年",IF($E$4=G975,"卒年边界待核","年表可登场"))))))</x:f>
        <x:v>年表可登场</x:v>
      </x:c>
      <x:c r="I975" s="12"/>
      <x:c r="J975" s="2" t="str">
        <x:v>SAN14游戏设定</x:v>
      </x:c>
      <x:c r="K975" s="2" t="str"/>
      <x:c r="L975" s="2" t="str">
        <x:v>呂壹</x:v>
      </x:c>
      <x:c r="M975" s="2" t="str">
        <x:v>san14-candidate-0967</x:v>
      </x:c>
      <x:c r="N975" s="2" t="str">
        <x:v>呂壱</x:v>
      </x:c>
      <x:c r="O975" s="2" t="str">
        <x:v>リョイツ</x:v>
      </x:c>
    </x:row>
    <x:row r="976" ht="23" customHeight="1">
      <x:c r="A976" s="13" t="n">
        <x:v>968</x:v>
      </x:c>
      <x:c r="B976" s="2" t="str">
        <x:v>廖化</x:v>
      </x:c>
      <x:c r="C976" s="2" t="str">
        <x:v>廖化</x:v>
      </x:c>
      <x:c r="D976" s="2" t="str"/>
      <x:c r="E976" s="13" t="n">
        <x:v>170</x:v>
      </x:c>
      <x:c r="F976" s="13" t="n">
        <x:v>184</x:v>
      </x:c>
      <x:c r="G976" s="13" t="n">
        <x:v>264</x:v>
      </x:c>
      <x:c r="H976" s="2" t="str">
        <x:f>IF(OR($E$4="",NOT(ISNUMBER($E$4)),$E$4&lt;1,$E$4&gt;400),"参考年待填",IF(OR(E976="",F976="",G976=""),"年代待核",IF($E$4&lt;E976,"未出生",IF($E$4&lt;F976,"未登场",IF($E$4&gt;G976,"已过卒年",IF($E$4=G976,"卒年边界待核","年表可登场"))))))</x:f>
        <x:v>年表可登场</x:v>
      </x:c>
      <x:c r="I976" s="12"/>
      <x:c r="J976" s="2" t="str">
        <x:v>SAN14游戏设定</x:v>
      </x:c>
      <x:c r="K976" s="2" t="str"/>
      <x:c r="L976" s="2" t="str">
        <x:v>廖化</x:v>
      </x:c>
      <x:c r="M976" s="2" t="str">
        <x:v>san14-candidate-0968</x:v>
      </x:c>
      <x:c r="N976" s="2" t="str">
        <x:v>廖化</x:v>
      </x:c>
      <x:c r="O976" s="2" t="str">
        <x:v>リョウカ</x:v>
      </x:c>
    </x:row>
    <x:row r="977" ht="23" customHeight="1">
      <x:c r="A977" s="13" t="n">
        <x:v>969</x:v>
      </x:c>
      <x:c r="B977" s="2" t="str">
        <x:v>梁兴</x:v>
      </x:c>
      <x:c r="C977" s="2" t="str">
        <x:v>梁興</x:v>
      </x:c>
      <x:c r="D977" s="2" t="str"/>
      <x:c r="E977" s="13" t="n">
        <x:v>169</x:v>
      </x:c>
      <x:c r="F977" s="13" t="n">
        <x:v>188</x:v>
      </x:c>
      <x:c r="G977" s="13" t="n">
        <x:v>211</x:v>
      </x:c>
      <x:c r="H977" s="2" t="str">
        <x:f>IF(OR($E$4="",NOT(ISNUMBER($E$4)),$E$4&lt;1,$E$4&gt;400),"参考年待填",IF(OR(E977="",F977="",G977=""),"年代待核",IF($E$4&lt;E977,"未出生",IF($E$4&lt;F977,"未登场",IF($E$4&gt;G977,"已过卒年",IF($E$4=G977,"卒年边界待核","年表可登场"))))))</x:f>
        <x:v>已过卒年</x:v>
      </x:c>
      <x:c r="I977" s="12"/>
      <x:c r="J977" s="2" t="str">
        <x:v>SAN14游戏设定</x:v>
      </x:c>
      <x:c r="K977" s="2" t="str"/>
      <x:c r="L977" s="2" t="str">
        <x:v>梁興</x:v>
      </x:c>
      <x:c r="M977" s="2" t="str">
        <x:v>san14-candidate-0969</x:v>
      </x:c>
      <x:c r="N977" s="2" t="str">
        <x:v>梁興</x:v>
      </x:c>
      <x:c r="O977" s="2" t="str">
        <x:v>リョウコウ</x:v>
      </x:c>
    </x:row>
    <x:row r="978" ht="23" customHeight="1">
      <x:c r="A978" s="13" t="n">
        <x:v>970</x:v>
      </x:c>
      <x:c r="B978" s="2" t="str">
        <x:v>梁纲</x:v>
      </x:c>
      <x:c r="C978" s="2" t="str">
        <x:v>梁綱</x:v>
      </x:c>
      <x:c r="D978" s="2" t="str"/>
      <x:c r="E978" s="13" t="n">
        <x:v>160</x:v>
      </x:c>
      <x:c r="F978" s="13" t="n">
        <x:v>184</x:v>
      </x:c>
      <x:c r="G978" s="13" t="n">
        <x:v>199</x:v>
      </x:c>
      <x:c r="H978" s="2" t="str">
        <x:f>IF(OR($E$4="",NOT(ISNUMBER($E$4)),$E$4&lt;1,$E$4&gt;400),"参考年待填",IF(OR(E978="",F978="",G978=""),"年代待核",IF($E$4&lt;E978,"未出生",IF($E$4&lt;F978,"未登场",IF($E$4&gt;G978,"已过卒年",IF($E$4=G978,"卒年边界待核","年表可登场"))))))</x:f>
        <x:v>已过卒年</x:v>
      </x:c>
      <x:c r="I978" s="12"/>
      <x:c r="J978" s="2" t="str">
        <x:v>SAN14游戏设定</x:v>
      </x:c>
      <x:c r="K978" s="2" t="str"/>
      <x:c r="L978" s="2" t="str">
        <x:v>梁綱</x:v>
      </x:c>
      <x:c r="M978" s="2" t="str">
        <x:v>san14-candidate-0970</x:v>
      </x:c>
      <x:c r="N978" s="2" t="str">
        <x:v>梁綱</x:v>
      </x:c>
      <x:c r="O978" s="2" t="str">
        <x:v>リョウコウ</x:v>
      </x:c>
    </x:row>
    <x:row r="979" ht="23" customHeight="1">
      <x:c r="A979" s="13" t="n">
        <x:v>971</x:v>
      </x:c>
      <x:c r="B979" s="2" t="str">
        <x:v>梁习</x:v>
      </x:c>
      <x:c r="C979" s="2" t="str">
        <x:v>梁習</x:v>
      </x:c>
      <x:c r="D979" s="2" t="str"/>
      <x:c r="E979" s="13" t="n">
        <x:v>168</x:v>
      </x:c>
      <x:c r="F979" s="13" t="n">
        <x:v>187</x:v>
      </x:c>
      <x:c r="G979" s="13" t="n">
        <x:v>230</x:v>
      </x:c>
      <x:c r="H979" s="2" t="str">
        <x:f>IF(OR($E$4="",NOT(ISNUMBER($E$4)),$E$4&lt;1,$E$4&gt;400),"参考年待填",IF(OR(E979="",F979="",G979=""),"年代待核",IF($E$4&lt;E979,"未出生",IF($E$4&lt;F979,"未登场",IF($E$4&gt;G979,"已过卒年",IF($E$4=G979,"卒年边界待核","年表可登场"))))))</x:f>
        <x:v>卒年边界待核</x:v>
      </x:c>
      <x:c r="I979" s="12"/>
      <x:c r="J979" s="2" t="str">
        <x:v>SAN14游戏设定</x:v>
      </x:c>
      <x:c r="K979" s="2" t="str"/>
      <x:c r="L979" s="2" t="str">
        <x:v>梁習</x:v>
      </x:c>
      <x:c r="M979" s="2" t="str">
        <x:v>san14-candidate-0971</x:v>
      </x:c>
      <x:c r="N979" s="2" t="str">
        <x:v>梁習</x:v>
      </x:c>
      <x:c r="O979" s="2" t="str">
        <x:v>リョウシュウ</x:v>
      </x:c>
    </x:row>
    <x:row r="980" ht="23" customHeight="1">
      <x:c r="A980" s="13" t="n">
        <x:v>972</x:v>
      </x:c>
      <x:c r="B980" s="2" t="str">
        <x:v>梁绪</x:v>
      </x:c>
      <x:c r="C980" s="2" t="str">
        <x:v>梁緒</x:v>
      </x:c>
      <x:c r="D980" s="2" t="str"/>
      <x:c r="E980" s="13" t="n">
        <x:v>198</x:v>
      </x:c>
      <x:c r="F980" s="13" t="n">
        <x:v>217</x:v>
      </x:c>
      <x:c r="G980" s="13" t="n">
        <x:v>260</x:v>
      </x:c>
      <x:c r="H980" s="2" t="str">
        <x:f>IF(OR($E$4="",NOT(ISNUMBER($E$4)),$E$4&lt;1,$E$4&gt;400),"参考年待填",IF(OR(E980="",F980="",G980=""),"年代待核",IF($E$4&lt;E980,"未出生",IF($E$4&lt;F980,"未登场",IF($E$4&gt;G980,"已过卒年",IF($E$4=G980,"卒年边界待核","年表可登场"))))))</x:f>
        <x:v>年表可登场</x:v>
      </x:c>
      <x:c r="I980" s="12"/>
      <x:c r="J980" s="2" t="str">
        <x:v>SAN14游戏设定</x:v>
      </x:c>
      <x:c r="K980" s="2" t="str"/>
      <x:c r="L980" s="2" t="str">
        <x:v>梁緒</x:v>
      </x:c>
      <x:c r="M980" s="2" t="str">
        <x:v>san14-candidate-0972</x:v>
      </x:c>
      <x:c r="N980" s="2" t="str">
        <x:v>梁緒</x:v>
      </x:c>
      <x:c r="O980" s="2" t="str">
        <x:v>リョウショ</x:v>
      </x:c>
    </x:row>
    <x:row r="981" ht="23" customHeight="1">
      <x:c r="A981" s="13" t="n">
        <x:v>973</x:v>
      </x:c>
      <x:c r="B981" s="2" t="str">
        <x:v>凌操</x:v>
      </x:c>
      <x:c r="C981" s="2" t="str">
        <x:v>凌操</x:v>
      </x:c>
      <x:c r="D981" s="2" t="str"/>
      <x:c r="E981" s="13" t="n">
        <x:v>165</x:v>
      </x:c>
      <x:c r="F981" s="13" t="n">
        <x:v>184</x:v>
      </x:c>
      <x:c r="G981" s="13" t="n">
        <x:v>203</x:v>
      </x:c>
      <x:c r="H981" s="2" t="str">
        <x:f>IF(OR($E$4="",NOT(ISNUMBER($E$4)),$E$4&lt;1,$E$4&gt;400),"参考年待填",IF(OR(E981="",F981="",G981=""),"年代待核",IF($E$4&lt;E981,"未出生",IF($E$4&lt;F981,"未登场",IF($E$4&gt;G981,"已过卒年",IF($E$4=G981,"卒年边界待核","年表可登场"))))))</x:f>
        <x:v>已过卒年</x:v>
      </x:c>
      <x:c r="I981" s="12"/>
      <x:c r="J981" s="2" t="str">
        <x:v>SAN14游戏设定</x:v>
      </x:c>
      <x:c r="K981" s="2" t="str"/>
      <x:c r="L981" s="2" t="str">
        <x:v>凌操</x:v>
      </x:c>
      <x:c r="M981" s="2" t="str">
        <x:v>san14-candidate-0973</x:v>
      </x:c>
      <x:c r="N981" s="2" t="str">
        <x:v>凌操</x:v>
      </x:c>
      <x:c r="O981" s="2" t="str">
        <x:v>リョウソウ</x:v>
      </x:c>
    </x:row>
    <x:row r="982" ht="23" customHeight="1">
      <x:c r="A982" s="13" t="n">
        <x:v>974</x:v>
      </x:c>
      <x:c r="B982" s="2" t="str">
        <x:v>凌统</x:v>
      </x:c>
      <x:c r="C982" s="2" t="str">
        <x:v>凌統</x:v>
      </x:c>
      <x:c r="D982" s="2" t="str"/>
      <x:c r="E982" s="13" t="n">
        <x:v>189</x:v>
      </x:c>
      <x:c r="F982" s="13" t="n">
        <x:v>203</x:v>
      </x:c>
      <x:c r="G982" s="13" t="n">
        <x:v>237</x:v>
      </x:c>
      <x:c r="H982" s="2" t="str">
        <x:f>IF(OR($E$4="",NOT(ISNUMBER($E$4)),$E$4&lt;1,$E$4&gt;400),"参考年待填",IF(OR(E982="",F982="",G982=""),"年代待核",IF($E$4&lt;E982,"未出生",IF($E$4&lt;F982,"未登场",IF($E$4&gt;G982,"已过卒年",IF($E$4=G982,"卒年边界待核","年表可登场"))))))</x:f>
        <x:v>年表可登场</x:v>
      </x:c>
      <x:c r="I982" s="12"/>
      <x:c r="J982" s="2" t="str">
        <x:v>SAN14游戏设定</x:v>
      </x:c>
      <x:c r="K982" s="2" t="str"/>
      <x:c r="L982" s="2" t="str">
        <x:v>凌統</x:v>
      </x:c>
      <x:c r="M982" s="2" t="str">
        <x:v>san14-candidate-0974</x:v>
      </x:c>
      <x:c r="N982" s="2" t="str">
        <x:v>凌統</x:v>
      </x:c>
      <x:c r="O982" s="2" t="str">
        <x:v>リョウトウ</x:v>
      </x:c>
    </x:row>
    <x:row r="983" ht="23" customHeight="1">
      <x:c r="A983" s="13" t="n">
        <x:v>975</x:v>
      </x:c>
      <x:c r="B983" s="2" t="str">
        <x:v>凉茂</x:v>
      </x:c>
      <x:c r="C983" s="2" t="str">
        <x:v>涼茂</x:v>
      </x:c>
      <x:c r="D983" s="2" t="str"/>
      <x:c r="E983" s="13" t="n">
        <x:v>175</x:v>
      </x:c>
      <x:c r="F983" s="13" t="n">
        <x:v>194</x:v>
      </x:c>
      <x:c r="G983" s="13" t="n">
        <x:v>219</x:v>
      </x:c>
      <x:c r="H983" s="2" t="str">
        <x:f>IF(OR($E$4="",NOT(ISNUMBER($E$4)),$E$4&lt;1,$E$4&gt;400),"参考年待填",IF(OR(E983="",F983="",G983=""),"年代待核",IF($E$4&lt;E983,"未出生",IF($E$4&lt;F983,"未登场",IF($E$4&gt;G983,"已过卒年",IF($E$4=G983,"卒年边界待核","年表可登场"))))))</x:f>
        <x:v>已过卒年</x:v>
      </x:c>
      <x:c r="I983" s="12"/>
      <x:c r="J983" s="2" t="str">
        <x:v>SAN14游戏设定</x:v>
      </x:c>
      <x:c r="K983" s="2" t="str"/>
      <x:c r="L983" s="2" t="str">
        <x:v>涼茂</x:v>
      </x:c>
      <x:c r="M983" s="2" t="str">
        <x:v>san14-candidate-0975</x:v>
      </x:c>
      <x:c r="N983" s="2" t="str">
        <x:v>涼茂</x:v>
      </x:c>
      <x:c r="O983" s="2" t="str">
        <x:v>リョウモ</x:v>
      </x:c>
    </x:row>
    <x:row r="984" ht="23" customHeight="1">
      <x:c r="A984" s="13" t="n">
        <x:v>976</x:v>
      </x:c>
      <x:c r="B984" s="2" t="str">
        <x:v>廖立</x:v>
      </x:c>
      <x:c r="C984" s="2" t="str">
        <x:v>廖立</x:v>
      </x:c>
      <x:c r="D984" s="2" t="str"/>
      <x:c r="E984" s="13" t="n">
        <x:v>181</x:v>
      </x:c>
      <x:c r="F984" s="13" t="n">
        <x:v>200</x:v>
      </x:c>
      <x:c r="G984" s="13" t="n">
        <x:v>250</x:v>
      </x:c>
      <x:c r="H984" s="2" t="str">
        <x:f>IF(OR($E$4="",NOT(ISNUMBER($E$4)),$E$4&lt;1,$E$4&gt;400),"参考年待填",IF(OR(E984="",F984="",G984=""),"年代待核",IF($E$4&lt;E984,"未出生",IF($E$4&lt;F984,"未登场",IF($E$4&gt;G984,"已过卒年",IF($E$4=G984,"卒年边界待核","年表可登场"))))))</x:f>
        <x:v>年表可登场</x:v>
      </x:c>
      <x:c r="I984" s="12"/>
      <x:c r="J984" s="2" t="str">
        <x:v>SAN14游戏设定</x:v>
      </x:c>
      <x:c r="K984" s="2" t="str"/>
      <x:c r="L984" s="2" t="str">
        <x:v>廖立</x:v>
      </x:c>
      <x:c r="M984" s="2" t="str">
        <x:v>san14-candidate-0976</x:v>
      </x:c>
      <x:c r="N984" s="2" t="str">
        <x:v>廖立</x:v>
      </x:c>
      <x:c r="O984" s="2" t="str">
        <x:v>リョウリツ</x:v>
      </x:c>
    </x:row>
    <x:row r="985" ht="23" customHeight="1">
      <x:c r="A985" s="13" t="n">
        <x:v>977</x:v>
      </x:c>
      <x:c r="B985" s="2" t="str">
        <x:v>吕凯</x:v>
      </x:c>
      <x:c r="C985" s="2" t="str">
        <x:v>呂凱</x:v>
      </x:c>
      <x:c r="D985" s="2" t="str"/>
      <x:c r="E985" s="13" t="n">
        <x:v>190</x:v>
      </x:c>
      <x:c r="F985" s="13" t="n">
        <x:v>214</x:v>
      </x:c>
      <x:c r="G985" s="13" t="n">
        <x:v>227</x:v>
      </x:c>
      <x:c r="H985" s="2" t="str">
        <x:f>IF(OR($E$4="",NOT(ISNUMBER($E$4)),$E$4&lt;1,$E$4&gt;400),"参考年待填",IF(OR(E985="",F985="",G985=""),"年代待核",IF($E$4&lt;E985,"未出生",IF($E$4&lt;F985,"未登场",IF($E$4&gt;G985,"已过卒年",IF($E$4=G985,"卒年边界待核","年表可登场"))))))</x:f>
        <x:v>已过卒年</x:v>
      </x:c>
      <x:c r="I985" s="12"/>
      <x:c r="J985" s="2" t="str">
        <x:v>SAN14游戏设定</x:v>
      </x:c>
      <x:c r="K985" s="2" t="str"/>
      <x:c r="L985" s="2" t="str">
        <x:v>呂凱</x:v>
      </x:c>
      <x:c r="M985" s="2" t="str">
        <x:v>san14-candidate-0977</x:v>
      </x:c>
      <x:c r="N985" s="2" t="str">
        <x:v>呂凱</x:v>
      </x:c>
      <x:c r="O985" s="2" t="str">
        <x:v>リョガイ</x:v>
      </x:c>
    </x:row>
    <x:row r="986" ht="23" customHeight="1">
      <x:c r="A986" s="13" t="n">
        <x:v>978</x:v>
      </x:c>
      <x:c r="B986" s="2" t="str">
        <x:v>吕乂</x:v>
      </x:c>
      <x:c r="C986" s="2" t="str">
        <x:v>呂乂</x:v>
      </x:c>
      <x:c r="D986" s="2" t="str"/>
      <x:c r="E986" s="13" t="n">
        <x:v>182</x:v>
      </x:c>
      <x:c r="F986" s="13" t="n">
        <x:v>206</x:v>
      </x:c>
      <x:c r="G986" s="13" t="n">
        <x:v>251</x:v>
      </x:c>
      <x:c r="H986" s="2" t="str">
        <x:f>IF(OR($E$4="",NOT(ISNUMBER($E$4)),$E$4&lt;1,$E$4&gt;400),"参考年待填",IF(OR(E986="",F986="",G986=""),"年代待核",IF($E$4&lt;E986,"未出生",IF($E$4&lt;F986,"未登场",IF($E$4&gt;G986,"已过卒年",IF($E$4=G986,"卒年边界待核","年表可登场"))))))</x:f>
        <x:v>年表可登场</x:v>
      </x:c>
      <x:c r="I986" s="12"/>
      <x:c r="J986" s="2" t="str">
        <x:v>SAN14游戏设定</x:v>
      </x:c>
      <x:c r="K986" s="2" t="str"/>
      <x:c r="L986" s="2" t="str">
        <x:v>呂乂</x:v>
      </x:c>
      <x:c r="M986" s="2" t="str">
        <x:v>san14-candidate-0978</x:v>
      </x:c>
      <x:c r="N986" s="2" t="str">
        <x:v>呂乂</x:v>
      </x:c>
      <x:c r="O986" s="2" t="str">
        <x:v>リョガイ</x:v>
      </x:c>
    </x:row>
    <x:row r="987" ht="23" customHeight="1">
      <x:c r="A987" s="13" t="n">
        <x:v>979</x:v>
      </x:c>
      <x:c r="B987" s="2" t="str">
        <x:v>吕据</x:v>
      </x:c>
      <x:c r="C987" s="2" t="str">
        <x:v>呂據</x:v>
      </x:c>
      <x:c r="D987" s="2" t="str"/>
      <x:c r="E987" s="13" t="n">
        <x:v>196</x:v>
      </x:c>
      <x:c r="F987" s="13" t="n">
        <x:v>210</x:v>
      </x:c>
      <x:c r="G987" s="13" t="n">
        <x:v>256</x:v>
      </x:c>
      <x:c r="H987" s="2" t="str">
        <x:f>IF(OR($E$4="",NOT(ISNUMBER($E$4)),$E$4&lt;1,$E$4&gt;400),"参考年待填",IF(OR(E987="",F987="",G987=""),"年代待核",IF($E$4&lt;E987,"未出生",IF($E$4&lt;F987,"未登场",IF($E$4&gt;G987,"已过卒年",IF($E$4=G987,"卒年边界待核","年表可登场"))))))</x:f>
        <x:v>年表可登场</x:v>
      </x:c>
      <x:c r="I987" s="12"/>
      <x:c r="J987" s="2" t="str">
        <x:v>SAN14游戏设定</x:v>
      </x:c>
      <x:c r="K987" s="2" t="str"/>
      <x:c r="L987" s="2" t="str">
        <x:v>呂據</x:v>
      </x:c>
      <x:c r="M987" s="2" t="str">
        <x:v>san14-candidate-0979</x:v>
      </x:c>
      <x:c r="N987" s="2" t="str">
        <x:v>呂拠</x:v>
      </x:c>
      <x:c r="O987" s="2" t="str">
        <x:v>リョキョ</x:v>
      </x:c>
    </x:row>
    <x:row r="988" ht="23" customHeight="1">
      <x:c r="A988" s="13" t="n">
        <x:v>980</x:v>
      </x:c>
      <x:c r="B988" s="2" t="str">
        <x:v>吕虔</x:v>
      </x:c>
      <x:c r="C988" s="2" t="str">
        <x:v>呂虔</x:v>
      </x:c>
      <x:c r="D988" s="2" t="str"/>
      <x:c r="E988" s="13" t="n">
        <x:v>173</x:v>
      </x:c>
      <x:c r="F988" s="13" t="n">
        <x:v>192</x:v>
      </x:c>
      <x:c r="G988" s="13" t="n">
        <x:v>247</x:v>
      </x:c>
      <x:c r="H988" s="2" t="str">
        <x:f>IF(OR($E$4="",NOT(ISNUMBER($E$4)),$E$4&lt;1,$E$4&gt;400),"参考年待填",IF(OR(E988="",F988="",G988=""),"年代待核",IF($E$4&lt;E988,"未出生",IF($E$4&lt;F988,"未登场",IF($E$4&gt;G988,"已过卒年",IF($E$4=G988,"卒年边界待核","年表可登场"))))))</x:f>
        <x:v>年表可登场</x:v>
      </x:c>
      <x:c r="I988" s="12"/>
      <x:c r="J988" s="2" t="str">
        <x:v>SAN14游戏设定</x:v>
      </x:c>
      <x:c r="K988" s="2" t="str"/>
      <x:c r="L988" s="2" t="str">
        <x:v>呂虔</x:v>
      </x:c>
      <x:c r="M988" s="2" t="str">
        <x:v>san14-candidate-0980</x:v>
      </x:c>
      <x:c r="N988" s="2" t="str">
        <x:v>呂虔</x:v>
      </x:c>
      <x:c r="O988" s="2" t="str">
        <x:v>リョケン</x:v>
      </x:c>
    </x:row>
    <x:row r="989" ht="23" customHeight="1">
      <x:c r="A989" s="13" t="n">
        <x:v>981</x:v>
      </x:c>
      <x:c r="B989" s="2" t="str">
        <x:v>吕建</x:v>
      </x:c>
      <x:c r="C989" s="2" t="str">
        <x:v>呂建</x:v>
      </x:c>
      <x:c r="D989" s="2" t="str"/>
      <x:c r="E989" s="13" t="n">
        <x:v>182</x:v>
      </x:c>
      <x:c r="F989" s="13" t="n">
        <x:v>201</x:v>
      </x:c>
      <x:c r="G989" s="13" t="n">
        <x:v>231</x:v>
      </x:c>
      <x:c r="H989" s="2" t="str">
        <x:f>IF(OR($E$4="",NOT(ISNUMBER($E$4)),$E$4&lt;1,$E$4&gt;400),"参考年待填",IF(OR(E989="",F989="",G989=""),"年代待核",IF($E$4&lt;E989,"未出生",IF($E$4&lt;F989,"未登场",IF($E$4&gt;G989,"已过卒年",IF($E$4=G989,"卒年边界待核","年表可登场"))))))</x:f>
        <x:v>年表可登场</x:v>
      </x:c>
      <x:c r="I989" s="12"/>
      <x:c r="J989" s="2" t="str">
        <x:v>SAN14游戏设定</x:v>
      </x:c>
      <x:c r="K989" s="2" t="str"/>
      <x:c r="L989" s="2" t="str">
        <x:v>呂建</x:v>
      </x:c>
      <x:c r="M989" s="2" t="str">
        <x:v>san14-candidate-0981</x:v>
      </x:c>
      <x:c r="N989" s="2" t="str">
        <x:v>呂建</x:v>
      </x:c>
      <x:c r="O989" s="2" t="str">
        <x:v>リョケン</x:v>
      </x:c>
    </x:row>
    <x:row r="990" ht="23" customHeight="1">
      <x:c r="A990" s="13" t="n">
        <x:v>982</x:v>
      </x:c>
      <x:c r="B990" s="2" t="str">
        <x:v>吕公</x:v>
      </x:c>
      <x:c r="C990" s="2" t="str">
        <x:v>呂公</x:v>
      </x:c>
      <x:c r="D990" s="2" t="str"/>
      <x:c r="E990" s="13" t="n">
        <x:v>160</x:v>
      </x:c>
      <x:c r="F990" s="13" t="n">
        <x:v>184</x:v>
      </x:c>
      <x:c r="G990" s="13" t="n">
        <x:v>192</x:v>
      </x:c>
      <x:c r="H990" s="2" t="str">
        <x:f>IF(OR($E$4="",NOT(ISNUMBER($E$4)),$E$4&lt;1,$E$4&gt;400),"参考年待填",IF(OR(E990="",F990="",G990=""),"年代待核",IF($E$4&lt;E990,"未出生",IF($E$4&lt;F990,"未登场",IF($E$4&gt;G990,"已过卒年",IF($E$4=G990,"卒年边界待核","年表可登场"))))))</x:f>
        <x:v>已过卒年</x:v>
      </x:c>
      <x:c r="I990" s="12"/>
      <x:c r="J990" s="2" t="str">
        <x:v>SAN14游戏设定</x:v>
      </x:c>
      <x:c r="K990" s="2" t="str"/>
      <x:c r="L990" s="2" t="str">
        <x:v>呂公</x:v>
      </x:c>
      <x:c r="M990" s="2" t="str">
        <x:v>san14-candidate-0982</x:v>
      </x:c>
      <x:c r="N990" s="2" t="str">
        <x:v>呂公</x:v>
      </x:c>
      <x:c r="O990" s="2" t="str">
        <x:v>リョコウ</x:v>
      </x:c>
    </x:row>
    <x:row r="991" ht="23" customHeight="1">
      <x:c r="A991" s="13" t="n">
        <x:v>983</x:v>
      </x:c>
      <x:c r="B991" s="2" t="str">
        <x:v>吕旷</x:v>
      </x:c>
      <x:c r="C991" s="2" t="str">
        <x:v>呂曠</x:v>
      </x:c>
      <x:c r="D991" s="2" t="str"/>
      <x:c r="E991" s="13" t="n">
        <x:v>162</x:v>
      </x:c>
      <x:c r="F991" s="13" t="n">
        <x:v>184</x:v>
      </x:c>
      <x:c r="G991" s="13" t="n">
        <x:v>207</x:v>
      </x:c>
      <x:c r="H991" s="2" t="str">
        <x:f>IF(OR($E$4="",NOT(ISNUMBER($E$4)),$E$4&lt;1,$E$4&gt;400),"参考年待填",IF(OR(E991="",F991="",G991=""),"年代待核",IF($E$4&lt;E991,"未出生",IF($E$4&lt;F991,"未登场",IF($E$4&gt;G991,"已过卒年",IF($E$4=G991,"卒年边界待核","年表可登场"))))))</x:f>
        <x:v>已过卒年</x:v>
      </x:c>
      <x:c r="I991" s="12"/>
      <x:c r="J991" s="2" t="str">
        <x:v>SAN14游戏设定</x:v>
      </x:c>
      <x:c r="K991" s="2" t="str"/>
      <x:c r="L991" s="2" t="str">
        <x:v>呂曠</x:v>
      </x:c>
      <x:c r="M991" s="2" t="str">
        <x:v>san14-candidate-0983</x:v>
      </x:c>
      <x:c r="N991" s="2" t="str">
        <x:v>呂曠</x:v>
      </x:c>
      <x:c r="O991" s="2" t="str">
        <x:v>リョコウ</x:v>
      </x:c>
    </x:row>
    <x:row r="992" ht="23" customHeight="1">
      <x:c r="A992" s="13" t="n">
        <x:v>984</x:v>
      </x:c>
      <x:c r="B992" s="2" t="str">
        <x:v>吕翔</x:v>
      </x:c>
      <x:c r="C992" s="2" t="str">
        <x:v>呂翔</x:v>
      </x:c>
      <x:c r="D992" s="2" t="str"/>
      <x:c r="E992" s="13" t="n">
        <x:v>164</x:v>
      </x:c>
      <x:c r="F992" s="13" t="n">
        <x:v>184</x:v>
      </x:c>
      <x:c r="G992" s="13" t="n">
        <x:v>207</x:v>
      </x:c>
      <x:c r="H992" s="2" t="str">
        <x:f>IF(OR($E$4="",NOT(ISNUMBER($E$4)),$E$4&lt;1,$E$4&gt;400),"参考年待填",IF(OR(E992="",F992="",G992=""),"年代待核",IF($E$4&lt;E992,"未出生",IF($E$4&lt;F992,"未登场",IF($E$4&gt;G992,"已过卒年",IF($E$4=G992,"卒年边界待核","年表可登场"))))))</x:f>
        <x:v>已过卒年</x:v>
      </x:c>
      <x:c r="I992" s="12"/>
      <x:c r="J992" s="2" t="str">
        <x:v>SAN14游戏设定</x:v>
      </x:c>
      <x:c r="K992" s="2" t="str"/>
      <x:c r="L992" s="2" t="str">
        <x:v>呂翔</x:v>
      </x:c>
      <x:c r="M992" s="2" t="str">
        <x:v>san14-candidate-0984</x:v>
      </x:c>
      <x:c r="N992" s="2" t="str">
        <x:v>呂翔</x:v>
      </x:c>
      <x:c r="O992" s="2" t="str">
        <x:v>リョショウ</x:v>
      </x:c>
    </x:row>
    <x:row r="993" ht="23" customHeight="1">
      <x:c r="A993" s="13" t="n">
        <x:v>985</x:v>
      </x:c>
      <x:c r="B993" s="2" t="str">
        <x:v>吕岱</x:v>
      </x:c>
      <x:c r="C993" s="2" t="str">
        <x:v>呂岱</x:v>
      </x:c>
      <x:c r="D993" s="2" t="str"/>
      <x:c r="E993" s="13" t="n">
        <x:v>161</x:v>
      </x:c>
      <x:c r="F993" s="13" t="n">
        <x:v>184</x:v>
      </x:c>
      <x:c r="G993" s="13" t="n">
        <x:v>256</x:v>
      </x:c>
      <x:c r="H993" s="2" t="str">
        <x:f>IF(OR($E$4="",NOT(ISNUMBER($E$4)),$E$4&lt;1,$E$4&gt;400),"参考年待填",IF(OR(E993="",F993="",G993=""),"年代待核",IF($E$4&lt;E993,"未出生",IF($E$4&lt;F993,"未登场",IF($E$4&gt;G993,"已过卒年",IF($E$4=G993,"卒年边界待核","年表可登场"))))))</x:f>
        <x:v>年表可登场</x:v>
      </x:c>
      <x:c r="I993" s="12"/>
      <x:c r="J993" s="2" t="str">
        <x:v>SAN14游戏设定</x:v>
      </x:c>
      <x:c r="K993" s="2" t="str"/>
      <x:c r="L993" s="2" t="str">
        <x:v>呂岱</x:v>
      </x:c>
      <x:c r="M993" s="2" t="str">
        <x:v>san14-candidate-0985</x:v>
      </x:c>
      <x:c r="N993" s="2" t="str">
        <x:v>呂岱</x:v>
      </x:c>
      <x:c r="O993" s="2" t="str">
        <x:v>リョタイ</x:v>
      </x:c>
    </x:row>
    <x:row r="994" ht="23" customHeight="1">
      <x:c r="A994" s="13" t="n">
        <x:v>986</x:v>
      </x:c>
      <x:c r="B994" s="2" t="str">
        <x:v>吕范</x:v>
      </x:c>
      <x:c r="C994" s="2" t="str">
        <x:v>呂範</x:v>
      </x:c>
      <x:c r="D994" s="2" t="str"/>
      <x:c r="E994" s="13" t="n">
        <x:v>169</x:v>
      </x:c>
      <x:c r="F994" s="13" t="n">
        <x:v>188</x:v>
      </x:c>
      <x:c r="G994" s="13" t="n">
        <x:v>228</x:v>
      </x:c>
      <x:c r="H994" s="2" t="str">
        <x:f>IF(OR($E$4="",NOT(ISNUMBER($E$4)),$E$4&lt;1,$E$4&gt;400),"参考年待填",IF(OR(E994="",F994="",G994=""),"年代待核",IF($E$4&lt;E994,"未出生",IF($E$4&lt;F994,"未登场",IF($E$4&gt;G994,"已过卒年",IF($E$4=G994,"卒年边界待核","年表可登场"))))))</x:f>
        <x:v>已过卒年</x:v>
      </x:c>
      <x:c r="I994" s="12"/>
      <x:c r="J994" s="2" t="str">
        <x:v>SAN14游戏设定</x:v>
      </x:c>
      <x:c r="K994" s="2" t="str"/>
      <x:c r="L994" s="2" t="str">
        <x:v>呂範</x:v>
      </x:c>
      <x:c r="M994" s="2" t="str">
        <x:v>san14-candidate-0986</x:v>
      </x:c>
      <x:c r="N994" s="2" t="str">
        <x:v>呂範</x:v>
      </x:c>
      <x:c r="O994" s="2" t="str">
        <x:v>リョハン</x:v>
      </x:c>
    </x:row>
    <x:row r="995" ht="23" customHeight="1">
      <x:c r="A995" s="13" t="n">
        <x:v>987</x:v>
      </x:c>
      <x:c r="B995" s="2" t="str">
        <x:v>吕布</x:v>
      </x:c>
      <x:c r="C995" s="2" t="str">
        <x:v>呂布</x:v>
      </x:c>
      <x:c r="D995" s="2" t="str"/>
      <x:c r="E995" s="13" t="n">
        <x:v>156</x:v>
      </x:c>
      <x:c r="F995" s="13" t="n">
        <x:v>184</x:v>
      </x:c>
      <x:c r="G995" s="13" t="n">
        <x:v>198</x:v>
      </x:c>
      <x:c r="H995" s="2" t="str">
        <x:f>IF(OR($E$4="",NOT(ISNUMBER($E$4)),$E$4&lt;1,$E$4&gt;400),"参考年待填",IF(OR(E995="",F995="",G995=""),"年代待核",IF($E$4&lt;E995,"未出生",IF($E$4&lt;F995,"未登场",IF($E$4&gt;G995,"已过卒年",IF($E$4=G995,"卒年边界待核","年表可登场"))))))</x:f>
        <x:v>已过卒年</x:v>
      </x:c>
      <x:c r="I995" s="12"/>
      <x:c r="J995" s="2" t="str">
        <x:v>SAN14游戏设定</x:v>
      </x:c>
      <x:c r="K995" s="2" t="str"/>
      <x:c r="L995" s="2" t="str">
        <x:v>呂布</x:v>
      </x:c>
      <x:c r="M995" s="2" t="str">
        <x:v>san14-candidate-0987</x:v>
      </x:c>
      <x:c r="N995" s="2" t="str">
        <x:v>呂布</x:v>
      </x:c>
      <x:c r="O995" s="2" t="str">
        <x:v>リョフ</x:v>
      </x:c>
    </x:row>
    <x:row r="996" ht="23" customHeight="1">
      <x:c r="A996" s="13" t="n">
        <x:v>988</x:v>
      </x:c>
      <x:c r="B996" s="2" t="str">
        <x:v>吕蒙</x:v>
      </x:c>
      <x:c r="C996" s="2" t="str">
        <x:v>呂蒙</x:v>
      </x:c>
      <x:c r="D996" s="2" t="str"/>
      <x:c r="E996" s="13" t="n">
        <x:v>178</x:v>
      </x:c>
      <x:c r="F996" s="13" t="n">
        <x:v>193</x:v>
      </x:c>
      <x:c r="G996" s="13" t="n">
        <x:v>219</x:v>
      </x:c>
      <x:c r="H996" s="2" t="str">
        <x:f>IF(OR($E$4="",NOT(ISNUMBER($E$4)),$E$4&lt;1,$E$4&gt;400),"参考年待填",IF(OR(E996="",F996="",G996=""),"年代待核",IF($E$4&lt;E996,"未出生",IF($E$4&lt;F996,"未登场",IF($E$4&gt;G996,"已过卒年",IF($E$4=G996,"卒年边界待核","年表可登场"))))))</x:f>
        <x:v>已过卒年</x:v>
      </x:c>
      <x:c r="I996" s="12"/>
      <x:c r="J996" s="2" t="str">
        <x:v>SAN14游戏设定</x:v>
      </x:c>
      <x:c r="K996" s="2" t="str"/>
      <x:c r="L996" s="2" t="str">
        <x:v>呂蒙</x:v>
      </x:c>
      <x:c r="M996" s="2" t="str">
        <x:v>san14-candidate-0988</x:v>
      </x:c>
      <x:c r="N996" s="2" t="str">
        <x:v>呂蒙</x:v>
      </x:c>
      <x:c r="O996" s="2" t="str">
        <x:v>リョモウ</x:v>
      </x:c>
    </x:row>
    <x:row r="997" ht="23" customHeight="1">
      <x:c r="A997" s="13" t="n">
        <x:v>989</x:v>
      </x:c>
      <x:c r="B997" s="2" t="str">
        <x:v>吕玲绮</x:v>
      </x:c>
      <x:c r="C997" s="2" t="str">
        <x:v>呂玲綺</x:v>
      </x:c>
      <x:c r="D997" s="2" t="str"/>
      <x:c r="E997" s="13" t="n">
        <x:v>182</x:v>
      </x:c>
      <x:c r="F997" s="13" t="n">
        <x:v>196</x:v>
      </x:c>
      <x:c r="G997" s="13" t="n">
        <x:v>198</x:v>
      </x:c>
      <x:c r="H997" s="2" t="str">
        <x:f>IF(OR($E$4="",NOT(ISNUMBER($E$4)),$E$4&lt;1,$E$4&gt;400),"参考年待填",IF(OR(E997="",F997="",G997=""),"年代待核",IF($E$4&lt;E997,"未出生",IF($E$4&lt;F997,"未登场",IF($E$4&gt;G997,"已过卒年",IF($E$4=G997,"卒年边界待核","年表可登场"))))))</x:f>
        <x:v>已过卒年</x:v>
      </x:c>
      <x:c r="I997" s="12"/>
      <x:c r="J997" s="2" t="str">
        <x:v>SAN14游戏设定</x:v>
      </x:c>
      <x:c r="K997" s="2" t="str"/>
      <x:c r="L997" s="2" t="str">
        <x:v>呂玲綺</x:v>
      </x:c>
      <x:c r="M997" s="2" t="str">
        <x:v>san14-candidate-0989</x:v>
      </x:c>
      <x:c r="N997" s="2" t="str">
        <x:v>呂玲綺</x:v>
      </x:c>
      <x:c r="O997" s="2" t="str">
        <x:v>リョレイキ</x:v>
      </x:c>
    </x:row>
    <x:row r="998" ht="23" customHeight="1">
      <x:c r="A998" s="13" t="n">
        <x:v>990</x:v>
      </x:c>
      <x:c r="B998" s="2" t="str">
        <x:v>纶直</x:v>
      </x:c>
      <x:c r="C998" s="2" t="str">
        <x:v>綸直</x:v>
      </x:c>
      <x:c r="D998" s="2" t="str"/>
      <x:c r="E998" s="13" t="n">
        <x:v>197</x:v>
      </x:c>
      <x:c r="F998" s="13" t="n">
        <x:v>216</x:v>
      </x:c>
      <x:c r="G998" s="13" t="n">
        <x:v>237</x:v>
      </x:c>
      <x:c r="H998" s="2" t="str">
        <x:f>IF(OR($E$4="",NOT(ISNUMBER($E$4)),$E$4&lt;1,$E$4&gt;400),"参考年待填",IF(OR(E998="",F998="",G998=""),"年代待核",IF($E$4&lt;E998,"未出生",IF($E$4&lt;F998,"未登场",IF($E$4&gt;G998,"已过卒年",IF($E$4=G998,"卒年边界待核","年表可登场"))))))</x:f>
        <x:v>年表可登场</x:v>
      </x:c>
      <x:c r="I998" s="12"/>
      <x:c r="J998" s="2" t="str">
        <x:v>SAN14游戏设定</x:v>
      </x:c>
      <x:c r="K998" s="2" t="str">
        <x:v>来源异写待核</x:v>
      </x:c>
      <x:c r="L998" s="2" t="str">
        <x:v>倫直</x:v>
      </x:c>
      <x:c r="M998" s="2" t="str">
        <x:v>san14-candidate-0990</x:v>
      </x:c>
      <x:c r="N998" s="2" t="str">
        <x:v>倫直</x:v>
      </x:c>
      <x:c r="O998" s="2" t="str">
        <x:v>リンチョク</x:v>
      </x:c>
    </x:row>
    <x:row r="999" ht="23" customHeight="1">
      <x:c r="A999" s="13" t="n">
        <x:v>991</x:v>
      </x:c>
      <x:c r="B999" s="2" t="str">
        <x:v>令狐愚</x:v>
      </x:c>
      <x:c r="C999" s="2" t="str">
        <x:v>令狐愚</x:v>
      </x:c>
      <x:c r="D999" s="2" t="str"/>
      <x:c r="E999" s="13" t="n">
        <x:v>194</x:v>
      </x:c>
      <x:c r="F999" s="13" t="n">
        <x:v>218</x:v>
      </x:c>
      <x:c r="G999" s="13" t="n">
        <x:v>249</x:v>
      </x:c>
      <x:c r="H999" s="2" t="str">
        <x:f>IF(OR($E$4="",NOT(ISNUMBER($E$4)),$E$4&lt;1,$E$4&gt;400),"参考年待填",IF(OR(E999="",F999="",G999=""),"年代待核",IF($E$4&lt;E999,"未出生",IF($E$4&lt;F999,"未登场",IF($E$4&gt;G999,"已过卒年",IF($E$4=G999,"卒年边界待核","年表可登场"))))))</x:f>
        <x:v>年表可登场</x:v>
      </x:c>
      <x:c r="I999" s="12"/>
      <x:c r="J999" s="2" t="str">
        <x:v>SAN14游戏设定</x:v>
      </x:c>
      <x:c r="K999" s="2" t="str"/>
      <x:c r="L999" s="2" t="str">
        <x:v>令狐愚</x:v>
      </x:c>
      <x:c r="M999" s="2" t="str">
        <x:v>san14-candidate-0991</x:v>
      </x:c>
      <x:c r="N999" s="2" t="str">
        <x:v>令狐愚</x:v>
      </x:c>
      <x:c r="O999" s="2" t="str">
        <x:v>レイコグ</x:v>
      </x:c>
    </x:row>
    <x:row r="1000" ht="23" customHeight="1">
      <x:c r="A1000" s="13" t="n">
        <x:v>992</x:v>
      </x:c>
      <x:c r="B1000" s="2" t="str">
        <x:v>冷苞</x:v>
      </x:c>
      <x:c r="C1000" s="2" t="str">
        <x:v>冷苞</x:v>
      </x:c>
      <x:c r="D1000" s="2" t="str"/>
      <x:c r="E1000" s="13" t="n">
        <x:v>176</x:v>
      </x:c>
      <x:c r="F1000" s="13" t="n">
        <x:v>205</x:v>
      </x:c>
      <x:c r="G1000" s="13" t="n">
        <x:v>214</x:v>
      </x:c>
      <x:c r="H1000" s="2" t="str">
        <x:f>IF(OR($E$4="",NOT(ISNUMBER($E$4)),$E$4&lt;1,$E$4&gt;400),"参考年待填",IF(OR(E1000="",F1000="",G1000=""),"年代待核",IF($E$4&lt;E1000,"未出生",IF($E$4&lt;F1000,"未登场",IF($E$4&gt;G1000,"已过卒年",IF($E$4=G1000,"卒年边界待核","年表可登场"))))))</x:f>
        <x:v>已过卒年</x:v>
      </x:c>
      <x:c r="I1000" s="12"/>
      <x:c r="J1000" s="2" t="str">
        <x:v>SAN14游戏设定</x:v>
      </x:c>
      <x:c r="K1000" s="2" t="str"/>
      <x:c r="L1000" s="2" t="str">
        <x:v>冷苞</x:v>
      </x:c>
      <x:c r="M1000" s="2" t="str">
        <x:v>san14-candidate-0992</x:v>
      </x:c>
      <x:c r="N1000" s="2" t="str">
        <x:v>冷苞</x:v>
      </x:c>
      <x:c r="O1000" s="2" t="str">
        <x:v>レイホウ</x:v>
      </x:c>
    </x:row>
    <x:row r="1001" ht="23" customHeight="1">
      <x:c r="A1001" s="13" t="n">
        <x:v>993</x:v>
      </x:c>
      <x:c r="B1001" s="2" t="str">
        <x:v>卢毓</x:v>
      </x:c>
      <x:c r="C1001" s="2" t="str">
        <x:v>盧毓</x:v>
      </x:c>
      <x:c r="D1001" s="2" t="str"/>
      <x:c r="E1001" s="13" t="n">
        <x:v>183</x:v>
      </x:c>
      <x:c r="F1001" s="13" t="n">
        <x:v>207</x:v>
      </x:c>
      <x:c r="G1001" s="13" t="n">
        <x:v>257</x:v>
      </x:c>
      <x:c r="H1001" s="2" t="str">
        <x:f>IF(OR($E$4="",NOT(ISNUMBER($E$4)),$E$4&lt;1,$E$4&gt;400),"参考年待填",IF(OR(E1001="",F1001="",G1001=""),"年代待核",IF($E$4&lt;E1001,"未出生",IF($E$4&lt;F1001,"未登场",IF($E$4&gt;G1001,"已过卒年",IF($E$4=G1001,"卒年边界待核","年表可登场"))))))</x:f>
        <x:v>年表可登场</x:v>
      </x:c>
      <x:c r="I1001" s="12"/>
      <x:c r="J1001" s="2" t="str">
        <x:v>SAN14游戏设定</x:v>
      </x:c>
      <x:c r="K1001" s="2" t="str"/>
      <x:c r="L1001" s="2" t="str">
        <x:v>盧毓</x:v>
      </x:c>
      <x:c r="M1001" s="2" t="str">
        <x:v>san14-candidate-0993</x:v>
      </x:c>
      <x:c r="N1001" s="2" t="str">
        <x:v>盧毓</x:v>
      </x:c>
      <x:c r="O1001" s="2" t="str">
        <x:v>ロイク</x:v>
      </x:c>
    </x:row>
    <x:row r="1002" ht="23" customHeight="1">
      <x:c r="A1002" s="13" t="n">
        <x:v>994</x:v>
      </x:c>
      <x:c r="B1002" s="2" t="str">
        <x:v>娄圭</x:v>
      </x:c>
      <x:c r="C1002" s="2" t="str">
        <x:v>婁圭</x:v>
      </x:c>
      <x:c r="D1002" s="2" t="str"/>
      <x:c r="E1002" s="13" t="n">
        <x:v>143</x:v>
      </x:c>
      <x:c r="F1002" s="13" t="n">
        <x:v>184</x:v>
      </x:c>
      <x:c r="G1002" s="13" t="n">
        <x:v>212</x:v>
      </x:c>
      <x:c r="H1002" s="2" t="str">
        <x:f>IF(OR($E$4="",NOT(ISNUMBER($E$4)),$E$4&lt;1,$E$4&gt;400),"参考年待填",IF(OR(E1002="",F1002="",G1002=""),"年代待核",IF($E$4&lt;E1002,"未出生",IF($E$4&lt;F1002,"未登场",IF($E$4&gt;G1002,"已过卒年",IF($E$4=G1002,"卒年边界待核","年表可登场"))))))</x:f>
        <x:v>已过卒年</x:v>
      </x:c>
      <x:c r="I1002" s="12"/>
      <x:c r="J1002" s="2" t="str">
        <x:v>SAN14游戏设定</x:v>
      </x:c>
      <x:c r="K1002" s="2" t="str"/>
      <x:c r="L1002" s="2" t="str">
        <x:v>婁圭</x:v>
      </x:c>
      <x:c r="M1002" s="2" t="str">
        <x:v>san14-candidate-0994</x:v>
      </x:c>
      <x:c r="N1002" s="2" t="str">
        <x:v>婁圭</x:v>
      </x:c>
      <x:c r="O1002" s="2" t="str">
        <x:v>ロウケイ</x:v>
      </x:c>
    </x:row>
    <x:row r="1003" ht="23" customHeight="1">
      <x:c r="A1003" s="13" t="n">
        <x:v>995</x:v>
      </x:c>
      <x:c r="B1003" s="2" t="str">
        <x:v>楼玄</x:v>
      </x:c>
      <x:c r="C1003" s="2" t="str">
        <x:v>樓玄</x:v>
      </x:c>
      <x:c r="D1003" s="2" t="str"/>
      <x:c r="E1003" s="13" t="n">
        <x:v>223</x:v>
      </x:c>
      <x:c r="F1003" s="13" t="n">
        <x:v>242</x:v>
      </x:c>
      <x:c r="G1003" s="13" t="n">
        <x:v>275</x:v>
      </x:c>
      <x:c r="H1003" s="2" t="str">
        <x:f>IF(OR($E$4="",NOT(ISNUMBER($E$4)),$E$4&lt;1,$E$4&gt;400),"参考年待填",IF(OR(E1003="",F1003="",G1003=""),"年代待核",IF($E$4&lt;E1003,"未出生",IF($E$4&lt;F1003,"未登场",IF($E$4&gt;G1003,"已过卒年",IF($E$4=G1003,"卒年边界待核","年表可登场"))))))</x:f>
        <x:v>未登场</x:v>
      </x:c>
      <x:c r="I1003" s="12"/>
      <x:c r="J1003" s="2" t="str">
        <x:v>SAN14游戏设定</x:v>
      </x:c>
      <x:c r="K1003" s="2" t="str"/>
      <x:c r="L1003" s="2" t="str">
        <x:v>樓玄</x:v>
      </x:c>
      <x:c r="M1003" s="2" t="str">
        <x:v>san14-candidate-0995</x:v>
      </x:c>
      <x:c r="N1003" s="2" t="str">
        <x:v>楼玄</x:v>
      </x:c>
      <x:c r="O1003" s="2" t="str">
        <x:v>ロウゲン</x:v>
      </x:c>
    </x:row>
    <x:row r="1004" ht="23" customHeight="1">
      <x:c r="A1004" s="13" t="n">
        <x:v>996</x:v>
      </x:c>
      <x:c r="B1004" s="2" t="str">
        <x:v>楼班</x:v>
      </x:c>
      <x:c r="C1004" s="2" t="str">
        <x:v>樓班</x:v>
      </x:c>
      <x:c r="D1004" s="2" t="str"/>
      <x:c r="E1004" s="13" t="n">
        <x:v>178</x:v>
      </x:c>
      <x:c r="F1004" s="13" t="n">
        <x:v>198</x:v>
      </x:c>
      <x:c r="G1004" s="13" t="n">
        <x:v>207</x:v>
      </x:c>
      <x:c r="H1004" s="2" t="str">
        <x:f>IF(OR($E$4="",NOT(ISNUMBER($E$4)),$E$4&lt;1,$E$4&gt;400),"参考年待填",IF(OR(E1004="",F1004="",G1004=""),"年代待核",IF($E$4&lt;E1004,"未出生",IF($E$4&lt;F1004,"未登场",IF($E$4&gt;G1004,"已过卒年",IF($E$4=G1004,"卒年边界待核","年表可登场"))))))</x:f>
        <x:v>已过卒年</x:v>
      </x:c>
      <x:c r="I1004" s="12"/>
      <x:c r="J1004" s="2" t="str">
        <x:v>SAN14游戏设定</x:v>
      </x:c>
      <x:c r="K1004" s="2" t="str"/>
      <x:c r="L1004" s="2" t="str">
        <x:v>樓班</x:v>
      </x:c>
      <x:c r="M1004" s="2" t="str">
        <x:v>san14-candidate-0996</x:v>
      </x:c>
      <x:c r="N1004" s="2" t="str">
        <x:v>楼班</x:v>
      </x:c>
      <x:c r="O1004" s="2" t="str">
        <x:v>ロウハン</x:v>
      </x:c>
    </x:row>
    <x:row r="1005" ht="23" customHeight="1">
      <x:c r="A1005" s="13" t="n">
        <x:v>997</x:v>
      </x:c>
      <x:c r="B1005" s="2" t="str">
        <x:v>鲁肃</x:v>
      </x:c>
      <x:c r="C1005" s="2" t="str">
        <x:v>魯肅</x:v>
      </x:c>
      <x:c r="D1005" s="2" t="str"/>
      <x:c r="E1005" s="13" t="n">
        <x:v>172</x:v>
      </x:c>
      <x:c r="F1005" s="13" t="n">
        <x:v>191</x:v>
      </x:c>
      <x:c r="G1005" s="13" t="n">
        <x:v>217</x:v>
      </x:c>
      <x:c r="H1005" s="2" t="str">
        <x:f>IF(OR($E$4="",NOT(ISNUMBER($E$4)),$E$4&lt;1,$E$4&gt;400),"参考年待填",IF(OR(E1005="",F1005="",G1005=""),"年代待核",IF($E$4&lt;E1005,"未出生",IF($E$4&lt;F1005,"未登场",IF($E$4&gt;G1005,"已过卒年",IF($E$4=G1005,"卒年边界待核","年表可登场"))))))</x:f>
        <x:v>已过卒年</x:v>
      </x:c>
      <x:c r="I1005" s="12"/>
      <x:c r="J1005" s="2" t="str">
        <x:v>SAN14游戏设定</x:v>
      </x:c>
      <x:c r="K1005" s="2" t="str"/>
      <x:c r="L1005" s="2" t="str">
        <x:v>魯肅</x:v>
      </x:c>
      <x:c r="M1005" s="2" t="str">
        <x:v>san14-candidate-0997</x:v>
      </x:c>
      <x:c r="N1005" s="2" t="str">
        <x:v>魯粛</x:v>
      </x:c>
      <x:c r="O1005" s="2" t="str">
        <x:v>ロシュク</x:v>
      </x:c>
    </x:row>
    <x:row r="1006" ht="23" customHeight="1">
      <x:c r="A1006" s="13" t="n">
        <x:v>998</x:v>
      </x:c>
      <x:c r="B1006" s="2" t="str">
        <x:v>鲁淑</x:v>
      </x:c>
      <x:c r="C1006" s="2" t="str">
        <x:v>魯淑</x:v>
      </x:c>
      <x:c r="D1006" s="2" t="str"/>
      <x:c r="E1006" s="13" t="n">
        <x:v>208</x:v>
      </x:c>
      <x:c r="F1006" s="13" t="n">
        <x:v>226</x:v>
      </x:c>
      <x:c r="G1006" s="13" t="n">
        <x:v>274</x:v>
      </x:c>
      <x:c r="H1006" s="2" t="str">
        <x:f>IF(OR($E$4="",NOT(ISNUMBER($E$4)),$E$4&lt;1,$E$4&gt;400),"参考年待填",IF(OR(E1006="",F1006="",G1006=""),"年代待核",IF($E$4&lt;E1006,"未出生",IF($E$4&lt;F1006,"未登场",IF($E$4&gt;G1006,"已过卒年",IF($E$4=G1006,"卒年边界待核","年表可登场"))))))</x:f>
        <x:v>年表可登场</x:v>
      </x:c>
      <x:c r="I1006" s="12"/>
      <x:c r="J1006" s="2" t="str">
        <x:v>SAN14游戏设定</x:v>
      </x:c>
      <x:c r="K1006" s="2" t="str"/>
      <x:c r="L1006" s="2" t="str">
        <x:v>魯淑</x:v>
      </x:c>
      <x:c r="M1006" s="2" t="str">
        <x:v>san14-candidate-0998</x:v>
      </x:c>
      <x:c r="N1006" s="2" t="str">
        <x:v>魯淑</x:v>
      </x:c>
      <x:c r="O1006" s="2" t="str">
        <x:v>ロシュク</x:v>
      </x:c>
    </x:row>
    <x:row r="1007" ht="23" customHeight="1">
      <x:c r="A1007" s="13" t="n">
        <x:v>999</x:v>
      </x:c>
      <x:c r="B1007" s="2" t="str">
        <x:v>路招</x:v>
      </x:c>
      <x:c r="C1007" s="2" t="str">
        <x:v>路招</x:v>
      </x:c>
      <x:c r="D1007" s="2" t="str"/>
      <x:c r="E1007" s="13" t="n">
        <x:v>174</x:v>
      </x:c>
      <x:c r="F1007" s="13" t="n">
        <x:v>193</x:v>
      </x:c>
      <x:c r="G1007" s="13" t="n">
        <x:v>219</x:v>
      </x:c>
      <x:c r="H1007" s="2" t="str">
        <x:f>IF(OR($E$4="",NOT(ISNUMBER($E$4)),$E$4&lt;1,$E$4&gt;400),"参考年待填",IF(OR(E1007="",F1007="",G1007=""),"年代待核",IF($E$4&lt;E1007,"未出生",IF($E$4&lt;F1007,"未登场",IF($E$4&gt;G1007,"已过卒年",IF($E$4=G1007,"卒年边界待核","年表可登场"))))))</x:f>
        <x:v>已过卒年</x:v>
      </x:c>
      <x:c r="I1007" s="12"/>
      <x:c r="J1007" s="2" t="str">
        <x:v>SAN14游戏设定</x:v>
      </x:c>
      <x:c r="K1007" s="2" t="str"/>
      <x:c r="L1007" s="2" t="str">
        <x:v>路招</x:v>
      </x:c>
      <x:c r="M1007" s="2" t="str">
        <x:v>san14-candidate-0999</x:v>
      </x:c>
      <x:c r="N1007" s="2" t="str">
        <x:v>路招</x:v>
      </x:c>
      <x:c r="O1007" s="2" t="str">
        <x:v>ロショウ</x:v>
      </x:c>
    </x:row>
    <x:row r="1008" ht="23" customHeight="1">
      <x:c r="A1008" s="13" t="n">
        <x:v>1000</x:v>
      </x:c>
      <x:c r="B1008" s="2" t="str">
        <x:v>卢植</x:v>
      </x:c>
      <x:c r="C1008" s="2" t="str">
        <x:v>盧植</x:v>
      </x:c>
      <x:c r="D1008" s="2" t="str"/>
      <x:c r="E1008" s="13" t="n">
        <x:v>139</x:v>
      </x:c>
      <x:c r="F1008" s="13" t="n">
        <x:v>184</x:v>
      </x:c>
      <x:c r="G1008" s="13" t="n">
        <x:v>192</x:v>
      </x:c>
      <x:c r="H1008" s="2" t="str">
        <x:f>IF(OR($E$4="",NOT(ISNUMBER($E$4)),$E$4&lt;1,$E$4&gt;400),"参考年待填",IF(OR(E1008="",F1008="",G1008=""),"年代待核",IF($E$4&lt;E1008,"未出生",IF($E$4&lt;F1008,"未登场",IF($E$4&gt;G1008,"已过卒年",IF($E$4=G1008,"卒年边界待核","年表可登场"))))))</x:f>
        <x:v>已过卒年</x:v>
      </x:c>
      <x:c r="I1008" s="12"/>
      <x:c r="J1008" s="2" t="str">
        <x:v>SAN14游戏设定</x:v>
      </x:c>
      <x:c r="K1008" s="2" t="str"/>
      <x:c r="L1008" s="2" t="str">
        <x:v>盧植</x:v>
      </x:c>
      <x:c r="M1008" s="2" t="str">
        <x:v>san14-candidate-1000</x:v>
      </x:c>
      <x:c r="N1008" s="2" t="str">
        <x:v>盧植</x:v>
      </x:c>
      <x:c r="O1008" s="2" t="str">
        <x:v>ロショク</x:v>
      </x:c>
    </x:row>
  </x:sheetData>
  <x:conditionalFormatting sqref="H9:H1008">
    <x:cfRule type="containsText" dxfId="0" priority="1" operator="containsText" text="待核"/>
    <x:cfRule type="containsText" dxfId="1" priority="2" operator="containsText" text="待填"/>
  </x:conditionalFormatting>
  <x:conditionalFormatting sqref="K9:K1008">
    <x:cfRule type="containsText" dxfId="2" priority="3" operator="containsText" text="来源"/>
  </x:conditionalFormatting>
  <x:dataValidations count="1">
    <x:dataValidation type="whole" operator="between" sqref="E4">
      <x:formula1>1</x:formula1>
      <x:formula2>400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bbc5b37d7874e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4" t="str">
        <x:v>原始剧本登场状态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 t="str">
        <x:v>251年英雄集结为跨年代假想剧本。其他剧本按来源状态保留，不用生年加15推算。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原文：统治者姓名表示仕官；城市(未)表示未发现；城市(-)表示未登场；x表示已卒。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11" t="str">
        <x:v>官方序号</x:v>
      </x:c>
      <x:c r="B8" s="11" t="str">
        <x:v>姓名</x:v>
      </x:c>
      <x:c r="C8" s="11" t="str">
        <x:v>184 黃巾</x:v>
      </x:c>
      <x:c r="D8" s="11" t="str">
        <x:v>190 反董</x:v>
      </x:c>
      <x:c r="E8" s="11" t="str">
        <x:v>194 群雄</x:v>
      </x:c>
      <x:c r="F8" s="11" t="str">
        <x:v>200 官渡</x:v>
      </x:c>
      <x:c r="G8" s="11" t="str">
        <x:v>207 三顧</x:v>
      </x:c>
      <x:c r="H8" s="11" t="str">
        <x:v>217 漢中</x:v>
      </x:c>
      <x:c r="I8" s="11" t="str">
        <x:v>221 夷陵</x:v>
      </x:c>
      <x:c r="J8" s="11" t="str">
        <x:v>227 出師</x:v>
      </x:c>
      <x:c r="K8" s="11" t="str">
        <x:v>249 正始</x:v>
      </x:c>
      <x:c r="L8" s="11" t="str">
        <x:v>251 英雄（假想）</x:v>
      </x:c>
    </x:row>
    <x:row r="9" ht="23" customHeight="1">
      <x:c r="A9" s="12" t="n">
        <x:v>1</x:v>
      </x:c>
      <x:c r="B9" s="2" t="str">
        <x:v>阿会喃</x:v>
      </x:c>
      <x:c r="C9" s="2" t="str">
        <x:v>雲南(-)</x:v>
      </x:c>
      <x:c r="D9" s="2" t="str">
        <x:v>雲南(-)</x:v>
      </x:c>
      <x:c r="E9" s="2" t="str">
        <x:v>雲南(-)</x:v>
      </x:c>
      <x:c r="F9" s="2" t="str">
        <x:v>雲南(-)</x:v>
      </x:c>
      <x:c r="G9" s="2" t="str">
        <x:v>雲南(-)</x:v>
      </x:c>
      <x:c r="H9" s="2" t="str">
        <x:v>雲南(未)</x:v>
      </x:c>
      <x:c r="I9" s="2" t="str">
        <x:v>孟獲</x:v>
      </x:c>
      <x:c r="J9" s="2" t="str">
        <x:v>x</x:v>
      </x:c>
      <x:c r="K9" s="2" t="str">
        <x:v>x</x:v>
      </x:c>
      <x:c r="L9" s="2" t="str">
        <x:v>孟獲</x:v>
      </x:c>
    </x:row>
    <x:row r="10" ht="23" customHeight="1">
      <x:c r="A10" s="12" t="n">
        <x:v>2</x:v>
      </x:c>
      <x:c r="B10" s="2" t="str">
        <x:v>阿贵</x:v>
      </x:c>
      <x:c r="C10" s="2" t="str">
        <x:v>漢中(-)</x:v>
      </x:c>
      <x:c r="D10" s="2" t="str">
        <x:v>漢中(-)</x:v>
      </x:c>
      <x:c r="E10" s="2" t="str">
        <x:v>漢中(未)</x:v>
      </x:c>
      <x:c r="F10" s="2" t="str">
        <x:v>漢中(未)</x:v>
      </x:c>
      <x:c r="G10" s="2" t="str">
        <x:v>漢中(野)</x:v>
      </x:c>
      <x:c r="H10" s="2" t="str">
        <x:v>x</x:v>
      </x:c>
      <x:c r="I10" s="2" t="str">
        <x:v>x</x:v>
      </x:c>
      <x:c r="J10" s="2" t="str">
        <x:v>x</x:v>
      </x:c>
      <x:c r="K10" s="2" t="str">
        <x:v>x</x:v>
      </x:c>
      <x:c r="L10" s="2" t="str">
        <x:v>漢中(未)</x:v>
      </x:c>
    </x:row>
    <x:row r="11" ht="23" customHeight="1">
      <x:c r="A11" s="12" t="n">
        <x:v>3</x:v>
      </x:c>
      <x:c r="B11" s="2" t="str">
        <x:v>韦康</x:v>
      </x:c>
      <x:c r="C11" s="2" t="str">
        <x:v>長安(-)</x:v>
      </x:c>
      <x:c r="D11" s="2" t="str">
        <x:v>長安(-)</x:v>
      </x:c>
      <x:c r="E11" s="2" t="str">
        <x:v>長安(-)</x:v>
      </x:c>
      <x:c r="F11" s="2" t="str">
        <x:v>長安(未)</x:v>
      </x:c>
      <x:c r="G11" s="2" t="str">
        <x:v>曹操</x:v>
      </x:c>
      <x:c r="H11" s="2" t="str">
        <x:v>x</x:v>
      </x:c>
      <x:c r="I11" s="2" t="str">
        <x:v>x</x:v>
      </x:c>
      <x:c r="J11" s="2" t="str">
        <x:v>x</x:v>
      </x:c>
      <x:c r="K11" s="2" t="str">
        <x:v>x</x:v>
      </x:c>
      <x:c r="L11" s="2" t="str">
        <x:v>長安(未)</x:v>
      </x:c>
    </x:row>
    <x:row r="12" ht="23" customHeight="1">
      <x:c r="A12" s="12" t="n">
        <x:v>4</x:v>
      </x:c>
      <x:c r="B12" s="2" t="str">
        <x:v>韦昭</x:v>
      </x:c>
      <x:c r="C12" s="2" t="str">
        <x:v>建業(-)</x:v>
      </x:c>
      <x:c r="D12" s="2" t="str">
        <x:v>建業(-)</x:v>
      </x:c>
      <x:c r="E12" s="2" t="str">
        <x:v>建業(-)</x:v>
      </x:c>
      <x:c r="F12" s="2" t="str">
        <x:v>建業(-)</x:v>
      </x:c>
      <x:c r="G12" s="2" t="str">
        <x:v>建業(-)</x:v>
      </x:c>
      <x:c r="H12" s="2" t="str">
        <x:v>建業(-)</x:v>
      </x:c>
      <x:c r="I12" s="2" t="str">
        <x:v>建業(-)</x:v>
      </x:c>
      <x:c r="J12" s="2" t="str">
        <x:v>孫權</x:v>
      </x:c>
      <x:c r="K12" s="2" t="str">
        <x:v>孫權</x:v>
      </x:c>
      <x:c r="L12" s="2" t="str">
        <x:v>建業(未)</x:v>
      </x:c>
    </x:row>
    <x:row r="13" ht="23" customHeight="1">
      <x:c r="A13" s="12" t="n">
        <x:v>5</x:v>
      </x:c>
      <x:c r="B13" s="2" t="str">
        <x:v>伊籍</x:v>
      </x:c>
      <x:c r="C13" s="2" t="str">
        <x:v>濮陽(-)</x:v>
      </x:c>
      <x:c r="D13" s="2" t="str">
        <x:v>濮陽(未)</x:v>
      </x:c>
      <x:c r="E13" s="2" t="str">
        <x:v>劉表</x:v>
      </x:c>
      <x:c r="F13" s="2" t="str">
        <x:v>劉表</x:v>
      </x:c>
      <x:c r="G13" s="2" t="str">
        <x:v>劉表</x:v>
      </x:c>
      <x:c r="H13" s="2" t="str">
        <x:v>劉備</x:v>
      </x:c>
      <x:c r="I13" s="2" t="str">
        <x:v>劉備</x:v>
      </x:c>
      <x:c r="J13" s="2" t="str">
        <x:v>x</x:v>
      </x:c>
      <x:c r="K13" s="2" t="str">
        <x:v>x</x:v>
      </x:c>
      <x:c r="L13" s="2" t="str">
        <x:v>劉備</x:v>
      </x:c>
    </x:row>
    <x:row r="14" ht="23" customHeight="1">
      <x:c r="A14" s="12" t="n">
        <x:v>6</x:v>
      </x:c>
      <x:c r="B14" s="2" t="str">
        <x:v>尹楷</x:v>
      </x:c>
      <x:c r="C14" s="2" t="str">
        <x:v>平原(-)</x:v>
      </x:c>
      <x:c r="D14" s="2" t="str">
        <x:v>平原(未)</x:v>
      </x:c>
      <x:c r="E14" s="2" t="str">
        <x:v>平原(未)</x:v>
      </x:c>
      <x:c r="F14" s="2" t="str">
        <x:v>袁紹</x:v>
      </x:c>
      <x:c r="G14" s="2" t="str">
        <x:v>x</x:v>
      </x:c>
      <x:c r="H14" s="2" t="str">
        <x:v>x</x:v>
      </x:c>
      <x:c r="I14" s="2" t="str">
        <x:v>x</x:v>
      </x:c>
      <x:c r="J14" s="2" t="str">
        <x:v>x</x:v>
      </x:c>
      <x:c r="K14" s="2" t="str">
        <x:v>x</x:v>
      </x:c>
      <x:c r="L14" s="2" t="str">
        <x:v>袁紹</x:v>
      </x:c>
    </x:row>
    <x:row r="15" ht="23" customHeight="1">
      <x:c r="A15" s="12" t="n">
        <x:v>7</x:v>
      </x:c>
      <x:c r="B15" s="2" t="str">
        <x:v>殷观</x:v>
      </x:c>
      <x:c r="C15" s="2" t="str">
        <x:v>江陵(-)</x:v>
      </x:c>
      <x:c r="D15" s="2" t="str">
        <x:v>江陵(-)</x:v>
      </x:c>
      <x:c r="E15" s="2" t="str">
        <x:v>江陵(-)</x:v>
      </x:c>
      <x:c r="F15" s="2" t="str">
        <x:v>江陵(未)</x:v>
      </x:c>
      <x:c r="G15" s="2" t="str">
        <x:v>江陵(未)</x:v>
      </x:c>
      <x:c r="H15" s="2" t="str">
        <x:v>劉備</x:v>
      </x:c>
      <x:c r="I15" s="2" t="str">
        <x:v>x</x:v>
      </x:c>
      <x:c r="J15" s="2" t="str">
        <x:v>x</x:v>
      </x:c>
      <x:c r="K15" s="2" t="str">
        <x:v>x</x:v>
      </x:c>
      <x:c r="L15" s="2" t="str">
        <x:v>江陵(未)</x:v>
      </x:c>
    </x:row>
    <x:row r="16" ht="23" customHeight="1">
      <x:c r="A16" s="12" t="n">
        <x:v>8</x:v>
      </x:c>
      <x:c r="B16" s="2" t="str">
        <x:v>阴夔</x:v>
      </x:c>
      <x:c r="C16" s="2" t="str">
        <x:v>鄴(未)</x:v>
      </x:c>
      <x:c r="D16" s="2" t="str">
        <x:v>鄴(未)</x:v>
      </x:c>
      <x:c r="E16" s="2" t="str">
        <x:v>袁紹</x:v>
      </x:c>
      <x:c r="F16" s="2" t="str">
        <x:v>袁紹</x:v>
      </x:c>
      <x:c r="G16" s="2" t="str">
        <x:v>x</x:v>
      </x:c>
      <x:c r="H16" s="2" t="str">
        <x:v>x</x:v>
      </x:c>
      <x:c r="I16" s="2" t="str">
        <x:v>x</x:v>
      </x:c>
      <x:c r="J16" s="2" t="str">
        <x:v>x</x:v>
      </x:c>
      <x:c r="K16" s="2" t="str">
        <x:v>x</x:v>
      </x:c>
      <x:c r="L16" s="2" t="str">
        <x:v>袁紹</x:v>
      </x:c>
    </x:row>
    <x:row r="17" ht="23" customHeight="1">
      <x:c r="A17" s="12" t="n">
        <x:v>9</x:v>
      </x:c>
      <x:c r="B17" s="2" t="str">
        <x:v>殷署</x:v>
      </x:c>
      <x:c r="C17" s="2" t="str">
        <x:v>長安(-)</x:v>
      </x:c>
      <x:c r="D17" s="2" t="str">
        <x:v>長安(-)</x:v>
      </x:c>
      <x:c r="E17" s="2" t="str">
        <x:v>長安(-)</x:v>
      </x:c>
      <x:c r="F17" s="2" t="str">
        <x:v>長安(未)</x:v>
      </x:c>
      <x:c r="G17" s="2" t="str">
        <x:v>曹操</x:v>
      </x:c>
      <x:c r="H17" s="2" t="str">
        <x:v>曹操</x:v>
      </x:c>
      <x:c r="I17" s="2" t="str">
        <x:v>曹丕</x:v>
      </x:c>
      <x:c r="J17" s="2" t="str">
        <x:v>x</x:v>
      </x:c>
      <x:c r="K17" s="2" t="str">
        <x:v>x</x:v>
      </x:c>
      <x:c r="L17" s="2" t="str">
        <x:v>長安(未)</x:v>
      </x:c>
    </x:row>
    <x:row r="18" ht="23" customHeight="1">
      <x:c r="A18" s="12" t="n">
        <x:v>10</x:v>
      </x:c>
      <x:c r="B18" s="2" t="str">
        <x:v>尹赏</x:v>
      </x:c>
      <x:c r="C18" s="2" t="str">
        <x:v>天水(-)</x:v>
      </x:c>
      <x:c r="D18" s="2" t="str">
        <x:v>天水(-)</x:v>
      </x:c>
      <x:c r="E18" s="2" t="str">
        <x:v>天水(-)</x:v>
      </x:c>
      <x:c r="F18" s="2" t="str">
        <x:v>天水(-)</x:v>
      </x:c>
      <x:c r="G18" s="2" t="str">
        <x:v>天水(-)</x:v>
      </x:c>
      <x:c r="H18" s="2" t="str">
        <x:v>天水(未)</x:v>
      </x:c>
      <x:c r="I18" s="2" t="str">
        <x:v>天水(未)</x:v>
      </x:c>
      <x:c r="J18" s="2" t="str">
        <x:v>曹叡</x:v>
      </x:c>
      <x:c r="K18" s="2" t="str">
        <x:v>劉禪</x:v>
      </x:c>
      <x:c r="L18" s="2" t="str">
        <x:v>天水(未)</x:v>
      </x:c>
    </x:row>
    <x:row r="19" ht="23" customHeight="1">
      <x:c r="A19" s="12" t="n">
        <x:v>11</x:v>
      </x:c>
      <x:c r="B19" s="2" t="str">
        <x:v>尹大目</x:v>
      </x:c>
      <x:c r="C19" s="2" t="str">
        <x:v>鄴(-)</x:v>
      </x:c>
      <x:c r="D19" s="2" t="str">
        <x:v>鄴(-)</x:v>
      </x:c>
      <x:c r="E19" s="2" t="str">
        <x:v>鄴(-)</x:v>
      </x:c>
      <x:c r="F19" s="2" t="str">
        <x:v>鄴(-)</x:v>
      </x:c>
      <x:c r="G19" s="2" t="str">
        <x:v>鄴(-)</x:v>
      </x:c>
      <x:c r="H19" s="2" t="str">
        <x:v>鄴(-)</x:v>
      </x:c>
      <x:c r="I19" s="2" t="str">
        <x:v>鄴(-)</x:v>
      </x:c>
      <x:c r="J19" s="2" t="str">
        <x:v>鄴(-)</x:v>
      </x:c>
      <x:c r="K19" s="2" t="str">
        <x:v>曹芳</x:v>
      </x:c>
      <x:c r="L19" s="2" t="str">
        <x:v>毌丘儉</x:v>
      </x:c>
    </x:row>
    <x:row r="20" ht="23" customHeight="1">
      <x:c r="A20" s="12" t="n">
        <x:v>12</x:v>
      </x:c>
      <x:c r="B20" s="2" t="str">
        <x:v>隐蕃</x:v>
      </x:c>
      <x:c r="C20" s="2" t="str">
        <x:v>北海(-)</x:v>
      </x:c>
      <x:c r="D20" s="2" t="str">
        <x:v>北海(-)</x:v>
      </x:c>
      <x:c r="E20" s="2" t="str">
        <x:v>北海(-)</x:v>
      </x:c>
      <x:c r="F20" s="2" t="str">
        <x:v>北海(-)</x:v>
      </x:c>
      <x:c r="G20" s="2" t="str">
        <x:v>北海(-)</x:v>
      </x:c>
      <x:c r="H20" s="2" t="str">
        <x:v>北海(-)</x:v>
      </x:c>
      <x:c r="I20" s="2" t="str">
        <x:v>北海(-)</x:v>
      </x:c>
      <x:c r="J20" s="2" t="str">
        <x:v>曹叡</x:v>
      </x:c>
      <x:c r="K20" s="2" t="str">
        <x:v>x</x:v>
      </x:c>
      <x:c r="L20" s="2" t="str">
        <x:v>北海(未)</x:v>
      </x:c>
    </x:row>
    <x:row r="21" ht="23" customHeight="1">
      <x:c r="A21" s="12" t="n">
        <x:v>13</x:v>
      </x:c>
      <x:c r="B21" s="2" t="str">
        <x:v>尹默</x:v>
      </x:c>
      <x:c r="C21" s="2" t="str">
        <x:v>梓潼(-)</x:v>
      </x:c>
      <x:c r="D21" s="2" t="str">
        <x:v>梓潼(-)</x:v>
      </x:c>
      <x:c r="E21" s="2" t="str">
        <x:v>梓潼(-)</x:v>
      </x:c>
      <x:c r="F21" s="2" t="str">
        <x:v>梓潼(-)</x:v>
      </x:c>
      <x:c r="G21" s="2" t="str">
        <x:v>梓潼(-)</x:v>
      </x:c>
      <x:c r="H21" s="2" t="str">
        <x:v>劉備</x:v>
      </x:c>
      <x:c r="I21" s="2" t="str">
        <x:v>劉備</x:v>
      </x:c>
      <x:c r="J21" s="2" t="str">
        <x:v>劉禪</x:v>
      </x:c>
      <x:c r="K21" s="2" t="str">
        <x:v>x</x:v>
      </x:c>
      <x:c r="L21" s="2" t="str">
        <x:v>梓潼(未)</x:v>
      </x:c>
    </x:row>
    <x:row r="22" ht="23" customHeight="1">
      <x:c r="A22" s="12" t="n">
        <x:v>14</x:v>
      </x:c>
      <x:c r="B22" s="2" t="str">
        <x:v>尹礼</x:v>
      </x:c>
      <x:c r="C22" s="2" t="str">
        <x:v>濮陽(未)</x:v>
      </x:c>
      <x:c r="D22" s="2" t="str">
        <x:v>濮陽(未)</x:v>
      </x:c>
      <x:c r="E22" s="2" t="str">
        <x:v>陶謙</x:v>
      </x:c>
      <x:c r="F22" s="2" t="str">
        <x:v>曹操</x:v>
      </x:c>
      <x:c r="G22" s="2" t="str">
        <x:v>曹操</x:v>
      </x:c>
      <x:c r="H22" s="2" t="str">
        <x:v>曹操</x:v>
      </x:c>
      <x:c r="I22" s="2" t="str">
        <x:v>曹丕</x:v>
      </x:c>
      <x:c r="J22" s="2" t="str">
        <x:v>x</x:v>
      </x:c>
      <x:c r="K22" s="2" t="str">
        <x:v>x</x:v>
      </x:c>
      <x:c r="L22" s="2" t="str">
        <x:v>陶謙</x:v>
      </x:c>
    </x:row>
    <x:row r="23" ht="23" customHeight="1">
      <x:c r="A23" s="12" t="n">
        <x:v>15</x:v>
      </x:c>
      <x:c r="B23" s="2" t="str">
        <x:v>殷礼</x:v>
      </x:c>
      <x:c r="C23" s="2" t="str">
        <x:v>吳(-)</x:v>
      </x:c>
      <x:c r="D23" s="2" t="str">
        <x:v>吳(-)</x:v>
      </x:c>
      <x:c r="E23" s="2" t="str">
        <x:v>吳(-)</x:v>
      </x:c>
      <x:c r="F23" s="2" t="str">
        <x:v>吳(-)</x:v>
      </x:c>
      <x:c r="G23" s="2" t="str">
        <x:v>吳(-)</x:v>
      </x:c>
      <x:c r="H23" s="2" t="str">
        <x:v>孫權</x:v>
      </x:c>
      <x:c r="I23" s="2" t="str">
        <x:v>孫權</x:v>
      </x:c>
      <x:c r="J23" s="2" t="str">
        <x:v>孫權</x:v>
      </x:c>
      <x:c r="K23" s="2" t="str">
        <x:v>孫權</x:v>
      </x:c>
      <x:c r="L23" s="2" t="str">
        <x:v>吳(未)</x:v>
      </x:c>
    </x:row>
    <x:row r="24" ht="23" customHeight="1">
      <x:c r="A24" s="12" t="n">
        <x:v>16</x:v>
      </x:c>
      <x:c r="B24" s="2" t="str">
        <x:v>于禁</x:v>
      </x:c>
      <x:c r="C24" s="2" t="str">
        <x:v>濮陽(未)</x:v>
      </x:c>
      <x:c r="D24" s="2" t="str">
        <x:v>劉岱</x:v>
      </x:c>
      <x:c r="E24" s="2" t="str">
        <x:v>曹操</x:v>
      </x:c>
      <x:c r="F24" s="2" t="str">
        <x:v>曹操</x:v>
      </x:c>
      <x:c r="G24" s="2" t="str">
        <x:v>曹操</x:v>
      </x:c>
      <x:c r="H24" s="2" t="str">
        <x:v>曹操</x:v>
      </x:c>
      <x:c r="I24" s="2" t="str">
        <x:v>孫權</x:v>
      </x:c>
      <x:c r="J24" s="2" t="str">
        <x:v>x</x:v>
      </x:c>
      <x:c r="K24" s="2" t="str">
        <x:v>x</x:v>
      </x:c>
      <x:c r="L24" s="2" t="str">
        <x:v>劉岱</x:v>
      </x:c>
    </x:row>
    <x:row r="25" ht="23" customHeight="1">
      <x:c r="A25" s="12" t="n">
        <x:v>17</x:v>
      </x:c>
      <x:c r="B25" s="2" t="str">
        <x:v>于诠</x:v>
      </x:c>
      <x:c r="C25" s="2" t="str">
        <x:v>吳(-)</x:v>
      </x:c>
      <x:c r="D25" s="2" t="str">
        <x:v>吳(-)</x:v>
      </x:c>
      <x:c r="E25" s="2" t="str">
        <x:v>吳(-)</x:v>
      </x:c>
      <x:c r="F25" s="2" t="str">
        <x:v>吳(-)</x:v>
      </x:c>
      <x:c r="G25" s="2" t="str">
        <x:v>吳(-)</x:v>
      </x:c>
      <x:c r="H25" s="2" t="str">
        <x:v>吳(-)</x:v>
      </x:c>
      <x:c r="I25" s="2" t="str">
        <x:v>吳(-)</x:v>
      </x:c>
      <x:c r="J25" s="2" t="str">
        <x:v>吳(未)</x:v>
      </x:c>
      <x:c r="K25" s="2" t="str">
        <x:v>孫權</x:v>
      </x:c>
      <x:c r="L25" s="2" t="str">
        <x:v>吳(未)</x:v>
      </x:c>
    </x:row>
    <x:row r="26" ht="23" customHeight="1">
      <x:c r="A26" s="12" t="n">
        <x:v>18</x:v>
      </x:c>
      <x:c r="B26" s="2" t="str">
        <x:v>于毒</x:v>
      </x:c>
      <x:c r="C26" s="2" t="str">
        <x:v>張角</x:v>
      </x:c>
      <x:c r="D26" s="2" t="str">
        <x:v>晉陽(野)</x:v>
      </x:c>
      <x:c r="E26" s="2" t="str">
        <x:v>x</x:v>
      </x:c>
      <x:c r="F26" s="2" t="str">
        <x:v>x</x:v>
      </x:c>
      <x:c r="G26" s="2" t="str">
        <x:v>x</x:v>
      </x:c>
      <x:c r="H26" s="2" t="str">
        <x:v>x</x:v>
      </x:c>
      <x:c r="I26" s="2" t="str">
        <x:v>x</x:v>
      </x:c>
      <x:c r="J26" s="2" t="str">
        <x:v>x</x:v>
      </x:c>
      <x:c r="K26" s="2" t="str">
        <x:v>x</x:v>
      </x:c>
      <x:c r="L26" s="2" t="str">
        <x:v>晉陽(未)</x:v>
      </x:c>
    </x:row>
    <x:row r="27" ht="23" customHeight="1">
      <x:c r="A27" s="12" t="n">
        <x:v>19</x:v>
      </x:c>
      <x:c r="B27" s="2" t="str">
        <x:v>于糜</x:v>
      </x:c>
      <x:c r="C27" s="2" t="str">
        <x:v>會稽(未)</x:v>
      </x:c>
      <x:c r="D27" s="2" t="str">
        <x:v>會稽(未)</x:v>
      </x:c>
      <x:c r="E27" s="2" t="str">
        <x:v>劉繇</x:v>
      </x:c>
      <x:c r="F27" s="2" t="str">
        <x:v>x</x:v>
      </x:c>
      <x:c r="G27" s="2" t="str">
        <x:v>x</x:v>
      </x:c>
      <x:c r="H27" s="2" t="str">
        <x:v>x</x:v>
      </x:c>
      <x:c r="I27" s="2" t="str">
        <x:v>x</x:v>
      </x:c>
      <x:c r="J27" s="2" t="str">
        <x:v>x</x:v>
      </x:c>
      <x:c r="K27" s="2" t="str">
        <x:v>x</x:v>
      </x:c>
      <x:c r="L27" s="2" t="str">
        <x:v>劉繇</x:v>
      </x:c>
    </x:row>
    <x:row r="28" ht="23" customHeight="1">
      <x:c r="A28" s="12" t="n">
        <x:v>20</x:v>
      </x:c>
      <x:c r="B28" s="2" t="str">
        <x:v>卫瓘</x:v>
      </x:c>
      <x:c r="C28" s="2" t="str">
        <x:v>洛陽(-)</x:v>
      </x:c>
      <x:c r="D28" s="2" t="str">
        <x:v>洛陽(-)</x:v>
      </x:c>
      <x:c r="E28" s="2" t="str">
        <x:v>洛陽(-)</x:v>
      </x:c>
      <x:c r="F28" s="2" t="str">
        <x:v>洛陽(-)</x:v>
      </x:c>
      <x:c r="G28" s="2" t="str">
        <x:v>洛陽(-)</x:v>
      </x:c>
      <x:c r="H28" s="2" t="str">
        <x:v>洛陽(-)</x:v>
      </x:c>
      <x:c r="I28" s="2" t="str">
        <x:v>洛陽(-)</x:v>
      </x:c>
      <x:c r="J28" s="2" t="str">
        <x:v>洛陽(-)</x:v>
      </x:c>
      <x:c r="K28" s="2" t="str">
        <x:v>曹芳</x:v>
      </x:c>
      <x:c r="L28" s="2" t="str">
        <x:v>鍾會</x:v>
      </x:c>
    </x:row>
    <x:row r="29" ht="23" customHeight="1">
      <x:c r="A29" s="12" t="n">
        <x:v>21</x:v>
      </x:c>
      <x:c r="B29" s="2" t="str">
        <x:v>卫兹</x:v>
      </x:c>
      <x:c r="C29" s="2" t="str">
        <x:v>陳留(未)</x:v>
      </x:c>
      <x:c r="D29" s="2" t="str">
        <x:v>曹操</x:v>
      </x:c>
      <x:c r="E29" s="2" t="str">
        <x:v>x</x:v>
      </x:c>
      <x:c r="F29" s="2" t="str">
        <x:v>x</x:v>
      </x:c>
      <x:c r="G29" s="2" t="str">
        <x:v>x</x:v>
      </x:c>
      <x:c r="H29" s="2" t="str">
        <x:v>x</x:v>
      </x:c>
      <x:c r="I29" s="2" t="str">
        <x:v>x</x:v>
      </x:c>
      <x:c r="J29" s="2" t="str">
        <x:v>x</x:v>
      </x:c>
      <x:c r="K29" s="2" t="str">
        <x:v>x</x:v>
      </x:c>
      <x:c r="L29" s="2" t="str">
        <x:v>陳留(未)</x:v>
      </x:c>
    </x:row>
    <x:row r="30" ht="23" customHeight="1">
      <x:c r="A30" s="12" t="n">
        <x:v>22</x:v>
      </x:c>
      <x:c r="B30" s="2" t="str">
        <x:v>卫臻</x:v>
      </x:c>
      <x:c r="C30" s="2" t="str">
        <x:v>陳留(-)</x:v>
      </x:c>
      <x:c r="D30" s="2" t="str">
        <x:v>陳留(-)</x:v>
      </x:c>
      <x:c r="E30" s="2" t="str">
        <x:v>陳留(-)</x:v>
      </x:c>
      <x:c r="F30" s="2" t="str">
        <x:v>曹操</x:v>
      </x:c>
      <x:c r="G30" s="2" t="str">
        <x:v>曹操</x:v>
      </x:c>
      <x:c r="H30" s="2" t="str">
        <x:v>曹操</x:v>
      </x:c>
      <x:c r="I30" s="2" t="str">
        <x:v>曹丕</x:v>
      </x:c>
      <x:c r="J30" s="2" t="str">
        <x:v>曹叡</x:v>
      </x:c>
      <x:c r="K30" s="2" t="str">
        <x:v>曹芳</x:v>
      </x:c>
      <x:c r="L30" s="2" t="str">
        <x:v>陳留(未)</x:v>
      </x:c>
    </x:row>
    <x:row r="31" ht="23" customHeight="1">
      <x:c r="A31" s="12" t="n">
        <x:v>23</x:v>
      </x:c>
      <x:c r="B31" s="2" t="str">
        <x:v>越吉</x:v>
      </x:c>
      <x:c r="C31" s="2" t="str">
        <x:v>天水(-)</x:v>
      </x:c>
      <x:c r="D31" s="2" t="str">
        <x:v>天水(-)</x:v>
      </x:c>
      <x:c r="E31" s="2" t="str">
        <x:v>天水(-)</x:v>
      </x:c>
      <x:c r="F31" s="2" t="str">
        <x:v>天水(-)</x:v>
      </x:c>
      <x:c r="G31" s="2" t="str">
        <x:v>天水(-)</x:v>
      </x:c>
      <x:c r="H31" s="2" t="str">
        <x:v>天水(未)</x:v>
      </x:c>
      <x:c r="I31" s="2" t="str">
        <x:v>天水(未)</x:v>
      </x:c>
      <x:c r="J31" s="2" t="str">
        <x:v>天水(野)</x:v>
      </x:c>
      <x:c r="K31" s="2" t="str">
        <x:v>x</x:v>
      </x:c>
      <x:c r="L31" s="2" t="str">
        <x:v>天水(未)</x:v>
      </x:c>
    </x:row>
    <x:row r="32" ht="23" customHeight="1">
      <x:c r="A32" s="12" t="n">
        <x:v>24</x:v>
      </x:c>
      <x:c r="B32" s="2" t="str">
        <x:v>袁遗</x:v>
      </x:c>
      <x:c r="C32" s="2" t="str">
        <x:v>何進</x:v>
      </x:c>
      <x:c r="D32" s="2" t="str">
        <x:v>劉岱</x:v>
      </x:c>
      <x:c r="E32" s="2" t="str">
        <x:v>x</x:v>
      </x:c>
      <x:c r="F32" s="2" t="str">
        <x:v>x</x:v>
      </x:c>
      <x:c r="G32" s="2" t="str">
        <x:v>x</x:v>
      </x:c>
      <x:c r="H32" s="2" t="str">
        <x:v>x</x:v>
      </x:c>
      <x:c r="I32" s="2" t="str">
        <x:v>x</x:v>
      </x:c>
      <x:c r="J32" s="2" t="str">
        <x:v>x</x:v>
      </x:c>
      <x:c r="K32" s="2" t="str">
        <x:v>x</x:v>
      </x:c>
      <x:c r="L32" s="2" t="str">
        <x:v>劉岱</x:v>
      </x:c>
    </x:row>
    <x:row r="33" ht="23" customHeight="1">
      <x:c r="A33" s="12" t="n">
        <x:v>25</x:v>
      </x:c>
      <x:c r="B33" s="2" t="str">
        <x:v>袁胤</x:v>
      </x:c>
      <x:c r="C33" s="2" t="str">
        <x:v>汝南(野)</x:v>
      </x:c>
      <x:c r="D33" s="2" t="str">
        <x:v>袁術</x:v>
      </x:c>
      <x:c r="E33" s="2" t="str">
        <x:v>袁術</x:v>
      </x:c>
      <x:c r="F33" s="2" t="str">
        <x:v>x</x:v>
      </x:c>
      <x:c r="G33" s="2" t="str">
        <x:v>x</x:v>
      </x:c>
      <x:c r="H33" s="2" t="str">
        <x:v>x</x:v>
      </x:c>
      <x:c r="I33" s="2" t="str">
        <x:v>x</x:v>
      </x:c>
      <x:c r="J33" s="2" t="str">
        <x:v>x</x:v>
      </x:c>
      <x:c r="K33" s="2" t="str">
        <x:v>x</x:v>
      </x:c>
      <x:c r="L33" s="2" t="str">
        <x:v>袁術</x:v>
      </x:c>
    </x:row>
    <x:row r="34" ht="23" customHeight="1">
      <x:c r="A34" s="12" t="n">
        <x:v>26</x:v>
      </x:c>
      <x:c r="B34" s="2" t="str">
        <x:v>阎宇</x:v>
      </x:c>
      <x:c r="C34" s="2" t="str">
        <x:v>江陵(-)</x:v>
      </x:c>
      <x:c r="D34" s="2" t="str">
        <x:v>江陵(-)</x:v>
      </x:c>
      <x:c r="E34" s="2" t="str">
        <x:v>江陵(-)</x:v>
      </x:c>
      <x:c r="F34" s="2" t="str">
        <x:v>江陵(-)</x:v>
      </x:c>
      <x:c r="G34" s="2" t="str">
        <x:v>江陵(-)</x:v>
      </x:c>
      <x:c r="H34" s="2" t="str">
        <x:v>江陵(-)</x:v>
      </x:c>
      <x:c r="I34" s="2" t="str">
        <x:v>江陵(-)</x:v>
      </x:c>
      <x:c r="J34" s="2" t="str">
        <x:v>江陵(-)</x:v>
      </x:c>
      <x:c r="K34" s="2" t="str">
        <x:v>劉禪</x:v>
      </x:c>
      <x:c r="L34" s="2" t="str">
        <x:v>江陵(未)</x:v>
      </x:c>
    </x:row>
    <x:row r="35" ht="23" customHeight="1">
      <x:c r="A35" s="12" t="n">
        <x:v>27</x:v>
      </x:c>
      <x:c r="B35" s="2" t="str">
        <x:v>阎温</x:v>
      </x:c>
      <x:c r="C35" s="2" t="str">
        <x:v>天水(-)</x:v>
      </x:c>
      <x:c r="D35" s="2" t="str">
        <x:v>天水(-)</x:v>
      </x:c>
      <x:c r="E35" s="2" t="str">
        <x:v>天水(-)</x:v>
      </x:c>
      <x:c r="F35" s="2" t="str">
        <x:v>天水(未)</x:v>
      </x:c>
      <x:c r="G35" s="2" t="str">
        <x:v>天水(未)</x:v>
      </x:c>
      <x:c r="H35" s="2" t="str">
        <x:v>x</x:v>
      </x:c>
      <x:c r="I35" s="2" t="str">
        <x:v>x</x:v>
      </x:c>
      <x:c r="J35" s="2" t="str">
        <x:v>x</x:v>
      </x:c>
      <x:c r="K35" s="2" t="str">
        <x:v>x</x:v>
      </x:c>
      <x:c r="L35" s="2" t="str">
        <x:v>天水(未)</x:v>
      </x:c>
    </x:row>
    <x:row r="36" ht="23" customHeight="1">
      <x:c r="A36" s="12" t="n">
        <x:v>28</x:v>
      </x:c>
      <x:c r="B36" s="2" t="str">
        <x:v>袁涣</x:v>
      </x:c>
      <x:c r="C36" s="2" t="str">
        <x:v>汝南(未)</x:v>
      </x:c>
      <x:c r="D36" s="2" t="str">
        <x:v>汝南(未)</x:v>
      </x:c>
      <x:c r="E36" s="2" t="str">
        <x:v>袁術</x:v>
      </x:c>
      <x:c r="F36" s="2" t="str">
        <x:v>曹操</x:v>
      </x:c>
      <x:c r="G36" s="2" t="str">
        <x:v>曹操</x:v>
      </x:c>
      <x:c r="H36" s="2" t="str">
        <x:v>曹操</x:v>
      </x:c>
      <x:c r="I36" s="2" t="str">
        <x:v>x</x:v>
      </x:c>
      <x:c r="J36" s="2" t="str">
        <x:v>x</x:v>
      </x:c>
      <x:c r="K36" s="2" t="str">
        <x:v>x</x:v>
      </x:c>
      <x:c r="L36" s="2" t="str">
        <x:v>汝南(未)</x:v>
      </x:c>
    </x:row>
    <x:row r="37" ht="23" customHeight="1">
      <x:c r="A37" s="12" t="n">
        <x:v>29</x:v>
      </x:c>
      <x:c r="B37" s="2" t="str">
        <x:v>袁熙</x:v>
      </x:c>
      <x:c r="C37" s="2" t="str">
        <x:v>汝南(-)</x:v>
      </x:c>
      <x:c r="D37" s="2" t="str">
        <x:v>袁紹</x:v>
      </x:c>
      <x:c r="E37" s="2" t="str">
        <x:v>袁紹</x:v>
      </x:c>
      <x:c r="F37" s="2" t="str">
        <x:v>袁紹</x:v>
      </x:c>
      <x:c r="G37" s="2" t="str">
        <x:v>公孫康</x:v>
      </x:c>
      <x:c r="H37" s="2" t="str">
        <x:v>x</x:v>
      </x:c>
      <x:c r="I37" s="2" t="str">
        <x:v>x</x:v>
      </x:c>
      <x:c r="J37" s="2" t="str">
        <x:v>x</x:v>
      </x:c>
      <x:c r="K37" s="2" t="str">
        <x:v>x</x:v>
      </x:c>
      <x:c r="L37" s="2" t="str">
        <x:v>袁紹</x:v>
      </x:c>
    </x:row>
    <x:row r="38" ht="23" customHeight="1">
      <x:c r="A38" s="12" t="n">
        <x:v>30</x:v>
      </x:c>
      <x:c r="B38" s="2" t="str">
        <x:v>阎行</x:v>
      </x:c>
      <x:c r="C38" s="2" t="str">
        <x:v>馬騰</x:v>
      </x:c>
      <x:c r="D38" s="2" t="str">
        <x:v>馬騰</x:v>
      </x:c>
      <x:c r="E38" s="2" t="str">
        <x:v>馬騰</x:v>
      </x:c>
      <x:c r="F38" s="2" t="str">
        <x:v>馬騰</x:v>
      </x:c>
      <x:c r="G38" s="2" t="str">
        <x:v>馬騰</x:v>
      </x:c>
      <x:c r="H38" s="2" t="str">
        <x:v>曹操</x:v>
      </x:c>
      <x:c r="I38" s="2" t="str">
        <x:v>曹丕</x:v>
      </x:c>
      <x:c r="J38" s="2" t="str">
        <x:v>x</x:v>
      </x:c>
      <x:c r="K38" s="2" t="str">
        <x:v>x</x:v>
      </x:c>
      <x:c r="L38" s="2" t="str">
        <x:v>韓遂</x:v>
      </x:c>
    </x:row>
    <x:row r="39" ht="23" customHeight="1">
      <x:c r="A39" s="12" t="n">
        <x:v>31</x:v>
      </x:c>
      <x:c r="B39" s="2" t="str">
        <x:v>阎柔</x:v>
      </x:c>
      <x:c r="C39" s="2" t="str">
        <x:v>薊(-)</x:v>
      </x:c>
      <x:c r="D39" s="2" t="str">
        <x:v>薊(未)</x:v>
      </x:c>
      <x:c r="E39" s="2" t="str">
        <x:v>薊(未)</x:v>
      </x:c>
      <x:c r="F39" s="2" t="str">
        <x:v>袁紹</x:v>
      </x:c>
      <x:c r="G39" s="2" t="str">
        <x:v>曹操</x:v>
      </x:c>
      <x:c r="H39" s="2" t="str">
        <x:v>曹操</x:v>
      </x:c>
      <x:c r="I39" s="2" t="str">
        <x:v>曹丕</x:v>
      </x:c>
      <x:c r="J39" s="2" t="str">
        <x:v>曹叡</x:v>
      </x:c>
      <x:c r="K39" s="2" t="str">
        <x:v>x</x:v>
      </x:c>
      <x:c r="L39" s="2" t="str">
        <x:v>劉虞</x:v>
      </x:c>
    </x:row>
    <x:row r="40" ht="23" customHeight="1">
      <x:c r="A40" s="12" t="n">
        <x:v>32</x:v>
      </x:c>
      <x:c r="B40" s="2" t="str">
        <x:v>袁术</x:v>
      </x:c>
      <x:c r="C40" s="2" t="str">
        <x:v>何進</x:v>
      </x:c>
      <x:c r="D40" s="2" t="str">
        <x:v>袁術</x:v>
      </x:c>
      <x:c r="E40" s="2" t="str">
        <x:v>袁術</x:v>
      </x:c>
      <x:c r="F40" s="2" t="str">
        <x:v>x</x:v>
      </x:c>
      <x:c r="G40" s="2" t="str">
        <x:v>x</x:v>
      </x:c>
      <x:c r="H40" s="2" t="str">
        <x:v>x</x:v>
      </x:c>
      <x:c r="I40" s="2" t="str">
        <x:v>x</x:v>
      </x:c>
      <x:c r="J40" s="2" t="str">
        <x:v>x</x:v>
      </x:c>
      <x:c r="K40" s="2" t="str">
        <x:v>x</x:v>
      </x:c>
      <x:c r="L40" s="2" t="str">
        <x:v>袁術</x:v>
      </x:c>
    </x:row>
    <x:row r="41" ht="23" customHeight="1">
      <x:c r="A41" s="12" t="n">
        <x:v>33</x:v>
      </x:c>
      <x:c r="B41" s="2" t="str">
        <x:v>袁春卿</x:v>
      </x:c>
      <x:c r="C41" s="2" t="str">
        <x:v>汝南(-)</x:v>
      </x:c>
      <x:c r="D41" s="2" t="str">
        <x:v>南皮(-)</x:v>
      </x:c>
      <x:c r="E41" s="2" t="str">
        <x:v>袁紹</x:v>
      </x:c>
      <x:c r="F41" s="2" t="str">
        <x:v>袁紹</x:v>
      </x:c>
      <x:c r="G41" s="2" t="str">
        <x:v>x</x:v>
      </x:c>
      <x:c r="H41" s="2" t="str">
        <x:v>x</x:v>
      </x:c>
      <x:c r="I41" s="2" t="str">
        <x:v>x</x:v>
      </x:c>
      <x:c r="J41" s="2" t="str">
        <x:v>x</x:v>
      </x:c>
      <x:c r="K41" s="2" t="str">
        <x:v>x</x:v>
      </x:c>
      <x:c r="L41" s="2" t="str">
        <x:v>袁紹</x:v>
      </x:c>
    </x:row>
    <x:row r="42" ht="23" customHeight="1">
      <x:c r="A42" s="12" t="n">
        <x:v>34</x:v>
      </x:c>
      <x:c r="B42" s="2" t="str">
        <x:v>袁尚</x:v>
      </x:c>
      <x:c r="C42" s="2" t="str">
        <x:v>汝南(-)</x:v>
      </x:c>
      <x:c r="D42" s="2" t="str">
        <x:v>南皮(-)</x:v>
      </x:c>
      <x:c r="E42" s="2" t="str">
        <x:v>袁紹</x:v>
      </x:c>
      <x:c r="F42" s="2" t="str">
        <x:v>袁紹</x:v>
      </x:c>
      <x:c r="G42" s="2" t="str">
        <x:v>公孫康</x:v>
      </x:c>
      <x:c r="H42" s="2" t="str">
        <x:v>x</x:v>
      </x:c>
      <x:c r="I42" s="2" t="str">
        <x:v>x</x:v>
      </x:c>
      <x:c r="J42" s="2" t="str">
        <x:v>x</x:v>
      </x:c>
      <x:c r="K42" s="2" t="str">
        <x:v>x</x:v>
      </x:c>
      <x:c r="L42" s="2" t="str">
        <x:v>袁紹</x:v>
      </x:c>
    </x:row>
    <x:row r="43" ht="23" customHeight="1">
      <x:c r="A43" s="12" t="n">
        <x:v>35</x:v>
      </x:c>
      <x:c r="B43" s="2" t="str">
        <x:v>袁绍</x:v>
      </x:c>
      <x:c r="C43" s="2" t="str">
        <x:v>何進</x:v>
      </x:c>
      <x:c r="D43" s="2" t="str">
        <x:v>袁紹</x:v>
      </x:c>
      <x:c r="E43" s="2" t="str">
        <x:v>袁紹</x:v>
      </x:c>
      <x:c r="F43" s="2" t="str">
        <x:v>袁紹</x:v>
      </x:c>
      <x:c r="G43" s="2" t="str">
        <x:v>x</x:v>
      </x:c>
      <x:c r="H43" s="2" t="str">
        <x:v>x</x:v>
      </x:c>
      <x:c r="I43" s="2" t="str">
        <x:v>x</x:v>
      </x:c>
      <x:c r="J43" s="2" t="str">
        <x:v>x</x:v>
      </x:c>
      <x:c r="K43" s="2" t="str">
        <x:v>x</x:v>
      </x:c>
      <x:c r="L43" s="2" t="str">
        <x:v>袁紹</x:v>
      </x:c>
    </x:row>
    <x:row r="44" ht="23" customHeight="1">
      <x:c r="A44" s="12" t="n">
        <x:v>36</x:v>
      </x:c>
      <x:c r="B44" s="2" t="str">
        <x:v>阎象</x:v>
      </x:c>
      <x:c r="C44" s="2" t="str">
        <x:v>宛(-)</x:v>
      </x:c>
      <x:c r="D44" s="2" t="str">
        <x:v>袁術</x:v>
      </x:c>
      <x:c r="E44" s="2" t="str">
        <x:v>袁術</x:v>
      </x:c>
      <x:c r="F44" s="2" t="str">
        <x:v>x</x:v>
      </x:c>
      <x:c r="G44" s="2" t="str">
        <x:v>x</x:v>
      </x:c>
      <x:c r="H44" s="2" t="str">
        <x:v>x</x:v>
      </x:c>
      <x:c r="I44" s="2" t="str">
        <x:v>x</x:v>
      </x:c>
      <x:c r="J44" s="2" t="str">
        <x:v>x</x:v>
      </x:c>
      <x:c r="K44" s="2" t="str">
        <x:v>x</x:v>
      </x:c>
      <x:c r="L44" s="2" t="str">
        <x:v>袁術</x:v>
      </x:c>
    </x:row>
    <x:row r="45" ht="23" customHeight="1">
      <x:c r="A45" s="12" t="n">
        <x:v>37</x:v>
      </x:c>
      <x:c r="B45" s="2" t="str">
        <x:v>袁谭</x:v>
      </x:c>
      <x:c r="C45" s="2" t="str">
        <x:v>汝南(-)</x:v>
      </x:c>
      <x:c r="D45" s="2" t="str">
        <x:v>袁紹</x:v>
      </x:c>
      <x:c r="E45" s="2" t="str">
        <x:v>袁紹</x:v>
      </x:c>
      <x:c r="F45" s="2" t="str">
        <x:v>袁紹</x:v>
      </x:c>
      <x:c r="G45" s="2" t="str">
        <x:v>x</x:v>
      </x:c>
      <x:c r="H45" s="2" t="str">
        <x:v>x</x:v>
      </x:c>
      <x:c r="I45" s="2" t="str">
        <x:v>x</x:v>
      </x:c>
      <x:c r="J45" s="2" t="str">
        <x:v>x</x:v>
      </x:c>
      <x:c r="K45" s="2" t="str">
        <x:v>x</x:v>
      </x:c>
      <x:c r="L45" s="2" t="str">
        <x:v>袁紹</x:v>
      </x:c>
    </x:row>
    <x:row r="46" ht="23" customHeight="1">
      <x:c r="A46" s="12" t="n">
        <x:v>38</x:v>
      </x:c>
      <x:c r="B46" s="2" t="str">
        <x:v>阎圃</x:v>
      </x:c>
      <x:c r="C46" s="2" t="str">
        <x:v>漢中(-)</x:v>
      </x:c>
      <x:c r="D46" s="2" t="str">
        <x:v>張魯</x:v>
      </x:c>
      <x:c r="E46" s="2" t="str">
        <x:v>張魯</x:v>
      </x:c>
      <x:c r="F46" s="2" t="str">
        <x:v>張魯</x:v>
      </x:c>
      <x:c r="G46" s="2" t="str">
        <x:v>張魯</x:v>
      </x:c>
      <x:c r="H46" s="2" t="str">
        <x:v>曹操</x:v>
      </x:c>
      <x:c r="I46" s="2" t="str">
        <x:v>曹丕</x:v>
      </x:c>
      <x:c r="J46" s="2" t="str">
        <x:v>曹叡</x:v>
      </x:c>
      <x:c r="K46" s="2" t="str">
        <x:v>x</x:v>
      </x:c>
      <x:c r="L46" s="2" t="str">
        <x:v>張魯</x:v>
      </x:c>
    </x:row>
    <x:row r="47" ht="23" customHeight="1">
      <x:c r="A47" s="12" t="n">
        <x:v>39</x:v>
      </x:c>
      <x:c r="B47" s="2" t="str">
        <x:v>袁燿</x:v>
      </x:c>
      <x:c r="C47" s="2" t="str">
        <x:v>汝南(-)</x:v>
      </x:c>
      <x:c r="D47" s="2" t="str">
        <x:v>宛(-)</x:v>
      </x:c>
      <x:c r="E47" s="2" t="str">
        <x:v>袁術</x:v>
      </x:c>
      <x:c r="F47" s="2" t="str">
        <x:v>孫策</x:v>
      </x:c>
      <x:c r="G47" s="2" t="str">
        <x:v>x</x:v>
      </x:c>
      <x:c r="H47" s="2" t="str">
        <x:v>x</x:v>
      </x:c>
      <x:c r="I47" s="2" t="str">
        <x:v>x</x:v>
      </x:c>
      <x:c r="J47" s="2" t="str">
        <x:v>x</x:v>
      </x:c>
      <x:c r="K47" s="2" t="str">
        <x:v>x</x:v>
      </x:c>
      <x:c r="L47" s="2" t="str">
        <x:v>袁術</x:v>
      </x:c>
    </x:row>
    <x:row r="48" ht="23" customHeight="1">
      <x:c r="A48" s="12" t="n">
        <x:v>40</x:v>
      </x:c>
      <x:c r="B48" s="2" t="str">
        <x:v>王威</x:v>
      </x:c>
      <x:c r="C48" s="2" t="str">
        <x:v>襄陽(-)</x:v>
      </x:c>
      <x:c r="D48" s="2" t="str">
        <x:v>襄陽(-)</x:v>
      </x:c>
      <x:c r="E48" s="2" t="str">
        <x:v>劉表</x:v>
      </x:c>
      <x:c r="F48" s="2" t="str">
        <x:v>劉表</x:v>
      </x:c>
      <x:c r="G48" s="2" t="str">
        <x:v>劉表</x:v>
      </x:c>
      <x:c r="H48" s="2" t="str">
        <x:v>x</x:v>
      </x:c>
      <x:c r="I48" s="2" t="str">
        <x:v>x</x:v>
      </x:c>
      <x:c r="J48" s="2" t="str">
        <x:v>x</x:v>
      </x:c>
      <x:c r="K48" s="2" t="str">
        <x:v>x</x:v>
      </x:c>
      <x:c r="L48" s="2" t="str">
        <x:v>劉表</x:v>
      </x:c>
    </x:row>
    <x:row r="49" ht="23" customHeight="1">
      <x:c r="A49" s="12" t="n">
        <x:v>41</x:v>
      </x:c>
      <x:c r="B49" s="2" t="str">
        <x:v>王异</x:v>
      </x:c>
      <x:c r="C49" s="2" t="str">
        <x:v>天水(-)</x:v>
      </x:c>
      <x:c r="D49" s="2" t="str">
        <x:v>天水(-)</x:v>
      </x:c>
      <x:c r="E49" s="2" t="str">
        <x:v>天水(-)</x:v>
      </x:c>
      <x:c r="F49" s="2" t="str">
        <x:v>天水(未)</x:v>
      </x:c>
      <x:c r="G49" s="2" t="str">
        <x:v>天水(未)</x:v>
      </x:c>
      <x:c r="H49" s="2" t="str">
        <x:v>天水(野)</x:v>
      </x:c>
      <x:c r="I49" s="2" t="str">
        <x:v>天水(野)</x:v>
      </x:c>
      <x:c r="J49" s="2" t="str">
        <x:v>天水(野)</x:v>
      </x:c>
      <x:c r="K49" s="2" t="str">
        <x:v>x</x:v>
      </x:c>
      <x:c r="L49" s="2" t="str">
        <x:v>天水(未)</x:v>
      </x:c>
    </x:row>
    <x:row r="50" ht="23" customHeight="1">
      <x:c r="A50" s="12" t="n">
        <x:v>42</x:v>
      </x:c>
      <x:c r="B50" s="2" t="str">
        <x:v>王允</x:v>
      </x:c>
      <x:c r="C50" s="2" t="str">
        <x:v>何進</x:v>
      </x:c>
      <x:c r="D50" s="2" t="str">
        <x:v>董卓</x:v>
      </x:c>
      <x:c r="E50" s="2" t="str">
        <x:v>x</x:v>
      </x:c>
      <x:c r="F50" s="2" t="str">
        <x:v>x</x:v>
      </x:c>
      <x:c r="G50" s="2" t="str">
        <x:v>x</x:v>
      </x:c>
      <x:c r="H50" s="2" t="str">
        <x:v>x</x:v>
      </x:c>
      <x:c r="I50" s="2" t="str">
        <x:v>x</x:v>
      </x:c>
      <x:c r="J50" s="2" t="str">
        <x:v>x</x:v>
      </x:c>
      <x:c r="K50" s="2" t="str">
        <x:v>x</x:v>
      </x:c>
      <x:c r="L50" s="2" t="str">
        <x:v>何進</x:v>
      </x:c>
    </x:row>
    <x:row r="51" ht="23" customHeight="1">
      <x:c r="A51" s="12" t="n">
        <x:v>43</x:v>
      </x:c>
      <x:c r="B51" s="2" t="str">
        <x:v>王楷</x:v>
      </x:c>
      <x:c r="C51" s="2" t="str">
        <x:v>濮陽(-)</x:v>
      </x:c>
      <x:c r="D51" s="2" t="str">
        <x:v>濮陽(未)</x:v>
      </x:c>
      <x:c r="E51" s="2" t="str">
        <x:v>呂布</x:v>
      </x:c>
      <x:c r="F51" s="2" t="str">
        <x:v>x</x:v>
      </x:c>
      <x:c r="G51" s="2" t="str">
        <x:v>x</x:v>
      </x:c>
      <x:c r="H51" s="2" t="str">
        <x:v>x</x:v>
      </x:c>
      <x:c r="I51" s="2" t="str">
        <x:v>x</x:v>
      </x:c>
      <x:c r="J51" s="2" t="str">
        <x:v>x</x:v>
      </x:c>
      <x:c r="K51" s="2" t="str">
        <x:v>x</x:v>
      </x:c>
      <x:c r="L51" s="2" t="str">
        <x:v>濮陽(未)</x:v>
      </x:c>
    </x:row>
    <x:row r="52" ht="23" customHeight="1">
      <x:c r="A52" s="12" t="n">
        <x:v>44</x:v>
      </x:c>
      <x:c r="B52" s="2" t="str">
        <x:v>王观</x:v>
      </x:c>
      <x:c r="C52" s="2" t="str">
        <x:v>濮陽(-)</x:v>
      </x:c>
      <x:c r="D52" s="2" t="str">
        <x:v>濮陽(-)</x:v>
      </x:c>
      <x:c r="E52" s="2" t="str">
        <x:v>濮陽(-)</x:v>
      </x:c>
      <x:c r="F52" s="2" t="str">
        <x:v>濮陽(未)</x:v>
      </x:c>
      <x:c r="G52" s="2" t="str">
        <x:v>曹操</x:v>
      </x:c>
      <x:c r="H52" s="2" t="str">
        <x:v>曹操</x:v>
      </x:c>
      <x:c r="I52" s="2" t="str">
        <x:v>曹丕</x:v>
      </x:c>
      <x:c r="J52" s="2" t="str">
        <x:v>曹叡</x:v>
      </x:c>
      <x:c r="K52" s="2" t="str">
        <x:v>曹芳</x:v>
      </x:c>
      <x:c r="L52" s="2" t="str">
        <x:v>濮陽(未)</x:v>
      </x:c>
    </x:row>
    <x:row r="53" ht="23" customHeight="1">
      <x:c r="A53" s="12" t="n">
        <x:v>45</x:v>
      </x:c>
      <x:c r="B53" s="2" t="str">
        <x:v>王基</x:v>
      </x:c>
      <x:c r="C53" s="2" t="str">
        <x:v>北海(-)</x:v>
      </x:c>
      <x:c r="D53" s="2" t="str">
        <x:v>北海(-)</x:v>
      </x:c>
      <x:c r="E53" s="2" t="str">
        <x:v>北海(-)</x:v>
      </x:c>
      <x:c r="F53" s="2" t="str">
        <x:v>北海(-)</x:v>
      </x:c>
      <x:c r="G53" s="2" t="str">
        <x:v>北海(-)</x:v>
      </x:c>
      <x:c r="H53" s="2" t="str">
        <x:v>北海(-)</x:v>
      </x:c>
      <x:c r="I53" s="2" t="str">
        <x:v>曹丕</x:v>
      </x:c>
      <x:c r="J53" s="2" t="str">
        <x:v>曹叡</x:v>
      </x:c>
      <x:c r="K53" s="2" t="str">
        <x:v>曹芳</x:v>
      </x:c>
      <x:c r="L53" s="2" t="str">
        <x:v>北海(未)</x:v>
      </x:c>
    </x:row>
    <x:row r="54" ht="23" customHeight="1">
      <x:c r="A54" s="12" t="n">
        <x:v>46</x:v>
      </x:c>
      <x:c r="B54" s="2" t="str">
        <x:v>王颀</x:v>
      </x:c>
      <x:c r="C54" s="2" t="str">
        <x:v>北海(-)</x:v>
      </x:c>
      <x:c r="D54" s="2" t="str">
        <x:v>北海(-)</x:v>
      </x:c>
      <x:c r="E54" s="2" t="str">
        <x:v>北海(-)</x:v>
      </x:c>
      <x:c r="F54" s="2" t="str">
        <x:v>北海(-)</x:v>
      </x:c>
      <x:c r="G54" s="2" t="str">
        <x:v>北海(-)</x:v>
      </x:c>
      <x:c r="H54" s="2" t="str">
        <x:v>北海(-)</x:v>
      </x:c>
      <x:c r="I54" s="2" t="str">
        <x:v>北海(-)</x:v>
      </x:c>
      <x:c r="J54" s="2" t="str">
        <x:v>北海(-)</x:v>
      </x:c>
      <x:c r="K54" s="2" t="str">
        <x:v>曹芳</x:v>
      </x:c>
      <x:c r="L54" s="2" t="str">
        <x:v>鄧艾</x:v>
      </x:c>
    </x:row>
    <x:row r="55" ht="23" customHeight="1">
      <x:c r="A55" s="12" t="n">
        <x:v>47</x:v>
      </x:c>
      <x:c r="B55" s="2" t="str">
        <x:v>王匡</x:v>
      </x:c>
      <x:c r="C55" s="2" t="str">
        <x:v>何進</x:v>
      </x:c>
      <x:c r="D55" s="2" t="str">
        <x:v>張楊</x:v>
      </x:c>
      <x:c r="E55" s="2" t="str">
        <x:v>x</x:v>
      </x:c>
      <x:c r="F55" s="2" t="str">
        <x:v>x</x:v>
      </x:c>
      <x:c r="G55" s="2" t="str">
        <x:v>x</x:v>
      </x:c>
      <x:c r="H55" s="2" t="str">
        <x:v>x</x:v>
      </x:c>
      <x:c r="I55" s="2" t="str">
        <x:v>x</x:v>
      </x:c>
      <x:c r="J55" s="2" t="str">
        <x:v>x</x:v>
      </x:c>
      <x:c r="K55" s="2" t="str">
        <x:v>x</x:v>
      </x:c>
      <x:c r="L55" s="2" t="str">
        <x:v>何進</x:v>
      </x:c>
    </x:row>
    <x:row r="56" ht="23" customHeight="1">
      <x:c r="A56" s="12" t="n">
        <x:v>48</x:v>
      </x:c>
      <x:c r="B56" s="2" t="str">
        <x:v>王业</x:v>
      </x:c>
      <x:c r="C56" s="2" t="str">
        <x:v>武陵(-)</x:v>
      </x:c>
      <x:c r="D56" s="2" t="str">
        <x:v>武陵(-)</x:v>
      </x:c>
      <x:c r="E56" s="2" t="str">
        <x:v>武陵(-)</x:v>
      </x:c>
      <x:c r="F56" s="2" t="str">
        <x:v>武陵(-)</x:v>
      </x:c>
      <x:c r="G56" s="2" t="str">
        <x:v>武陵(-)</x:v>
      </x:c>
      <x:c r="H56" s="2" t="str">
        <x:v>武陵(-)</x:v>
      </x:c>
      <x:c r="I56" s="2" t="str">
        <x:v>武陵(-)</x:v>
      </x:c>
      <x:c r="J56" s="2" t="str">
        <x:v>武陵(-)</x:v>
      </x:c>
      <x:c r="K56" s="2" t="str">
        <x:v>曹芳</x:v>
      </x:c>
      <x:c r="L56" s="2" t="str">
        <x:v>武陵(未)</x:v>
      </x:c>
    </x:row>
    <x:row r="57" ht="23" customHeight="1">
      <x:c r="A57" s="12" t="n">
        <x:v>49</x:v>
      </x:c>
      <x:c r="B57" s="2" t="str">
        <x:v>王经</x:v>
      </x:c>
      <x:c r="C57" s="2" t="str">
        <x:v>平原(-)</x:v>
      </x:c>
      <x:c r="D57" s="2" t="str">
        <x:v>平原(-)</x:v>
      </x:c>
      <x:c r="E57" s="2" t="str">
        <x:v>平原(-)</x:v>
      </x:c>
      <x:c r="F57" s="2" t="str">
        <x:v>平原(-)</x:v>
      </x:c>
      <x:c r="G57" s="2" t="str">
        <x:v>平原(-)</x:v>
      </x:c>
      <x:c r="H57" s="2" t="str">
        <x:v>平原(-)</x:v>
      </x:c>
      <x:c r="I57" s="2" t="str">
        <x:v>平原(-)</x:v>
      </x:c>
      <x:c r="J57" s="2" t="str">
        <x:v>曹叡</x:v>
      </x:c>
      <x:c r="K57" s="2" t="str">
        <x:v>曹芳</x:v>
      </x:c>
      <x:c r="L57" s="2" t="str">
        <x:v>平原(未)</x:v>
      </x:c>
    </x:row>
    <x:row r="58" ht="23" customHeight="1">
      <x:c r="A58" s="12" t="n">
        <x:v>50</x:v>
      </x:c>
      <x:c r="B58" s="2" t="str">
        <x:v>王元姬</x:v>
      </x:c>
      <x:c r="C58" s="2" t="str">
        <x:v>下邳(-)</x:v>
      </x:c>
      <x:c r="D58" s="2" t="str">
        <x:v>下邳(-)</x:v>
      </x:c>
      <x:c r="E58" s="2" t="str">
        <x:v>會稽(-)</x:v>
      </x:c>
      <x:c r="F58" s="2" t="str">
        <x:v>洛陽(-)</x:v>
      </x:c>
      <x:c r="G58" s="2" t="str">
        <x:v>洛陽(-)</x:v>
      </x:c>
      <x:c r="H58" s="2" t="str">
        <x:v>下邳(-)</x:v>
      </x:c>
      <x:c r="I58" s="2" t="str">
        <x:v>下邳(-)</x:v>
      </x:c>
      <x:c r="J58" s="2" t="str">
        <x:v>洛陽(-)</x:v>
      </x:c>
      <x:c r="K58" s="2" t="str">
        <x:v>司馬懿</x:v>
      </x:c>
      <x:c r="L58" s="2" t="str">
        <x:v>王朗</x:v>
      </x:c>
    </x:row>
    <x:row r="59" ht="23" customHeight="1">
      <x:c r="A59" s="12" t="n">
        <x:v>51</x:v>
      </x:c>
      <x:c r="B59" s="2" t="str">
        <x:v>王伉</x:v>
      </x:c>
      <x:c r="C59" s="2" t="str">
        <x:v>成都(-)</x:v>
      </x:c>
      <x:c r="D59" s="2" t="str">
        <x:v>成都(-)</x:v>
      </x:c>
      <x:c r="E59" s="2" t="str">
        <x:v>成都(-)</x:v>
      </x:c>
      <x:c r="F59" s="2" t="str">
        <x:v>成都(-)</x:v>
      </x:c>
      <x:c r="G59" s="2" t="str">
        <x:v>成都(-)</x:v>
      </x:c>
      <x:c r="H59" s="2" t="str">
        <x:v>劉備</x:v>
      </x:c>
      <x:c r="I59" s="2" t="str">
        <x:v>劉備</x:v>
      </x:c>
      <x:c r="J59" s="2" t="str">
        <x:v>劉禪</x:v>
      </x:c>
      <x:c r="K59" s="2" t="str">
        <x:v>劉禪</x:v>
      </x:c>
      <x:c r="L59" s="2" t="str">
        <x:v>成都(未)</x:v>
      </x:c>
    </x:row>
    <x:row r="60" ht="23" customHeight="1">
      <x:c r="A60" s="12" t="n">
        <x:v>52</x:v>
      </x:c>
      <x:c r="B60" s="2" t="str">
        <x:v>王浑</x:v>
      </x:c>
      <x:c r="C60" s="2" t="str">
        <x:v>晉陽(-)</x:v>
      </x:c>
      <x:c r="D60" s="2" t="str">
        <x:v>晉陽(-)</x:v>
      </x:c>
      <x:c r="E60" s="2" t="str">
        <x:v>晉陽(-)</x:v>
      </x:c>
      <x:c r="F60" s="2" t="str">
        <x:v>晉陽(-)</x:v>
      </x:c>
      <x:c r="G60" s="2" t="str">
        <x:v>晉陽(-)</x:v>
      </x:c>
      <x:c r="H60" s="2" t="str">
        <x:v>晉陽(-)</x:v>
      </x:c>
      <x:c r="I60" s="2" t="str">
        <x:v>陳留(-)</x:v>
      </x:c>
      <x:c r="J60" s="2" t="str">
        <x:v>陳留(-)</x:v>
      </x:c>
      <x:c r="K60" s="2" t="str">
        <x:v>曹芳</x:v>
      </x:c>
      <x:c r="L60" s="2" t="str">
        <x:v>晉陽(未)</x:v>
      </x:c>
    </x:row>
    <x:row r="61" ht="23" customHeight="1">
      <x:c r="A61" s="12" t="n">
        <x:v>53</x:v>
      </x:c>
      <x:c r="B61" s="2" t="str">
        <x:v>王粲</x:v>
      </x:c>
      <x:c r="C61" s="2" t="str">
        <x:v>濮陽(-)</x:v>
      </x:c>
      <x:c r="D61" s="2" t="str">
        <x:v>濮陽(-)</x:v>
      </x:c>
      <x:c r="E61" s="2" t="str">
        <x:v>劉表</x:v>
      </x:c>
      <x:c r="F61" s="2" t="str">
        <x:v>劉表</x:v>
      </x:c>
      <x:c r="G61" s="2" t="str">
        <x:v>劉表</x:v>
      </x:c>
      <x:c r="H61" s="2" t="str">
        <x:v>x</x:v>
      </x:c>
      <x:c r="I61" s="2" t="str">
        <x:v>x</x:v>
      </x:c>
      <x:c r="J61" s="2" t="str">
        <x:v>x</x:v>
      </x:c>
      <x:c r="K61" s="2" t="str">
        <x:v>x</x:v>
      </x:c>
      <x:c r="L61" s="2" t="str">
        <x:v>濮陽(未)</x:v>
      </x:c>
    </x:row>
    <x:row r="62" ht="23" customHeight="1">
      <x:c r="A62" s="12" t="n">
        <x:v>54</x:v>
      </x:c>
      <x:c r="B62" s="2" t="str">
        <x:v>王嗣</x:v>
      </x:c>
      <x:c r="C62" s="2" t="str">
        <x:v>成都(-)</x:v>
      </x:c>
      <x:c r="D62" s="2" t="str">
        <x:v>成都(-)</x:v>
      </x:c>
      <x:c r="E62" s="2" t="str">
        <x:v>成都(-)</x:v>
      </x:c>
      <x:c r="F62" s="2" t="str">
        <x:v>成都(-)</x:v>
      </x:c>
      <x:c r="G62" s="2" t="str">
        <x:v>成都(-)</x:v>
      </x:c>
      <x:c r="H62" s="2" t="str">
        <x:v>成都(-)</x:v>
      </x:c>
      <x:c r="I62" s="2" t="str">
        <x:v>成都(-)</x:v>
      </x:c>
      <x:c r="J62" s="2" t="str">
        <x:v>成都(-)</x:v>
      </x:c>
      <x:c r="K62" s="2" t="str">
        <x:v>劉禪</x:v>
      </x:c>
      <x:c r="L62" s="2" t="str">
        <x:v>成都(未)</x:v>
      </x:c>
    </x:row>
    <x:row r="63" ht="23" customHeight="1">
      <x:c r="A63" s="12" t="n">
        <x:v>55</x:v>
      </x:c>
      <x:c r="B63" s="2" t="str">
        <x:v>王思</x:v>
      </x:c>
      <x:c r="C63" s="2" t="str">
        <x:v>濮陽(-)</x:v>
      </x:c>
      <x:c r="D63" s="2" t="str">
        <x:v>濮陽(未)</x:v>
      </x:c>
      <x:c r="E63" s="2" t="str">
        <x:v>濮陽(未)</x:v>
      </x:c>
      <x:c r="F63" s="2" t="str">
        <x:v>曹操</x:v>
      </x:c>
      <x:c r="G63" s="2" t="str">
        <x:v>曹操</x:v>
      </x:c>
      <x:c r="H63" s="2" t="str">
        <x:v>曹操</x:v>
      </x:c>
      <x:c r="I63" s="2" t="str">
        <x:v>曹丕</x:v>
      </x:c>
      <x:c r="J63" s="2" t="str">
        <x:v>曹叡</x:v>
      </x:c>
      <x:c r="K63" s="2" t="str">
        <x:v>x</x:v>
      </x:c>
      <x:c r="L63" s="2" t="str">
        <x:v>濮陽(未)</x:v>
      </x:c>
    </x:row>
    <x:row r="64" ht="23" customHeight="1">
      <x:c r="A64" s="12" t="n">
        <x:v>56</x:v>
      </x:c>
      <x:c r="B64" s="2" t="str">
        <x:v>王子服</x:v>
      </x:c>
      <x:c r="C64" s="2" t="str">
        <x:v>何進</x:v>
      </x:c>
      <x:c r="D64" s="2" t="str">
        <x:v>董卓</x:v>
      </x:c>
      <x:c r="E64" s="2" t="str">
        <x:v>李傕</x:v>
      </x:c>
      <x:c r="F64" s="2" t="str">
        <x:v>曹操</x:v>
      </x:c>
      <x:c r="G64" s="2" t="str">
        <x:v>x</x:v>
      </x:c>
      <x:c r="H64" s="2" t="str">
        <x:v>x</x:v>
      </x:c>
      <x:c r="I64" s="2" t="str">
        <x:v>x</x:v>
      </x:c>
      <x:c r="J64" s="2" t="str">
        <x:v>x</x:v>
      </x:c>
      <x:c r="K64" s="2" t="str">
        <x:v>x</x:v>
      </x:c>
      <x:c r="L64" s="2" t="str">
        <x:v>何進</x:v>
      </x:c>
    </x:row>
    <x:row r="65" ht="23" customHeight="1">
      <x:c r="A65" s="12" t="n">
        <x:v>57</x:v>
      </x:c>
      <x:c r="B65" s="2" t="str">
        <x:v>王修</x:v>
      </x:c>
      <x:c r="C65" s="2" t="str">
        <x:v>北海(-)</x:v>
      </x:c>
      <x:c r="D65" s="2" t="str">
        <x:v>孔融</x:v>
      </x:c>
      <x:c r="E65" s="2" t="str">
        <x:v>孔融</x:v>
      </x:c>
      <x:c r="F65" s="2" t="str">
        <x:v>袁紹</x:v>
      </x:c>
      <x:c r="G65" s="2" t="str">
        <x:v>曹操</x:v>
      </x:c>
      <x:c r="H65" s="2" t="str">
        <x:v>曹操</x:v>
      </x:c>
      <x:c r="I65" s="2" t="str">
        <x:v>x</x:v>
      </x:c>
      <x:c r="J65" s="2" t="str">
        <x:v>x</x:v>
      </x:c>
      <x:c r="K65" s="2" t="str">
        <x:v>x</x:v>
      </x:c>
      <x:c r="L65" s="2" t="str">
        <x:v>孔融</x:v>
      </x:c>
    </x:row>
    <x:row r="66" ht="23" customHeight="1">
      <x:c r="A66" s="12" t="n">
        <x:v>58</x:v>
      </x:c>
      <x:c r="B66" s="2" t="str">
        <x:v>王戎</x:v>
      </x:c>
      <x:c r="C66" s="2" t="str">
        <x:v>下邳(-)</x:v>
      </x:c>
      <x:c r="D66" s="2" t="str">
        <x:v>下邳(-)</x:v>
      </x:c>
      <x:c r="E66" s="2" t="str">
        <x:v>下邳(-)</x:v>
      </x:c>
      <x:c r="F66" s="2" t="str">
        <x:v>下邳(-)</x:v>
      </x:c>
      <x:c r="G66" s="2" t="str">
        <x:v>下邳(-)</x:v>
      </x:c>
      <x:c r="H66" s="2" t="str">
        <x:v>下邳(-)</x:v>
      </x:c>
      <x:c r="I66" s="2" t="str">
        <x:v>下邳(-)</x:v>
      </x:c>
      <x:c r="J66" s="2" t="str">
        <x:v>下邳(-)</x:v>
      </x:c>
      <x:c r="K66" s="2" t="str">
        <x:v>下邳(-)</x:v>
      </x:c>
      <x:c r="L66" s="2" t="str">
        <x:v>下邳(未)</x:v>
      </x:c>
    </x:row>
    <x:row r="67" ht="23" customHeight="1">
      <x:c r="A67" s="12" t="n">
        <x:v>59</x:v>
      </x:c>
      <x:c r="B67" s="2" t="str">
        <x:v>王肃</x:v>
      </x:c>
      <x:c r="C67" s="2" t="str">
        <x:v>下邳(-)</x:v>
      </x:c>
      <x:c r="D67" s="2" t="str">
        <x:v>下邳(-)</x:v>
      </x:c>
      <x:c r="E67" s="2" t="str">
        <x:v>會稽(-)</x:v>
      </x:c>
      <x:c r="F67" s="2" t="str">
        <x:v>洛陽(-)</x:v>
      </x:c>
      <x:c r="G67" s="2" t="str">
        <x:v>洛陽(-)</x:v>
      </x:c>
      <x:c r="H67" s="2" t="str">
        <x:v>曹操</x:v>
      </x:c>
      <x:c r="I67" s="2" t="str">
        <x:v>曹丕</x:v>
      </x:c>
      <x:c r="J67" s="2" t="str">
        <x:v>曹叡</x:v>
      </x:c>
      <x:c r="K67" s="2" t="str">
        <x:v>曹芳</x:v>
      </x:c>
      <x:c r="L67" s="2" t="str">
        <x:v>王朗</x:v>
      </x:c>
    </x:row>
    <x:row r="68" ht="23" customHeight="1">
      <x:c r="A68" s="12" t="n">
        <x:v>60</x:v>
      </x:c>
      <x:c r="B68" s="2" t="str">
        <x:v>王濬</x:v>
      </x:c>
      <x:c r="C68" s="2" t="str">
        <x:v>洛陽(-)</x:v>
      </x:c>
      <x:c r="D68" s="2" t="str">
        <x:v>洛陽(-)</x:v>
      </x:c>
      <x:c r="E68" s="2" t="str">
        <x:v>洛陽(-)</x:v>
      </x:c>
      <x:c r="F68" s="2" t="str">
        <x:v>洛陽(-)</x:v>
      </x:c>
      <x:c r="G68" s="2" t="str">
        <x:v>洛陽(-)</x:v>
      </x:c>
      <x:c r="H68" s="2" t="str">
        <x:v>洛陽(-)</x:v>
      </x:c>
      <x:c r="I68" s="2" t="str">
        <x:v>洛陽(-)</x:v>
      </x:c>
      <x:c r="J68" s="2" t="str">
        <x:v>洛陽(未)</x:v>
      </x:c>
      <x:c r="K68" s="2" t="str">
        <x:v>洛陽(未)</x:v>
      </x:c>
      <x:c r="L68" s="2" t="str">
        <x:v>洛陽(未)</x:v>
      </x:c>
    </x:row>
    <x:row r="69" ht="23" customHeight="1">
      <x:c r="A69" s="12" t="n">
        <x:v>61</x:v>
      </x:c>
      <x:c r="B69" s="2" t="str">
        <x:v>王祥</x:v>
      </x:c>
      <x:c r="C69" s="2" t="str">
        <x:v>下邳(-)</x:v>
      </x:c>
      <x:c r="D69" s="2" t="str">
        <x:v>下邳(-)</x:v>
      </x:c>
      <x:c r="E69" s="2" t="str">
        <x:v>廬江(-)</x:v>
      </x:c>
      <x:c r="F69" s="2" t="str">
        <x:v>廬江(-)</x:v>
      </x:c>
      <x:c r="G69" s="2" t="str">
        <x:v>廬江(未)</x:v>
      </x:c>
      <x:c r="H69" s="2" t="str">
        <x:v>下邳(未)</x:v>
      </x:c>
      <x:c r="I69" s="2" t="str">
        <x:v>下邳(未)</x:v>
      </x:c>
      <x:c r="J69" s="2" t="str">
        <x:v>下邳(未)</x:v>
      </x:c>
      <x:c r="K69" s="2" t="str">
        <x:v>曹芳</x:v>
      </x:c>
      <x:c r="L69" s="2" t="str">
        <x:v>下邳(未)</x:v>
      </x:c>
    </x:row>
    <x:row r="70" ht="23" customHeight="1">
      <x:c r="A70" s="12" t="n">
        <x:v>62</x:v>
      </x:c>
      <x:c r="B70" s="2" t="str">
        <x:v>应劭</x:v>
      </x:c>
      <x:c r="C70" s="2" t="str">
        <x:v>何進</x:v>
      </x:c>
      <x:c r="D70" s="2" t="str">
        <x:v>劉岱</x:v>
      </x:c>
      <x:c r="E70" s="2" t="str">
        <x:v>袁紹</x:v>
      </x:c>
      <x:c r="F70" s="2" t="str">
        <x:v>袁紹</x:v>
      </x:c>
      <x:c r="G70" s="2" t="str">
        <x:v>x</x:v>
      </x:c>
      <x:c r="H70" s="2" t="str">
        <x:v>x</x:v>
      </x:c>
      <x:c r="I70" s="2" t="str">
        <x:v>x</x:v>
      </x:c>
      <x:c r="J70" s="2" t="str">
        <x:v>x</x:v>
      </x:c>
      <x:c r="K70" s="2" t="str">
        <x:v>x</x:v>
      </x:c>
      <x:c r="L70" s="2" t="str">
        <x:v>劉岱</x:v>
      </x:c>
    </x:row>
    <x:row r="71" ht="23" customHeight="1">
      <x:c r="A71" s="12" t="n">
        <x:v>63</x:v>
      </x:c>
      <x:c r="B71" s="2" t="str">
        <x:v>王商</x:v>
      </x:c>
      <x:c r="C71" s="2" t="str">
        <x:v>成都(-)</x:v>
      </x:c>
      <x:c r="D71" s="2" t="str">
        <x:v>成都(未)</x:v>
      </x:c>
      <x:c r="E71" s="2" t="str">
        <x:v>劉璋</x:v>
      </x:c>
      <x:c r="F71" s="2" t="str">
        <x:v>劉璋</x:v>
      </x:c>
      <x:c r="G71" s="2" t="str">
        <x:v>劉璋</x:v>
      </x:c>
      <x:c r="H71" s="2" t="str">
        <x:v>x</x:v>
      </x:c>
      <x:c r="I71" s="2" t="str">
        <x:v>x</x:v>
      </x:c>
      <x:c r="J71" s="2" t="str">
        <x:v>x</x:v>
      </x:c>
      <x:c r="K71" s="2" t="str">
        <x:v>x</x:v>
      </x:c>
      <x:c r="L71" s="2" t="str">
        <x:v>成都(未)</x:v>
      </x:c>
    </x:row>
    <x:row r="72" ht="23" customHeight="1">
      <x:c r="A72" s="12" t="n">
        <x:v>64</x:v>
      </x:c>
      <x:c r="B72" s="2" t="str">
        <x:v>王沈</x:v>
      </x:c>
      <x:c r="C72" s="2" t="str">
        <x:v>晉陽(-)</x:v>
      </x:c>
      <x:c r="D72" s="2" t="str">
        <x:v>晉陽(-)</x:v>
      </x:c>
      <x:c r="E72" s="2" t="str">
        <x:v>晉陽(-)</x:v>
      </x:c>
      <x:c r="F72" s="2" t="str">
        <x:v>晉陽(-)</x:v>
      </x:c>
      <x:c r="G72" s="2" t="str">
        <x:v>晉陽(-)</x:v>
      </x:c>
      <x:c r="H72" s="2" t="str">
        <x:v>晉陽(-)</x:v>
      </x:c>
      <x:c r="I72" s="2" t="str">
        <x:v>陳留(-)</x:v>
      </x:c>
      <x:c r="J72" s="2" t="str">
        <x:v>陳留(-)</x:v>
      </x:c>
      <x:c r="K72" s="2" t="str">
        <x:v>曹芳</x:v>
      </x:c>
      <x:c r="L72" s="2" t="str">
        <x:v>司馬懿</x:v>
      </x:c>
    </x:row>
    <x:row r="73" ht="23" customHeight="1">
      <x:c r="A73" s="12" t="n">
        <x:v>65</x:v>
      </x:c>
      <x:c r="B73" s="2" t="str">
        <x:v>区星</x:v>
      </x:c>
      <x:c r="C73" s="2" t="str">
        <x:v>長沙(野)</x:v>
      </x:c>
      <x:c r="D73" s="2" t="str">
        <x:v>x</x:v>
      </x:c>
      <x:c r="E73" s="2" t="str">
        <x:v>x</x:v>
      </x:c>
      <x:c r="F73" s="2" t="str">
        <x:v>x</x:v>
      </x:c>
      <x:c r="G73" s="2" t="str">
        <x:v>x</x:v>
      </x:c>
      <x:c r="H73" s="2" t="str">
        <x:v>x</x:v>
      </x:c>
      <x:c r="I73" s="2" t="str">
        <x:v>x</x:v>
      </x:c>
      <x:c r="J73" s="2" t="str">
        <x:v>x</x:v>
      </x:c>
      <x:c r="K73" s="2" t="str">
        <x:v>x</x:v>
      </x:c>
      <x:c r="L73" s="2" t="str">
        <x:v>長沙(未)</x:v>
      </x:c>
    </x:row>
    <x:row r="74" ht="23" customHeight="1">
      <x:c r="A74" s="12" t="n">
        <x:v>66</x:v>
      </x:c>
      <x:c r="B74" s="2" t="str">
        <x:v>王双</x:v>
      </x:c>
      <x:c r="C74" s="2" t="str">
        <x:v>天水(-)</x:v>
      </x:c>
      <x:c r="D74" s="2" t="str">
        <x:v>天水(-)</x:v>
      </x:c>
      <x:c r="E74" s="2" t="str">
        <x:v>天水(-)</x:v>
      </x:c>
      <x:c r="F74" s="2" t="str">
        <x:v>天水(-)</x:v>
      </x:c>
      <x:c r="G74" s="2" t="str">
        <x:v>天水(-)</x:v>
      </x:c>
      <x:c r="H74" s="2" t="str">
        <x:v>天水(-)</x:v>
      </x:c>
      <x:c r="I74" s="2" t="str">
        <x:v>天水(未)</x:v>
      </x:c>
      <x:c r="J74" s="2" t="str">
        <x:v>曹叡</x:v>
      </x:c>
      <x:c r="K74" s="2" t="str">
        <x:v>x</x:v>
      </x:c>
      <x:c r="L74" s="2" t="str">
        <x:v>天水(未)</x:v>
      </x:c>
    </x:row>
    <x:row r="75" ht="23" customHeight="1">
      <x:c r="A75" s="12" t="n">
        <x:v>67</x:v>
      </x:c>
      <x:c r="B75" s="2" t="str">
        <x:v>王忠</x:v>
      </x:c>
      <x:c r="C75" s="2" t="str">
        <x:v>長安(-)</x:v>
      </x:c>
      <x:c r="D75" s="2" t="str">
        <x:v>長安(未)</x:v>
      </x:c>
      <x:c r="E75" s="2" t="str">
        <x:v>長安(未)</x:v>
      </x:c>
      <x:c r="F75" s="2" t="str">
        <x:v>曹操</x:v>
      </x:c>
      <x:c r="G75" s="2" t="str">
        <x:v>濮陽(野)</x:v>
      </x:c>
      <x:c r="H75" s="2" t="str">
        <x:v>x</x:v>
      </x:c>
      <x:c r="I75" s="2" t="str">
        <x:v>x</x:v>
      </x:c>
      <x:c r="J75" s="2" t="str">
        <x:v>x</x:v>
      </x:c>
      <x:c r="K75" s="2" t="str">
        <x:v>x</x:v>
      </x:c>
      <x:c r="L75" s="2" t="str">
        <x:v>長安(未)</x:v>
      </x:c>
    </x:row>
    <x:row r="76" ht="23" customHeight="1">
      <x:c r="A76" s="12" t="n">
        <x:v>68</x:v>
      </x:c>
      <x:c r="B76" s="2" t="str">
        <x:v>王昶</x:v>
      </x:c>
      <x:c r="C76" s="2" t="str">
        <x:v>晉陽(-)</x:v>
      </x:c>
      <x:c r="D76" s="2" t="str">
        <x:v>晉陽(-)</x:v>
      </x:c>
      <x:c r="E76" s="2" t="str">
        <x:v>晉陽(-)</x:v>
      </x:c>
      <x:c r="F76" s="2" t="str">
        <x:v>晉陽(-)</x:v>
      </x:c>
      <x:c r="G76" s="2" t="str">
        <x:v>晉陽(未)</x:v>
      </x:c>
      <x:c r="H76" s="2" t="str">
        <x:v>曹操</x:v>
      </x:c>
      <x:c r="I76" s="2" t="str">
        <x:v>曹丕</x:v>
      </x:c>
      <x:c r="J76" s="2" t="str">
        <x:v>曹叡</x:v>
      </x:c>
      <x:c r="K76" s="2" t="str">
        <x:v>曹芳</x:v>
      </x:c>
      <x:c r="L76" s="2" t="str">
        <x:v>晉陽(未)</x:v>
      </x:c>
    </x:row>
    <x:row r="77" ht="23" customHeight="1">
      <x:c r="A77" s="12" t="n">
        <x:v>69</x:v>
      </x:c>
      <x:c r="B77" s="2" t="str">
        <x:v>王韬</x:v>
      </x:c>
      <x:c r="C77" s="2" t="str">
        <x:v>天水(-)</x:v>
      </x:c>
      <x:c r="D77" s="2" t="str">
        <x:v>天水(-)</x:v>
      </x:c>
      <x:c r="E77" s="2" t="str">
        <x:v>天水(-)</x:v>
      </x:c>
      <x:c r="F77" s="2" t="str">
        <x:v>天水(-)</x:v>
      </x:c>
      <x:c r="G77" s="2" t="str">
        <x:v>天水(-)</x:v>
      </x:c>
      <x:c r="H77" s="2" t="str">
        <x:v>天水(-)</x:v>
      </x:c>
      <x:c r="I77" s="2" t="str">
        <x:v>天水(-)</x:v>
      </x:c>
      <x:c r="J77" s="2" t="str">
        <x:v>天水(-)</x:v>
      </x:c>
      <x:c r="K77" s="2" t="str">
        <x:v>曹芳</x:v>
      </x:c>
      <x:c r="L77" s="2" t="str">
        <x:v>天水(未)</x:v>
      </x:c>
    </x:row>
    <x:row r="78" ht="23" customHeight="1">
      <x:c r="A78" s="12" t="n">
        <x:v>70</x:v>
      </x:c>
      <x:c r="B78" s="2" t="str">
        <x:v>王惇</x:v>
      </x:c>
      <x:c r="C78" s="2" t="str">
        <x:v>建業(-)</x:v>
      </x:c>
      <x:c r="D78" s="2" t="str">
        <x:v>建業(-)</x:v>
      </x:c>
      <x:c r="E78" s="2" t="str">
        <x:v>建業(-)</x:v>
      </x:c>
      <x:c r="F78" s="2" t="str">
        <x:v>建業(-)</x:v>
      </x:c>
      <x:c r="G78" s="2" t="str">
        <x:v>建業(-)</x:v>
      </x:c>
      <x:c r="H78" s="2" t="str">
        <x:v>建業(未)</x:v>
      </x:c>
      <x:c r="I78" s="2" t="str">
        <x:v>建業(未)</x:v>
      </x:c>
      <x:c r="J78" s="2" t="str">
        <x:v>孫權</x:v>
      </x:c>
      <x:c r="K78" s="2" t="str">
        <x:v>孫權</x:v>
      </x:c>
      <x:c r="L78" s="2" t="str">
        <x:v>建業(未)</x:v>
      </x:c>
    </x:row>
    <x:row r="79" ht="23" customHeight="1">
      <x:c r="A79" s="12" t="n">
        <x:v>71</x:v>
      </x:c>
      <x:c r="B79" s="2" t="str">
        <x:v>王必</x:v>
      </x:c>
      <x:c r="C79" s="2" t="str">
        <x:v>陳留(-)</x:v>
      </x:c>
      <x:c r="D79" s="2" t="str">
        <x:v>曹操</x:v>
      </x:c>
      <x:c r="E79" s="2" t="str">
        <x:v>曹操</x:v>
      </x:c>
      <x:c r="F79" s="2" t="str">
        <x:v>曹操</x:v>
      </x:c>
      <x:c r="G79" s="2" t="str">
        <x:v>曹操</x:v>
      </x:c>
      <x:c r="H79" s="2" t="str">
        <x:v>曹操</x:v>
      </x:c>
      <x:c r="I79" s="2" t="str">
        <x:v>x</x:v>
      </x:c>
      <x:c r="J79" s="2" t="str">
        <x:v>x</x:v>
      </x:c>
      <x:c r="K79" s="2" t="str">
        <x:v>x</x:v>
      </x:c>
      <x:c r="L79" s="2" t="str">
        <x:v>陳留(未)</x:v>
      </x:c>
    </x:row>
    <x:row r="80" ht="23" customHeight="1">
      <x:c r="A80" s="12" t="n">
        <x:v>72</x:v>
      </x:c>
      <x:c r="B80" s="2" t="str">
        <x:v>王平</x:v>
      </x:c>
      <x:c r="C80" s="2" t="str">
        <x:v>梓潼(-)</x:v>
      </x:c>
      <x:c r="D80" s="2" t="str">
        <x:v>梓潼(-)</x:v>
      </x:c>
      <x:c r="E80" s="2" t="str">
        <x:v>梓潼(-)</x:v>
      </x:c>
      <x:c r="F80" s="2" t="str">
        <x:v>梓潼(-)</x:v>
      </x:c>
      <x:c r="G80" s="2" t="str">
        <x:v>梓潼(-)</x:v>
      </x:c>
      <x:c r="H80" s="2" t="str">
        <x:v>曹操</x:v>
      </x:c>
      <x:c r="I80" s="2" t="str">
        <x:v>劉備</x:v>
      </x:c>
      <x:c r="J80" s="2" t="str">
        <x:v>劉禪</x:v>
      </x:c>
      <x:c r="K80" s="2" t="str">
        <x:v>x</x:v>
      </x:c>
      <x:c r="L80" s="2" t="str">
        <x:v>劉備</x:v>
      </x:c>
    </x:row>
    <x:row r="81" ht="23" customHeight="1">
      <x:c r="A81" s="12" t="n">
        <x:v>73</x:v>
      </x:c>
      <x:c r="B81" s="2" t="str">
        <x:v>王甫</x:v>
      </x:c>
      <x:c r="C81" s="2" t="str">
        <x:v>成都(-)</x:v>
      </x:c>
      <x:c r="D81" s="2" t="str">
        <x:v>成都(未)</x:v>
      </x:c>
      <x:c r="E81" s="2" t="str">
        <x:v>成都(未)</x:v>
      </x:c>
      <x:c r="F81" s="2" t="str">
        <x:v>劉璋</x:v>
      </x:c>
      <x:c r="G81" s="2" t="str">
        <x:v>劉璋</x:v>
      </x:c>
      <x:c r="H81" s="2" t="str">
        <x:v>劉備</x:v>
      </x:c>
      <x:c r="I81" s="2" t="str">
        <x:v>x</x:v>
      </x:c>
      <x:c r="J81" s="2" t="str">
        <x:v>x</x:v>
      </x:c>
      <x:c r="K81" s="2" t="str">
        <x:v>x</x:v>
      </x:c>
      <x:c r="L81" s="2" t="str">
        <x:v>成都(未)</x:v>
      </x:c>
    </x:row>
    <x:row r="82" ht="23" customHeight="1">
      <x:c r="A82" s="12" t="n">
        <x:v>74</x:v>
      </x:c>
      <x:c r="B82" s="2" t="str">
        <x:v>王方</x:v>
      </x:c>
      <x:c r="C82" s="2" t="str">
        <x:v>董卓</x:v>
      </x:c>
      <x:c r="D82" s="2" t="str">
        <x:v>董卓</x:v>
      </x:c>
      <x:c r="E82" s="2" t="str">
        <x:v>x</x:v>
      </x:c>
      <x:c r="F82" s="2" t="str">
        <x:v>x</x:v>
      </x:c>
      <x:c r="G82" s="2" t="str">
        <x:v>x</x:v>
      </x:c>
      <x:c r="H82" s="2" t="str">
        <x:v>x</x:v>
      </x:c>
      <x:c r="I82" s="2" t="str">
        <x:v>x</x:v>
      </x:c>
      <x:c r="J82" s="2" t="str">
        <x:v>x</x:v>
      </x:c>
      <x:c r="K82" s="2" t="str">
        <x:v>x</x:v>
      </x:c>
      <x:c r="L82" s="2" t="str">
        <x:v>董卓</x:v>
      </x:c>
    </x:row>
    <x:row r="83" ht="23" customHeight="1">
      <x:c r="A83" s="12" t="n">
        <x:v>75</x:v>
      </x:c>
      <x:c r="B83" s="2" t="str">
        <x:v>王谋</x:v>
      </x:c>
      <x:c r="C83" s="2" t="str">
        <x:v>成都(-)</x:v>
      </x:c>
      <x:c r="D83" s="2" t="str">
        <x:v>成都(-)</x:v>
      </x:c>
      <x:c r="E83" s="2" t="str">
        <x:v>成都(-)</x:v>
      </x:c>
      <x:c r="F83" s="2" t="str">
        <x:v>劉璋</x:v>
      </x:c>
      <x:c r="G83" s="2" t="str">
        <x:v>劉璋</x:v>
      </x:c>
      <x:c r="H83" s="2" t="str">
        <x:v>劉備</x:v>
      </x:c>
      <x:c r="I83" s="2" t="str">
        <x:v>劉備</x:v>
      </x:c>
      <x:c r="J83" s="2" t="str">
        <x:v>x</x:v>
      </x:c>
      <x:c r="K83" s="2" t="str">
        <x:v>x</x:v>
      </x:c>
      <x:c r="L83" s="2" t="str">
        <x:v>成都(未)</x:v>
      </x:c>
    </x:row>
    <x:row r="84" ht="23" customHeight="1">
      <x:c r="A84" s="12" t="n">
        <x:v>76</x:v>
      </x:c>
      <x:c r="B84" s="2" t="str">
        <x:v>王门</x:v>
      </x:c>
      <x:c r="C84" s="2" t="str">
        <x:v>襄平(-)</x:v>
      </x:c>
      <x:c r="D84" s="2" t="str">
        <x:v>公孫瓚</x:v>
      </x:c>
      <x:c r="E84" s="2" t="str">
        <x:v>公孫瓚</x:v>
      </x:c>
      <x:c r="F84" s="2" t="str">
        <x:v>袁紹</x:v>
      </x:c>
      <x:c r="G84" s="2" t="str">
        <x:v>x</x:v>
      </x:c>
      <x:c r="H84" s="2" t="str">
        <x:v>x</x:v>
      </x:c>
      <x:c r="I84" s="2" t="str">
        <x:v>x</x:v>
      </x:c>
      <x:c r="J84" s="2" t="str">
        <x:v>x</x:v>
      </x:c>
      <x:c r="K84" s="2" t="str">
        <x:v>x</x:v>
      </x:c>
      <x:c r="L84" s="2" t="str">
        <x:v>公孫瓚</x:v>
      </x:c>
    </x:row>
    <x:row r="85" ht="23" customHeight="1">
      <x:c r="A85" s="12" t="n">
        <x:v>77</x:v>
      </x:c>
      <x:c r="B85" s="2" t="str">
        <x:v>王凌</x:v>
      </x:c>
      <x:c r="C85" s="2" t="str">
        <x:v>晉陽(-)</x:v>
      </x:c>
      <x:c r="D85" s="2" t="str">
        <x:v>晉陽(-)</x:v>
      </x:c>
      <x:c r="E85" s="2" t="str">
        <x:v>晉陽(未)</x:v>
      </x:c>
      <x:c r="F85" s="2" t="str">
        <x:v>晉陽(未)</x:v>
      </x:c>
      <x:c r="G85" s="2" t="str">
        <x:v>曹操</x:v>
      </x:c>
      <x:c r="H85" s="2" t="str">
        <x:v>曹操</x:v>
      </x:c>
      <x:c r="I85" s="2" t="str">
        <x:v>曹丕</x:v>
      </x:c>
      <x:c r="J85" s="2" t="str">
        <x:v>曹叡</x:v>
      </x:c>
      <x:c r="K85" s="2" t="str">
        <x:v>曹芳</x:v>
      </x:c>
      <x:c r="L85" s="2" t="str">
        <x:v>晉陽(未)</x:v>
      </x:c>
    </x:row>
    <x:row r="86" ht="23" customHeight="1">
      <x:c r="A86" s="12" t="n">
        <x:v>78</x:v>
      </x:c>
      <x:c r="B86" s="2" t="str">
        <x:v>王累</x:v>
      </x:c>
      <x:c r="C86" s="2" t="str">
        <x:v>成都(-)</x:v>
      </x:c>
      <x:c r="D86" s="2" t="str">
        <x:v>成都(-)</x:v>
      </x:c>
      <x:c r="E86" s="2" t="str">
        <x:v>劉璋</x:v>
      </x:c>
      <x:c r="F86" s="2" t="str">
        <x:v>劉璋</x:v>
      </x:c>
      <x:c r="G86" s="2" t="str">
        <x:v>劉璋</x:v>
      </x:c>
      <x:c r="H86" s="2" t="str">
        <x:v>x</x:v>
      </x:c>
      <x:c r="I86" s="2" t="str">
        <x:v>x</x:v>
      </x:c>
      <x:c r="J86" s="2" t="str">
        <x:v>x</x:v>
      </x:c>
      <x:c r="K86" s="2" t="str">
        <x:v>x</x:v>
      </x:c>
      <x:c r="L86" s="2" t="str">
        <x:v>劉焉</x:v>
      </x:c>
    </x:row>
    <x:row r="87" ht="23" customHeight="1">
      <x:c r="A87" s="12" t="n">
        <x:v>79</x:v>
      </x:c>
      <x:c r="B87" s="2" t="str">
        <x:v>王连</x:v>
      </x:c>
      <x:c r="C87" s="2" t="str">
        <x:v>宛(-)</x:v>
      </x:c>
      <x:c r="D87" s="2" t="str">
        <x:v>宛(-)</x:v>
      </x:c>
      <x:c r="E87" s="2" t="str">
        <x:v>宛(-)</x:v>
      </x:c>
      <x:c r="F87" s="2" t="str">
        <x:v>成都(-)</x:v>
      </x:c>
      <x:c r="G87" s="2" t="str">
        <x:v>劉璋</x:v>
      </x:c>
      <x:c r="H87" s="2" t="str">
        <x:v>劉備</x:v>
      </x:c>
      <x:c r="I87" s="2" t="str">
        <x:v>劉備</x:v>
      </x:c>
      <x:c r="J87" s="2" t="str">
        <x:v>x</x:v>
      </x:c>
      <x:c r="K87" s="2" t="str">
        <x:v>x</x:v>
      </x:c>
      <x:c r="L87" s="2" t="str">
        <x:v>宛(未)</x:v>
      </x:c>
    </x:row>
    <x:row r="88" ht="23" customHeight="1">
      <x:c r="A88" s="12" t="n">
        <x:v>80</x:v>
      </x:c>
      <x:c r="B88" s="2" t="str">
        <x:v>王朗</x:v>
      </x:c>
      <x:c r="C88" s="2" t="str">
        <x:v>下邳(未)</x:v>
      </x:c>
      <x:c r="D88" s="2" t="str">
        <x:v>陶謙</x:v>
      </x:c>
      <x:c r="E88" s="2" t="str">
        <x:v>王朗</x:v>
      </x:c>
      <x:c r="F88" s="2" t="str">
        <x:v>曹操</x:v>
      </x:c>
      <x:c r="G88" s="2" t="str">
        <x:v>曹操</x:v>
      </x:c>
      <x:c r="H88" s="2" t="str">
        <x:v>曹操</x:v>
      </x:c>
      <x:c r="I88" s="2" t="str">
        <x:v>曹丕</x:v>
      </x:c>
      <x:c r="J88" s="2" t="str">
        <x:v>曹叡</x:v>
      </x:c>
      <x:c r="K88" s="2" t="str">
        <x:v>x</x:v>
      </x:c>
      <x:c r="L88" s="2" t="str">
        <x:v>王朗</x:v>
      </x:c>
    </x:row>
    <x:row r="89" ht="23" customHeight="1">
      <x:c r="A89" s="12" t="n">
        <x:v>81</x:v>
      </x:c>
      <x:c r="B89" s="2" t="str">
        <x:v>于夫罗</x:v>
      </x:c>
      <x:c r="C89" s="2" t="str">
        <x:v>晉陽(野)</x:v>
      </x:c>
      <x:c r="D89" s="2" t="str">
        <x:v>晉陽(野)</x:v>
      </x:c>
      <x:c r="E89" s="2" t="str">
        <x:v>晉陽(野)</x:v>
      </x:c>
      <x:c r="F89" s="2" t="str">
        <x:v>x</x:v>
      </x:c>
      <x:c r="G89" s="2" t="str">
        <x:v>x</x:v>
      </x:c>
      <x:c r="H89" s="2" t="str">
        <x:v>x</x:v>
      </x:c>
      <x:c r="I89" s="2" t="str">
        <x:v>x</x:v>
      </x:c>
      <x:c r="J89" s="2" t="str">
        <x:v>x</x:v>
      </x:c>
      <x:c r="K89" s="2" t="str">
        <x:v>x</x:v>
      </x:c>
      <x:c r="L89" s="2" t="str">
        <x:v>晉陽(未)</x:v>
      </x:c>
    </x:row>
    <x:row r="90" ht="23" customHeight="1">
      <x:c r="A90" s="12" t="n">
        <x:v>82</x:v>
      </x:c>
      <x:c r="B90" s="2" t="str">
        <x:v>温恢</x:v>
      </x:c>
      <x:c r="C90" s="2" t="str">
        <x:v>晉陽(-)</x:v>
      </x:c>
      <x:c r="D90" s="2" t="str">
        <x:v>晉陽(-)</x:v>
      </x:c>
      <x:c r="E90" s="2" t="str">
        <x:v>晉陽(-)</x:v>
      </x:c>
      <x:c r="F90" s="2" t="str">
        <x:v>小沛(未)</x:v>
      </x:c>
      <x:c r="G90" s="2" t="str">
        <x:v>曹操</x:v>
      </x:c>
      <x:c r="H90" s="2" t="str">
        <x:v>曹操</x:v>
      </x:c>
      <x:c r="I90" s="2" t="str">
        <x:v>曹丕</x:v>
      </x:c>
      <x:c r="J90" s="2" t="str">
        <x:v>x</x:v>
      </x:c>
      <x:c r="K90" s="2" t="str">
        <x:v>x</x:v>
      </x:c>
      <x:c r="L90" s="2" t="str">
        <x:v>晉陽(未)</x:v>
      </x:c>
    </x:row>
    <x:row r="91" ht="23" customHeight="1">
      <x:c r="A91" s="12" t="n">
        <x:v>83</x:v>
      </x:c>
      <x:c r="B91" s="2" t="str">
        <x:v>何晏</x:v>
      </x:c>
      <x:c r="C91" s="2" t="str">
        <x:v>宛(-)</x:v>
      </x:c>
      <x:c r="D91" s="2" t="str">
        <x:v>陳留(-)</x:v>
      </x:c>
      <x:c r="E91" s="2" t="str">
        <x:v>陳留(-)</x:v>
      </x:c>
      <x:c r="F91" s="2" t="str">
        <x:v>許昌(-)</x:v>
      </x:c>
      <x:c r="G91" s="2" t="str">
        <x:v>鄴(-)</x:v>
      </x:c>
      <x:c r="H91" s="2" t="str">
        <x:v>曹操</x:v>
      </x:c>
      <x:c r="I91" s="2" t="str">
        <x:v>曹丕</x:v>
      </x:c>
      <x:c r="J91" s="2" t="str">
        <x:v>曹叡</x:v>
      </x:c>
      <x:c r="K91" s="2" t="str">
        <x:v>曹爽</x:v>
      </x:c>
      <x:c r="L91" s="2" t="str">
        <x:v>何進</x:v>
      </x:c>
    </x:row>
    <x:row r="92" ht="23" customHeight="1">
      <x:c r="A92" s="12" t="n">
        <x:v>84</x:v>
      </x:c>
      <x:c r="B92" s="2" t="str">
        <x:v>蒯越</x:v>
      </x:c>
      <x:c r="C92" s="2" t="str">
        <x:v>襄陽(未)</x:v>
      </x:c>
      <x:c r="D92" s="2" t="str">
        <x:v>劉表</x:v>
      </x:c>
      <x:c r="E92" s="2" t="str">
        <x:v>劉表</x:v>
      </x:c>
      <x:c r="F92" s="2" t="str">
        <x:v>劉表</x:v>
      </x:c>
      <x:c r="G92" s="2" t="str">
        <x:v>劉表</x:v>
      </x:c>
      <x:c r="H92" s="2" t="str">
        <x:v>x</x:v>
      </x:c>
      <x:c r="I92" s="2" t="str">
        <x:v>x</x:v>
      </x:c>
      <x:c r="J92" s="2" t="str">
        <x:v>x</x:v>
      </x:c>
      <x:c r="K92" s="2" t="str">
        <x:v>x</x:v>
      </x:c>
      <x:c r="L92" s="2" t="str">
        <x:v>劉表</x:v>
      </x:c>
    </x:row>
    <x:row r="93" ht="23" customHeight="1">
      <x:c r="A93" s="12" t="n">
        <x:v>85</x:v>
      </x:c>
      <x:c r="B93" s="2" t="str">
        <x:v>蒯良</x:v>
      </x:c>
      <x:c r="C93" s="2" t="str">
        <x:v>襄陽(未)</x:v>
      </x:c>
      <x:c r="D93" s="2" t="str">
        <x:v>劉表</x:v>
      </x:c>
      <x:c r="E93" s="2" t="str">
        <x:v>劉表</x:v>
      </x:c>
      <x:c r="F93" s="2" t="str">
        <x:v>劉表</x:v>
      </x:c>
      <x:c r="G93" s="2" t="str">
        <x:v>x</x:v>
      </x:c>
      <x:c r="H93" s="2" t="str">
        <x:v>x</x:v>
      </x:c>
      <x:c r="I93" s="2" t="str">
        <x:v>x</x:v>
      </x:c>
      <x:c r="J93" s="2" t="str">
        <x:v>x</x:v>
      </x:c>
      <x:c r="K93" s="2" t="str">
        <x:v>x</x:v>
      </x:c>
      <x:c r="L93" s="2" t="str">
        <x:v>劉表</x:v>
      </x:c>
    </x:row>
    <x:row r="94" ht="23" customHeight="1">
      <x:c r="A94" s="12" t="n">
        <x:v>86</x:v>
      </x:c>
      <x:c r="B94" s="2" t="str">
        <x:v>贾华</x:v>
      </x:c>
      <x:c r="C94" s="2" t="str">
        <x:v>廬江(-)</x:v>
      </x:c>
      <x:c r="D94" s="2" t="str">
        <x:v>廬江(-)</x:v>
      </x:c>
      <x:c r="E94" s="2" t="str">
        <x:v>廬江(-)</x:v>
      </x:c>
      <x:c r="F94" s="2" t="str">
        <x:v>孫策</x:v>
      </x:c>
      <x:c r="G94" s="2" t="str">
        <x:v>孫權</x:v>
      </x:c>
      <x:c r="H94" s="2" t="str">
        <x:v>孫權</x:v>
      </x:c>
      <x:c r="I94" s="2" t="str">
        <x:v>孫權</x:v>
      </x:c>
      <x:c r="J94" s="2" t="str">
        <x:v>x</x:v>
      </x:c>
      <x:c r="K94" s="2" t="str">
        <x:v>x</x:v>
      </x:c>
      <x:c r="L94" s="2" t="str">
        <x:v>廬江(未)</x:v>
      </x:c>
    </x:row>
    <x:row r="95" ht="23" customHeight="1">
      <x:c r="A95" s="12" t="n">
        <x:v>87</x:v>
      </x:c>
      <x:c r="B95" s="2" t="str">
        <x:v>华核</x:v>
      </x:c>
      <x:c r="C95" s="2" t="str">
        <x:v>吳(-)</x:v>
      </x:c>
      <x:c r="D95" s="2" t="str">
        <x:v>吳(-)</x:v>
      </x:c>
      <x:c r="E95" s="2" t="str">
        <x:v>吳(-)</x:v>
      </x:c>
      <x:c r="F95" s="2" t="str">
        <x:v>吳(-)</x:v>
      </x:c>
      <x:c r="G95" s="2" t="str">
        <x:v>吳(-)</x:v>
      </x:c>
      <x:c r="H95" s="2" t="str">
        <x:v>吳(-)</x:v>
      </x:c>
      <x:c r="I95" s="2" t="str">
        <x:v>吳(-)</x:v>
      </x:c>
      <x:c r="J95" s="2" t="str">
        <x:v>吳(-)</x:v>
      </x:c>
      <x:c r="K95" s="2" t="str">
        <x:v>吳(未)</x:v>
      </x:c>
      <x:c r="L95" s="2" t="str">
        <x:v>吳(未)</x:v>
      </x:c>
    </x:row>
    <x:row r="96" ht="23" customHeight="1">
      <x:c r="A96" s="12" t="n">
        <x:v>88</x:v>
      </x:c>
      <x:c r="B96" s="2" t="str">
        <x:v>俄何烧戈</x:v>
      </x:c>
      <x:c r="C96" s="2" t="str">
        <x:v>天水(-)</x:v>
      </x:c>
      <x:c r="D96" s="2" t="str">
        <x:v>天水(-)</x:v>
      </x:c>
      <x:c r="E96" s="2" t="str">
        <x:v>天水(-)</x:v>
      </x:c>
      <x:c r="F96" s="2" t="str">
        <x:v>天水(-)</x:v>
      </x:c>
      <x:c r="G96" s="2" t="str">
        <x:v>天水(-)</x:v>
      </x:c>
      <x:c r="H96" s="2" t="str">
        <x:v>天水(-)</x:v>
      </x:c>
      <x:c r="I96" s="2" t="str">
        <x:v>天水(-)</x:v>
      </x:c>
      <x:c r="J96" s="2" t="str">
        <x:v>天水(未)</x:v>
      </x:c>
      <x:c r="K96" s="2" t="str">
        <x:v>天水(野)</x:v>
      </x:c>
      <x:c r="L96" s="2" t="str">
        <x:v>天水(未)</x:v>
      </x:c>
    </x:row>
    <x:row r="97" ht="23" customHeight="1">
      <x:c r="A97" s="12" t="n">
        <x:v>89</x:v>
      </x:c>
      <x:c r="B97" s="2" t="str">
        <x:v>贾逵</x:v>
      </x:c>
      <x:c r="C97" s="2" t="str">
        <x:v>洛陽(-)</x:v>
      </x:c>
      <x:c r="D97" s="2" t="str">
        <x:v>洛陽(-)</x:v>
      </x:c>
      <x:c r="E97" s="2" t="str">
        <x:v>洛陽(-)</x:v>
      </x:c>
      <x:c r="F97" s="2" t="str">
        <x:v>洛陽(未)</x:v>
      </x:c>
      <x:c r="G97" s="2" t="str">
        <x:v>曹操</x:v>
      </x:c>
      <x:c r="H97" s="2" t="str">
        <x:v>曹操</x:v>
      </x:c>
      <x:c r="I97" s="2" t="str">
        <x:v>曹丕</x:v>
      </x:c>
      <x:c r="J97" s="2" t="str">
        <x:v>曹叡</x:v>
      </x:c>
      <x:c r="K97" s="2" t="str">
        <x:v>x</x:v>
      </x:c>
      <x:c r="L97" s="2" t="str">
        <x:v>洛陽(未)</x:v>
      </x:c>
    </x:row>
    <x:row r="98" ht="23" customHeight="1">
      <x:c r="A98" s="12" t="n">
        <x:v>90</x:v>
      </x:c>
      <x:c r="B98" s="2" t="str">
        <x:v>何仪</x:v>
      </x:c>
      <x:c r="C98" s="2" t="str">
        <x:v>張角</x:v>
      </x:c>
      <x:c r="D98" s="2" t="str">
        <x:v>汝南(野)</x:v>
      </x:c>
      <x:c r="E98" s="2" t="str">
        <x:v>汝南(野)</x:v>
      </x:c>
      <x:c r="F98" s="2" t="str">
        <x:v>x</x:v>
      </x:c>
      <x:c r="G98" s="2" t="str">
        <x:v>x</x:v>
      </x:c>
      <x:c r="H98" s="2" t="str">
        <x:v>x</x:v>
      </x:c>
      <x:c r="I98" s="2" t="str">
        <x:v>x</x:v>
      </x:c>
      <x:c r="J98" s="2" t="str">
        <x:v>x</x:v>
      </x:c>
      <x:c r="K98" s="2" t="str">
        <x:v>x</x:v>
      </x:c>
      <x:c r="L98" s="2" t="str">
        <x:v>張角</x:v>
      </x:c>
    </x:row>
    <x:row r="99" ht="23" customHeight="1">
      <x:c r="A99" s="12" t="n">
        <x:v>91</x:v>
      </x:c>
      <x:c r="B99" s="2" t="str">
        <x:v>华歆</x:v>
      </x:c>
      <x:c r="C99" s="2" t="str">
        <x:v>平原(未)</x:v>
      </x:c>
      <x:c r="D99" s="2" t="str">
        <x:v>董卓</x:v>
      </x:c>
      <x:c r="E99" s="2" t="str">
        <x:v>王朗</x:v>
      </x:c>
      <x:c r="F99" s="2" t="str">
        <x:v>孫策</x:v>
      </x:c>
      <x:c r="G99" s="2" t="str">
        <x:v>曹操</x:v>
      </x:c>
      <x:c r="H99" s="2" t="str">
        <x:v>曹操</x:v>
      </x:c>
      <x:c r="I99" s="2" t="str">
        <x:v>曹丕</x:v>
      </x:c>
      <x:c r="J99" s="2" t="str">
        <x:v>曹叡</x:v>
      </x:c>
      <x:c r="K99" s="2" t="str">
        <x:v>x</x:v>
      </x:c>
      <x:c r="L99" s="2" t="str">
        <x:v>王朗</x:v>
      </x:c>
    </x:row>
    <x:row r="100" ht="23" customHeight="1">
      <x:c r="A100" s="12" t="n">
        <x:v>92</x:v>
      </x:c>
      <x:c r="B100" s="2" t="str">
        <x:v>贾诩</x:v>
      </x:c>
      <x:c r="C100" s="2" t="str">
        <x:v>武威(未)</x:v>
      </x:c>
      <x:c r="D100" s="2" t="str">
        <x:v>董卓</x:v>
      </x:c>
      <x:c r="E100" s="2" t="str">
        <x:v>李傕</x:v>
      </x:c>
      <x:c r="F100" s="2" t="str">
        <x:v>張繡</x:v>
      </x:c>
      <x:c r="G100" s="2" t="str">
        <x:v>曹操</x:v>
      </x:c>
      <x:c r="H100" s="2" t="str">
        <x:v>曹操</x:v>
      </x:c>
      <x:c r="I100" s="2" t="str">
        <x:v>曹丕</x:v>
      </x:c>
      <x:c r="J100" s="2" t="str">
        <x:v>x</x:v>
      </x:c>
      <x:c r="K100" s="2" t="str">
        <x:v>x</x:v>
      </x:c>
      <x:c r="L100" s="2" t="str">
        <x:v>張繡</x:v>
      </x:c>
    </x:row>
    <x:row r="101" ht="23" customHeight="1">
      <x:c r="A101" s="12" t="n">
        <x:v>93</x:v>
      </x:c>
      <x:c r="B101" s="2" t="str">
        <x:v>郭奕</x:v>
      </x:c>
      <x:c r="C101" s="2" t="str">
        <x:v>許昌(-)</x:v>
      </x:c>
      <x:c r="D101" s="2" t="str">
        <x:v>許昌(-)</x:v>
      </x:c>
      <x:c r="E101" s="2" t="str">
        <x:v>許昌(-)</x:v>
      </x:c>
      <x:c r="F101" s="2" t="str">
        <x:v>許昌(-)</x:v>
      </x:c>
      <x:c r="G101" s="2" t="str">
        <x:v>曹操</x:v>
      </x:c>
      <x:c r="H101" s="2" t="str">
        <x:v>曹操</x:v>
      </x:c>
      <x:c r="I101" s="2" t="str">
        <x:v>曹丕</x:v>
      </x:c>
      <x:c r="J101" s="2" t="str">
        <x:v>曹叡</x:v>
      </x:c>
      <x:c r="K101" s="2" t="str">
        <x:v>x</x:v>
      </x:c>
      <x:c r="L101" s="2" t="str">
        <x:v>曹操</x:v>
      </x:c>
    </x:row>
    <x:row r="102" ht="23" customHeight="1">
      <x:c r="A102" s="12" t="n">
        <x:v>94</x:v>
      </x:c>
      <x:c r="B102" s="2" t="str">
        <x:v>郭援</x:v>
      </x:c>
      <x:c r="C102" s="2" t="str">
        <x:v>南皮(-)</x:v>
      </x:c>
      <x:c r="D102" s="2" t="str">
        <x:v>南皮(-)</x:v>
      </x:c>
      <x:c r="E102" s="2" t="str">
        <x:v>南皮(未)</x:v>
      </x:c>
      <x:c r="F102" s="2" t="str">
        <x:v>袁紹</x:v>
      </x:c>
      <x:c r="G102" s="2" t="str">
        <x:v>x</x:v>
      </x:c>
      <x:c r="H102" s="2" t="str">
        <x:v>x</x:v>
      </x:c>
      <x:c r="I102" s="2" t="str">
        <x:v>x</x:v>
      </x:c>
      <x:c r="J102" s="2" t="str">
        <x:v>x</x:v>
      </x:c>
      <x:c r="K102" s="2" t="str">
        <x:v>x</x:v>
      </x:c>
      <x:c r="L102" s="2" t="str">
        <x:v>南皮(未)</x:v>
      </x:c>
    </x:row>
    <x:row r="103" ht="23" customHeight="1">
      <x:c r="A103" s="12" t="n">
        <x:v>95</x:v>
      </x:c>
      <x:c r="B103" s="2" t="str">
        <x:v>郭嘉</x:v>
      </x:c>
      <x:c r="C103" s="2" t="str">
        <x:v>許昌(-)</x:v>
      </x:c>
      <x:c r="D103" s="2" t="str">
        <x:v>許昌(未)</x:v>
      </x:c>
      <x:c r="E103" s="2" t="str">
        <x:v>曹操</x:v>
      </x:c>
      <x:c r="F103" s="2" t="str">
        <x:v>曹操</x:v>
      </x:c>
      <x:c r="G103" s="2" t="str">
        <x:v>x</x:v>
      </x:c>
      <x:c r="H103" s="2" t="str">
        <x:v>x</x:v>
      </x:c>
      <x:c r="I103" s="2" t="str">
        <x:v>x</x:v>
      </x:c>
      <x:c r="J103" s="2" t="str">
        <x:v>x</x:v>
      </x:c>
      <x:c r="K103" s="2" t="str">
        <x:v>x</x:v>
      </x:c>
      <x:c r="L103" s="2" t="str">
        <x:v>曹操</x:v>
      </x:c>
    </x:row>
    <x:row r="104" ht="23" customHeight="1">
      <x:c r="A104" s="12" t="n">
        <x:v>96</x:v>
      </x:c>
      <x:c r="B104" s="2" t="str">
        <x:v>鄂焕</x:v>
      </x:c>
      <x:c r="C104" s="2" t="str">
        <x:v>建寧(-)</x:v>
      </x:c>
      <x:c r="D104" s="2" t="str">
        <x:v>建寧(-)</x:v>
      </x:c>
      <x:c r="E104" s="2" t="str">
        <x:v>建寧(-)</x:v>
      </x:c>
      <x:c r="F104" s="2" t="str">
        <x:v>建寧(-)</x:v>
      </x:c>
      <x:c r="G104" s="2" t="str">
        <x:v>建寧(-)</x:v>
      </x:c>
      <x:c r="H104" s="2" t="str">
        <x:v>建寧(-)</x:v>
      </x:c>
      <x:c r="I104" s="2" t="str">
        <x:v>劉備</x:v>
      </x:c>
      <x:c r="J104" s="2" t="str">
        <x:v>劉禪</x:v>
      </x:c>
      <x:c r="K104" s="2" t="str">
        <x:v>劉禪</x:v>
      </x:c>
      <x:c r="L104" s="2" t="str">
        <x:v>雍闓</x:v>
      </x:c>
    </x:row>
    <x:row r="105" ht="23" customHeight="1">
      <x:c r="A105" s="12" t="n">
        <x:v>97</x:v>
      </x:c>
      <x:c r="B105" s="2" t="str">
        <x:v>郭汜</x:v>
      </x:c>
      <x:c r="C105" s="2" t="str">
        <x:v>董卓</x:v>
      </x:c>
      <x:c r="D105" s="2" t="str">
        <x:v>董卓</x:v>
      </x:c>
      <x:c r="E105" s="2" t="str">
        <x:v>李傕</x:v>
      </x:c>
      <x:c r="F105" s="2" t="str">
        <x:v>x</x:v>
      </x:c>
      <x:c r="G105" s="2" t="str">
        <x:v>x</x:v>
      </x:c>
      <x:c r="H105" s="2" t="str">
        <x:v>x</x:v>
      </x:c>
      <x:c r="I105" s="2" t="str">
        <x:v>x</x:v>
      </x:c>
      <x:c r="J105" s="2" t="str">
        <x:v>x</x:v>
      </x:c>
      <x:c r="K105" s="2" t="str">
        <x:v>x</x:v>
      </x:c>
      <x:c r="L105" s="2" t="str">
        <x:v>董卓</x:v>
      </x:c>
    </x:row>
    <x:row r="106" ht="23" customHeight="1">
      <x:c r="A106" s="12" t="n">
        <x:v>98</x:v>
      </x:c>
      <x:c r="B106" s="2" t="str">
        <x:v>乐就</x:v>
      </x:c>
      <x:c r="C106" s="2" t="str">
        <x:v>宛(未)</x:v>
      </x:c>
      <x:c r="D106" s="2" t="str">
        <x:v>袁術</x:v>
      </x:c>
      <x:c r="E106" s="2" t="str">
        <x:v>袁術</x:v>
      </x:c>
      <x:c r="F106" s="2" t="str">
        <x:v>x</x:v>
      </x:c>
      <x:c r="G106" s="2" t="str">
        <x:v>x</x:v>
      </x:c>
      <x:c r="H106" s="2" t="str">
        <x:v>x</x:v>
      </x:c>
      <x:c r="I106" s="2" t="str">
        <x:v>x</x:v>
      </x:c>
      <x:c r="J106" s="2" t="str">
        <x:v>x</x:v>
      </x:c>
      <x:c r="K106" s="2" t="str">
        <x:v>x</x:v>
      </x:c>
      <x:c r="L106" s="2" t="str">
        <x:v>袁術</x:v>
      </x:c>
    </x:row>
    <x:row r="107" ht="23" customHeight="1">
      <x:c r="A107" s="12" t="n">
        <x:v>99</x:v>
      </x:c>
      <x:c r="B107" s="2" t="str">
        <x:v>霍峻</x:v>
      </x:c>
      <x:c r="C107" s="2" t="str">
        <x:v>江陵(-)</x:v>
      </x:c>
      <x:c r="D107" s="2" t="str">
        <x:v>江陵(-)</x:v>
      </x:c>
      <x:c r="E107" s="2" t="str">
        <x:v>江陵(-)</x:v>
      </x:c>
      <x:c r="F107" s="2" t="str">
        <x:v>劉表</x:v>
      </x:c>
      <x:c r="G107" s="2" t="str">
        <x:v>劉表</x:v>
      </x:c>
      <x:c r="H107" s="2" t="str">
        <x:v>劉備</x:v>
      </x:c>
      <x:c r="I107" s="2" t="str">
        <x:v>x</x:v>
      </x:c>
      <x:c r="J107" s="2" t="str">
        <x:v>x</x:v>
      </x:c>
      <x:c r="K107" s="2" t="str">
        <x:v>x</x:v>
      </x:c>
      <x:c r="L107" s="2" t="str">
        <x:v>江陵(未)</x:v>
      </x:c>
    </x:row>
    <x:row r="108" ht="23" customHeight="1">
      <x:c r="A108" s="12" t="n">
        <x:v>100</x:v>
      </x:c>
      <x:c r="B108" s="2" t="str">
        <x:v>郝昭</x:v>
      </x:c>
      <x:c r="C108" s="2" t="str">
        <x:v>晉陽(-)</x:v>
      </x:c>
      <x:c r="D108" s="2" t="str">
        <x:v>晉陽(-)</x:v>
      </x:c>
      <x:c r="E108" s="2" t="str">
        <x:v>晉陽(-)</x:v>
      </x:c>
      <x:c r="F108" s="2" t="str">
        <x:v>晉陽(-)</x:v>
      </x:c>
      <x:c r="G108" s="2" t="str">
        <x:v>曹操</x:v>
      </x:c>
      <x:c r="H108" s="2" t="str">
        <x:v>曹操</x:v>
      </x:c>
      <x:c r="I108" s="2" t="str">
        <x:v>曹丕</x:v>
      </x:c>
      <x:c r="J108" s="2" t="str">
        <x:v>曹叡</x:v>
      </x:c>
      <x:c r="K108" s="2" t="str">
        <x:v>x</x:v>
      </x:c>
      <x:c r="L108" s="2" t="str">
        <x:v>晉陽(未)</x:v>
      </x:c>
    </x:row>
    <x:row r="109" ht="23" customHeight="1">
      <x:c r="A109" s="12" t="n">
        <x:v>101</x:v>
      </x:c>
      <x:c r="B109" s="2" t="str">
        <x:v>郭女王</x:v>
      </x:c>
      <x:c r="C109" s="2" t="str">
        <x:v>鄴(-)</x:v>
      </x:c>
      <x:c r="D109" s="2" t="str">
        <x:v>鄴(-)</x:v>
      </x:c>
      <x:c r="E109" s="2" t="str">
        <x:v>鄴(-)</x:v>
      </x:c>
      <x:c r="F109" s="2" t="str">
        <x:v>鄴(-)</x:v>
      </x:c>
      <x:c r="G109" s="2" t="str">
        <x:v>鄴(未)</x:v>
      </x:c>
      <x:c r="H109" s="2" t="str">
        <x:v>曹操</x:v>
      </x:c>
      <x:c r="I109" s="2" t="str">
        <x:v>曹丕</x:v>
      </x:c>
      <x:c r="J109" s="2" t="str">
        <x:v>曹叡</x:v>
      </x:c>
      <x:c r="K109" s="2" t="str">
        <x:v>x</x:v>
      </x:c>
      <x:c r="L109" s="2" t="str">
        <x:v>曹操</x:v>
      </x:c>
    </x:row>
    <x:row r="110" ht="23" customHeight="1">
      <x:c r="A110" s="12" t="n">
        <x:v>102</x:v>
      </x:c>
      <x:c r="B110" s="2" t="str">
        <x:v>乐进</x:v>
      </x:c>
      <x:c r="C110" s="2" t="str">
        <x:v>濮陽(-)</x:v>
      </x:c>
      <x:c r="D110" s="2" t="str">
        <x:v>曹操</x:v>
      </x:c>
      <x:c r="E110" s="2" t="str">
        <x:v>曹操</x:v>
      </x:c>
      <x:c r="F110" s="2" t="str">
        <x:v>曹操</x:v>
      </x:c>
      <x:c r="G110" s="2" t="str">
        <x:v>曹操</x:v>
      </x:c>
      <x:c r="H110" s="2" t="str">
        <x:v>曹操</x:v>
      </x:c>
      <x:c r="I110" s="2" t="str">
        <x:v>x</x:v>
      </x:c>
      <x:c r="J110" s="2" t="str">
        <x:v>x</x:v>
      </x:c>
      <x:c r="K110" s="2" t="str">
        <x:v>x</x:v>
      </x:c>
      <x:c r="L110" s="2" t="str">
        <x:v>曹操</x:v>
      </x:c>
    </x:row>
    <x:row r="111" ht="23" customHeight="1">
      <x:c r="A111" s="12" t="n">
        <x:v>103</x:v>
      </x:c>
      <x:c r="B111" s="2" t="str">
        <x:v>郭石</x:v>
      </x:c>
      <x:c r="C111" s="2" t="str">
        <x:v>桂陽(野)</x:v>
      </x:c>
      <x:c r="D111" s="2" t="str">
        <x:v>x</x:v>
      </x:c>
      <x:c r="E111" s="2" t="str">
        <x:v>x</x:v>
      </x:c>
      <x:c r="F111" s="2" t="str">
        <x:v>x</x:v>
      </x:c>
      <x:c r="G111" s="2" t="str">
        <x:v>x</x:v>
      </x:c>
      <x:c r="H111" s="2" t="str">
        <x:v>x</x:v>
      </x:c>
      <x:c r="I111" s="2" t="str">
        <x:v>x</x:v>
      </x:c>
      <x:c r="J111" s="2" t="str">
        <x:v>x</x:v>
      </x:c>
      <x:c r="K111" s="2" t="str">
        <x:v>x</x:v>
      </x:c>
      <x:c r="L111" s="2" t="str">
        <x:v>桂陽(未)</x:v>
      </x:c>
    </x:row>
    <x:row r="112" ht="23" customHeight="1">
      <x:c r="A112" s="12" t="n">
        <x:v>104</x:v>
      </x:c>
      <x:c r="B112" s="2" t="str">
        <x:v>乐𬘭</x:v>
      </x:c>
      <x:c r="C112" s="2" t="str">
        <x:v>濮陽(-)</x:v>
      </x:c>
      <x:c r="D112" s="2" t="str">
        <x:v>濮陽(-)</x:v>
      </x:c>
      <x:c r="E112" s="2" t="str">
        <x:v>濮陽(-)</x:v>
      </x:c>
      <x:c r="F112" s="2" t="str">
        <x:v>濮陽(-)</x:v>
      </x:c>
      <x:c r="G112" s="2" t="str">
        <x:v>濮陽(-)</x:v>
      </x:c>
      <x:c r="H112" s="2" t="str">
        <x:v>曹操</x:v>
      </x:c>
      <x:c r="I112" s="2" t="str">
        <x:v>曹丕</x:v>
      </x:c>
      <x:c r="J112" s="2" t="str">
        <x:v>曹叡</x:v>
      </x:c>
      <x:c r="K112" s="2" t="str">
        <x:v>曹芳</x:v>
      </x:c>
      <x:c r="L112" s="2" t="str">
        <x:v>曹操</x:v>
      </x:c>
    </x:row>
    <x:row r="113" ht="23" customHeight="1">
      <x:c r="A113" s="12" t="n">
        <x:v>105</x:v>
      </x:c>
      <x:c r="B113" s="2" t="str">
        <x:v>郭图</x:v>
      </x:c>
      <x:c r="C113" s="2" t="str">
        <x:v>許昌(未)</x:v>
      </x:c>
      <x:c r="D113" s="2" t="str">
        <x:v>袁紹</x:v>
      </x:c>
      <x:c r="E113" s="2" t="str">
        <x:v>袁紹</x:v>
      </x:c>
      <x:c r="F113" s="2" t="str">
        <x:v>袁紹</x:v>
      </x:c>
      <x:c r="G113" s="2" t="str">
        <x:v>x</x:v>
      </x:c>
      <x:c r="H113" s="2" t="str">
        <x:v>x</x:v>
      </x:c>
      <x:c r="I113" s="2" t="str">
        <x:v>x</x:v>
      </x:c>
      <x:c r="J113" s="2" t="str">
        <x:v>x</x:v>
      </x:c>
      <x:c r="K113" s="2" t="str">
        <x:v>x</x:v>
      </x:c>
      <x:c r="L113" s="2" t="str">
        <x:v>袁紹</x:v>
      </x:c>
    </x:row>
    <x:row r="114" ht="23" customHeight="1">
      <x:c r="A114" s="12" t="n">
        <x:v>106</x:v>
      </x:c>
      <x:c r="B114" s="2" t="str">
        <x:v>郭马</x:v>
      </x:c>
      <x:c r="C114" s="2" t="str">
        <x:v>建安(-)</x:v>
      </x:c>
      <x:c r="D114" s="2" t="str">
        <x:v>建安(-)</x:v>
      </x:c>
      <x:c r="E114" s="2" t="str">
        <x:v>建安(-)</x:v>
      </x:c>
      <x:c r="F114" s="2" t="str">
        <x:v>建安(-)</x:v>
      </x:c>
      <x:c r="G114" s="2" t="str">
        <x:v>建安(-)</x:v>
      </x:c>
      <x:c r="H114" s="2" t="str">
        <x:v>建安(-)</x:v>
      </x:c>
      <x:c r="I114" s="2" t="str">
        <x:v>建安(-)</x:v>
      </x:c>
      <x:c r="J114" s="2" t="str">
        <x:v>建安(-)</x:v>
      </x:c>
      <x:c r="K114" s="2" t="str">
        <x:v>建安(-)</x:v>
      </x:c>
      <x:c r="L114" s="2" t="str">
        <x:v>建安(未)</x:v>
      </x:c>
    </x:row>
    <x:row r="115" ht="23" customHeight="1">
      <x:c r="A115" s="12" t="n">
        <x:v>107</x:v>
      </x:c>
      <x:c r="B115" s="2" t="str">
        <x:v>郝普</x:v>
      </x:c>
      <x:c r="C115" s="2" t="str">
        <x:v>新野(-)</x:v>
      </x:c>
      <x:c r="D115" s="2" t="str">
        <x:v>新野(-)</x:v>
      </x:c>
      <x:c r="E115" s="2" t="str">
        <x:v>新野(-)</x:v>
      </x:c>
      <x:c r="F115" s="2" t="str">
        <x:v>新野(-)</x:v>
      </x:c>
      <x:c r="G115" s="2" t="str">
        <x:v>新野(-)</x:v>
      </x:c>
      <x:c r="H115" s="2" t="str">
        <x:v>劉備</x:v>
      </x:c>
      <x:c r="I115" s="2" t="str">
        <x:v>孫權</x:v>
      </x:c>
      <x:c r="J115" s="2" t="str">
        <x:v>孫權</x:v>
      </x:c>
      <x:c r="K115" s="2" t="str">
        <x:v>x</x:v>
      </x:c>
      <x:c r="L115" s="2" t="str">
        <x:v>新野(未)</x:v>
      </x:c>
    </x:row>
    <x:row r="116" ht="23" customHeight="1">
      <x:c r="A116" s="12" t="n">
        <x:v>108</x:v>
      </x:c>
      <x:c r="B116" s="2" t="str">
        <x:v>郝萌</x:v>
      </x:c>
      <x:c r="C116" s="2" t="str">
        <x:v>晉陽(未)</x:v>
      </x:c>
      <x:c r="D116" s="2" t="str">
        <x:v>晉陽(未)</x:v>
      </x:c>
      <x:c r="E116" s="2" t="str">
        <x:v>呂布</x:v>
      </x:c>
      <x:c r="F116" s="2" t="str">
        <x:v>x</x:v>
      </x:c>
      <x:c r="G116" s="2" t="str">
        <x:v>x</x:v>
      </x:c>
      <x:c r="H116" s="2" t="str">
        <x:v>x</x:v>
      </x:c>
      <x:c r="I116" s="2" t="str">
        <x:v>x</x:v>
      </x:c>
      <x:c r="J116" s="2" t="str">
        <x:v>x</x:v>
      </x:c>
      <x:c r="K116" s="2" t="str">
        <x:v>x</x:v>
      </x:c>
      <x:c r="L116" s="2" t="str">
        <x:v>呂布</x:v>
      </x:c>
    </x:row>
    <x:row r="117" ht="23" customHeight="1">
      <x:c r="A117" s="12" t="n">
        <x:v>109</x:v>
      </x:c>
      <x:c r="B117" s="2" t="str">
        <x:v>郭攸之</x:v>
      </x:c>
      <x:c r="C117" s="2" t="str">
        <x:v>宛(-)</x:v>
      </x:c>
      <x:c r="D117" s="2" t="str">
        <x:v>宛(-)</x:v>
      </x:c>
      <x:c r="E117" s="2" t="str">
        <x:v>宛(-)</x:v>
      </x:c>
      <x:c r="F117" s="2" t="str">
        <x:v>宛(-)</x:v>
      </x:c>
      <x:c r="G117" s="2" t="str">
        <x:v>宛(-)</x:v>
      </x:c>
      <x:c r="H117" s="2" t="str">
        <x:v>劉備</x:v>
      </x:c>
      <x:c r="I117" s="2" t="str">
        <x:v>劉備</x:v>
      </x:c>
      <x:c r="J117" s="2" t="str">
        <x:v>劉禪</x:v>
      </x:c>
      <x:c r="K117" s="2" t="str">
        <x:v>劉禪</x:v>
      </x:c>
      <x:c r="L117" s="2" t="str">
        <x:v>宛(未)</x:v>
      </x:c>
    </x:row>
    <x:row r="118" ht="23" customHeight="1">
      <x:c r="A118" s="12" t="n">
        <x:v>110</x:v>
      </x:c>
      <x:c r="B118" s="2" t="str">
        <x:v>霍弋</x:v>
      </x:c>
      <x:c r="C118" s="2" t="str">
        <x:v>江陵(-)</x:v>
      </x:c>
      <x:c r="D118" s="2" t="str">
        <x:v>江陵(-)</x:v>
      </x:c>
      <x:c r="E118" s="2" t="str">
        <x:v>江陵(-)</x:v>
      </x:c>
      <x:c r="F118" s="2" t="str">
        <x:v>江陵(-)</x:v>
      </x:c>
      <x:c r="G118" s="2" t="str">
        <x:v>江陵(-)</x:v>
      </x:c>
      <x:c r="H118" s="2" t="str">
        <x:v>梓潼(-)</x:v>
      </x:c>
      <x:c r="I118" s="2" t="str">
        <x:v>劉備</x:v>
      </x:c>
      <x:c r="J118" s="2" t="str">
        <x:v>劉禪</x:v>
      </x:c>
      <x:c r="K118" s="2" t="str">
        <x:v>劉禪</x:v>
      </x:c>
      <x:c r="L118" s="2" t="str">
        <x:v>江陵(未)</x:v>
      </x:c>
    </x:row>
    <x:row r="119" ht="23" customHeight="1">
      <x:c r="A119" s="12" t="n">
        <x:v>111</x:v>
      </x:c>
      <x:c r="B119" s="2" t="str">
        <x:v>郭淮</x:v>
      </x:c>
      <x:c r="C119" s="2" t="str">
        <x:v>晉陽(-)</x:v>
      </x:c>
      <x:c r="D119" s="2" t="str">
        <x:v>晉陽(-)</x:v>
      </x:c>
      <x:c r="E119" s="2" t="str">
        <x:v>晉陽(-)</x:v>
      </x:c>
      <x:c r="F119" s="2" t="str">
        <x:v>晉陽(-)</x:v>
      </x:c>
      <x:c r="G119" s="2" t="str">
        <x:v>曹操</x:v>
      </x:c>
      <x:c r="H119" s="2" t="str">
        <x:v>曹操</x:v>
      </x:c>
      <x:c r="I119" s="2" t="str">
        <x:v>曹丕</x:v>
      </x:c>
      <x:c r="J119" s="2" t="str">
        <x:v>曹叡</x:v>
      </x:c>
      <x:c r="K119" s="2" t="str">
        <x:v>曹芳</x:v>
      </x:c>
      <x:c r="L119" s="2" t="str">
        <x:v>晉陽(未)</x:v>
      </x:c>
    </x:row>
    <x:row r="120" ht="23" customHeight="1">
      <x:c r="A120" s="12" t="n">
        <x:v>112</x:v>
      </x:c>
      <x:c r="B120" s="2" t="str">
        <x:v>夏侯威</x:v>
      </x:c>
      <x:c r="C120" s="2" t="str">
        <x:v>許昌(-)</x:v>
      </x:c>
      <x:c r="D120" s="2" t="str">
        <x:v>許昌(-)</x:v>
      </x:c>
      <x:c r="E120" s="2" t="str">
        <x:v>許昌(-)</x:v>
      </x:c>
      <x:c r="F120" s="2" t="str">
        <x:v>許昌(-)</x:v>
      </x:c>
      <x:c r="G120" s="2" t="str">
        <x:v>許昌(-)</x:v>
      </x:c>
      <x:c r="H120" s="2" t="str">
        <x:v>許昌(-)</x:v>
      </x:c>
      <x:c r="I120" s="2" t="str">
        <x:v>曹丕</x:v>
      </x:c>
      <x:c r="J120" s="2" t="str">
        <x:v>曹叡</x:v>
      </x:c>
      <x:c r="K120" s="2" t="str">
        <x:v>曹芳</x:v>
      </x:c>
      <x:c r="L120" s="2" t="str">
        <x:v>曹操</x:v>
      </x:c>
    </x:row>
    <x:row r="121" ht="23" customHeight="1">
      <x:c r="A121" s="12" t="n">
        <x:v>113</x:v>
      </x:c>
      <x:c r="B121" s="2" t="str">
        <x:v>夏侯荣</x:v>
      </x:c>
      <x:c r="C121" s="2" t="str">
        <x:v>許昌(-)</x:v>
      </x:c>
      <x:c r="D121" s="2" t="str">
        <x:v>許昌(-)</x:v>
      </x:c>
      <x:c r="E121" s="2" t="str">
        <x:v>許昌(-)</x:v>
      </x:c>
      <x:c r="F121" s="2" t="str">
        <x:v>許昌(-)</x:v>
      </x:c>
      <x:c r="G121" s="2" t="str">
        <x:v>許昌(-)</x:v>
      </x:c>
      <x:c r="H121" s="2" t="str">
        <x:v>曹操</x:v>
      </x:c>
      <x:c r="I121" s="2" t="str">
        <x:v>x</x:v>
      </x:c>
      <x:c r="J121" s="2" t="str">
        <x:v>x</x:v>
      </x:c>
      <x:c r="K121" s="2" t="str">
        <x:v>x</x:v>
      </x:c>
      <x:c r="L121" s="2" t="str">
        <x:v>曹操</x:v>
      </x:c>
    </x:row>
    <x:row r="122" ht="23" customHeight="1">
      <x:c r="A122" s="12" t="n">
        <x:v>114</x:v>
      </x:c>
      <x:c r="B122" s="2" t="str">
        <x:v>夏侯渊</x:v>
      </x:c>
      <x:c r="C122" s="2" t="str">
        <x:v>許昌(未)</x:v>
      </x:c>
      <x:c r="D122" s="2" t="str">
        <x:v>曹操</x:v>
      </x:c>
      <x:c r="E122" s="2" t="str">
        <x:v>曹操</x:v>
      </x:c>
      <x:c r="F122" s="2" t="str">
        <x:v>曹操</x:v>
      </x:c>
      <x:c r="G122" s="2" t="str">
        <x:v>曹操</x:v>
      </x:c>
      <x:c r="H122" s="2" t="str">
        <x:v>曹操</x:v>
      </x:c>
      <x:c r="I122" s="2" t="str">
        <x:v>x</x:v>
      </x:c>
      <x:c r="J122" s="2" t="str">
        <x:v>x</x:v>
      </x:c>
      <x:c r="K122" s="2" t="str">
        <x:v>x</x:v>
      </x:c>
      <x:c r="L122" s="2" t="str">
        <x:v>曹操</x:v>
      </x:c>
    </x:row>
    <x:row r="123" ht="23" customHeight="1">
      <x:c r="A123" s="12" t="n">
        <x:v>115</x:v>
      </x:c>
      <x:c r="B123" s="2" t="str">
        <x:v>夏侯恩</x:v>
      </x:c>
      <x:c r="C123" s="2" t="str">
        <x:v>許昌(-)</x:v>
      </x:c>
      <x:c r="D123" s="2" t="str">
        <x:v>許昌(-)</x:v>
      </x:c>
      <x:c r="E123" s="2" t="str">
        <x:v>曹操</x:v>
      </x:c>
      <x:c r="F123" s="2" t="str">
        <x:v>曹操</x:v>
      </x:c>
      <x:c r="G123" s="2" t="str">
        <x:v>曹操</x:v>
      </x:c>
      <x:c r="H123" s="2" t="str">
        <x:v>x</x:v>
      </x:c>
      <x:c r="I123" s="2" t="str">
        <x:v>x</x:v>
      </x:c>
      <x:c r="J123" s="2" t="str">
        <x:v>x</x:v>
      </x:c>
      <x:c r="K123" s="2" t="str">
        <x:v>x</x:v>
      </x:c>
      <x:c r="L123" s="2" t="str">
        <x:v>曹操</x:v>
      </x:c>
    </x:row>
    <x:row r="124" ht="23" customHeight="1">
      <x:c r="A124" s="12" t="n">
        <x:v>116</x:v>
      </x:c>
      <x:c r="B124" s="2" t="str">
        <x:v>夏侯和</x:v>
      </x:c>
      <x:c r="C124" s="2" t="str">
        <x:v>許昌(-)</x:v>
      </x:c>
      <x:c r="D124" s="2" t="str">
        <x:v>許昌(-)</x:v>
      </x:c>
      <x:c r="E124" s="2" t="str">
        <x:v>許昌(-)</x:v>
      </x:c>
      <x:c r="F124" s="2" t="str">
        <x:v>許昌(-)</x:v>
      </x:c>
      <x:c r="G124" s="2" t="str">
        <x:v>許昌(-)</x:v>
      </x:c>
      <x:c r="H124" s="2" t="str">
        <x:v>許昌(-)</x:v>
      </x:c>
      <x:c r="I124" s="2" t="str">
        <x:v>許昌(-)</x:v>
      </x:c>
      <x:c r="J124" s="2" t="str">
        <x:v>曹叡</x:v>
      </x:c>
      <x:c r="K124" s="2" t="str">
        <x:v>曹芳</x:v>
      </x:c>
      <x:c r="L124" s="2" t="str">
        <x:v>曹操</x:v>
      </x:c>
    </x:row>
    <x:row r="125" ht="23" customHeight="1">
      <x:c r="A125" s="12" t="n">
        <x:v>117</x:v>
      </x:c>
      <x:c r="B125" s="2" t="str">
        <x:v>夏侯惠</x:v>
      </x:c>
      <x:c r="C125" s="2" t="str">
        <x:v>許昌(-)</x:v>
      </x:c>
      <x:c r="D125" s="2" t="str">
        <x:v>許昌(-)</x:v>
      </x:c>
      <x:c r="E125" s="2" t="str">
        <x:v>許昌(-)</x:v>
      </x:c>
      <x:c r="F125" s="2" t="str">
        <x:v>許昌(-)</x:v>
      </x:c>
      <x:c r="G125" s="2" t="str">
        <x:v>許昌(-)</x:v>
      </x:c>
      <x:c r="H125" s="2" t="str">
        <x:v>許昌(-)</x:v>
      </x:c>
      <x:c r="I125" s="2" t="str">
        <x:v>許昌(-)</x:v>
      </x:c>
      <x:c r="J125" s="2" t="str">
        <x:v>曹叡</x:v>
      </x:c>
      <x:c r="K125" s="2" t="str">
        <x:v>x</x:v>
      </x:c>
      <x:c r="L125" s="2" t="str">
        <x:v>曹操</x:v>
      </x:c>
    </x:row>
    <x:row r="126" ht="23" customHeight="1">
      <x:c r="A126" s="12" t="n">
        <x:v>118</x:v>
      </x:c>
      <x:c r="B126" s="2" t="str">
        <x:v>夏侯献</x:v>
      </x:c>
      <x:c r="C126" s="2" t="str">
        <x:v>許昌(-)</x:v>
      </x:c>
      <x:c r="D126" s="2" t="str">
        <x:v>許昌(-)</x:v>
      </x:c>
      <x:c r="E126" s="2" t="str">
        <x:v>許昌(-)</x:v>
      </x:c>
      <x:c r="F126" s="2" t="str">
        <x:v>許昌(-)</x:v>
      </x:c>
      <x:c r="G126" s="2" t="str">
        <x:v>許昌(-)</x:v>
      </x:c>
      <x:c r="H126" s="2" t="str">
        <x:v>許昌(-)</x:v>
      </x:c>
      <x:c r="I126" s="2" t="str">
        <x:v>曹丕</x:v>
      </x:c>
      <x:c r="J126" s="2" t="str">
        <x:v>曹叡</x:v>
      </x:c>
      <x:c r="K126" s="2" t="str">
        <x:v>x</x:v>
      </x:c>
      <x:c r="L126" s="2" t="str">
        <x:v>曹操</x:v>
      </x:c>
    </x:row>
    <x:row r="127" ht="23" customHeight="1">
      <x:c r="A127" s="12" t="n">
        <x:v>119</x:v>
      </x:c>
      <x:c r="B127" s="2" t="str">
        <x:v>夏侯玄</x:v>
      </x:c>
      <x:c r="C127" s="2" t="str">
        <x:v>許昌(-)</x:v>
      </x:c>
      <x:c r="D127" s="2" t="str">
        <x:v>許昌(-)</x:v>
      </x:c>
      <x:c r="E127" s="2" t="str">
        <x:v>許昌(-)</x:v>
      </x:c>
      <x:c r="F127" s="2" t="str">
        <x:v>許昌(-)</x:v>
      </x:c>
      <x:c r="G127" s="2" t="str">
        <x:v>許昌(-)</x:v>
      </x:c>
      <x:c r="H127" s="2" t="str">
        <x:v>許昌(-)</x:v>
      </x:c>
      <x:c r="I127" s="2" t="str">
        <x:v>許昌(-)</x:v>
      </x:c>
      <x:c r="J127" s="2" t="str">
        <x:v>曹叡</x:v>
      </x:c>
      <x:c r="K127" s="2" t="str">
        <x:v>曹芳</x:v>
      </x:c>
      <x:c r="L127" s="2" t="str">
        <x:v>毌丘儉</x:v>
      </x:c>
    </x:row>
    <x:row r="128" ht="23" customHeight="1">
      <x:c r="A128" s="12" t="n">
        <x:v>120</x:v>
      </x:c>
      <x:c r="B128" s="2" t="str">
        <x:v>夏侯氏</x:v>
      </x:c>
      <x:c r="C128" s="2" t="str">
        <x:v>許昌(-)</x:v>
      </x:c>
      <x:c r="D128" s="2" t="str">
        <x:v>許昌(-)</x:v>
      </x:c>
      <x:c r="E128" s="2" t="str">
        <x:v>許昌(-)</x:v>
      </x:c>
      <x:c r="F128" s="2" t="str">
        <x:v>劉備</x:v>
      </x:c>
      <x:c r="G128" s="2" t="str">
        <x:v>劉備</x:v>
      </x:c>
      <x:c r="H128" s="2" t="str">
        <x:v>劉備</x:v>
      </x:c>
      <x:c r="I128" s="2" t="str">
        <x:v>劉備</x:v>
      </x:c>
      <x:c r="J128" s="2" t="str">
        <x:v>劉禪</x:v>
      </x:c>
      <x:c r="K128" s="2" t="str">
        <x:v>x</x:v>
      </x:c>
      <x:c r="L128" s="2" t="str">
        <x:v>劉備</x:v>
      </x:c>
    </x:row>
    <x:row r="129" ht="23" customHeight="1">
      <x:c r="A129" s="12" t="n">
        <x:v>121</x:v>
      </x:c>
      <x:c r="B129" s="2" t="str">
        <x:v>夏侯儒</x:v>
      </x:c>
      <x:c r="C129" s="2" t="str">
        <x:v>許昌(-)</x:v>
      </x:c>
      <x:c r="D129" s="2" t="str">
        <x:v>許昌(-)</x:v>
      </x:c>
      <x:c r="E129" s="2" t="str">
        <x:v>許昌(-)</x:v>
      </x:c>
      <x:c r="F129" s="2" t="str">
        <x:v>許昌(-)</x:v>
      </x:c>
      <x:c r="G129" s="2" t="str">
        <x:v>曹操</x:v>
      </x:c>
      <x:c r="H129" s="2" t="str">
        <x:v>曹操</x:v>
      </x:c>
      <x:c r="I129" s="2" t="str">
        <x:v>曹丕</x:v>
      </x:c>
      <x:c r="J129" s="2" t="str">
        <x:v>曹叡</x:v>
      </x:c>
      <x:c r="K129" s="2" t="str">
        <x:v>曹芳</x:v>
      </x:c>
      <x:c r="L129" s="2" t="str">
        <x:v>曹操</x:v>
      </x:c>
    </x:row>
    <x:row r="130" ht="23" customHeight="1">
      <x:c r="A130" s="12" t="n">
        <x:v>122</x:v>
      </x:c>
      <x:c r="B130" s="2" t="str">
        <x:v>夏侯尚</x:v>
      </x:c>
      <x:c r="C130" s="2" t="str">
        <x:v>許昌(-)</x:v>
      </x:c>
      <x:c r="D130" s="2" t="str">
        <x:v>許昌(-)</x:v>
      </x:c>
      <x:c r="E130" s="2" t="str">
        <x:v>許昌(-)</x:v>
      </x:c>
      <x:c r="F130" s="2" t="str">
        <x:v>曹操</x:v>
      </x:c>
      <x:c r="G130" s="2" t="str">
        <x:v>曹操</x:v>
      </x:c>
      <x:c r="H130" s="2" t="str">
        <x:v>曹操</x:v>
      </x:c>
      <x:c r="I130" s="2" t="str">
        <x:v>曹丕</x:v>
      </x:c>
      <x:c r="J130" s="2" t="str">
        <x:v>x</x:v>
      </x:c>
      <x:c r="K130" s="2" t="str">
        <x:v>x</x:v>
      </x:c>
      <x:c r="L130" s="2" t="str">
        <x:v>曹操</x:v>
      </x:c>
    </x:row>
    <x:row r="131" ht="23" customHeight="1">
      <x:c r="A131" s="12" t="n">
        <x:v>123</x:v>
      </x:c>
      <x:c r="B131" s="2" t="str">
        <x:v>夏侯德</x:v>
      </x:c>
      <x:c r="C131" s="2" t="str">
        <x:v>許昌(-)</x:v>
      </x:c>
      <x:c r="D131" s="2" t="str">
        <x:v>許昌(-)</x:v>
      </x:c>
      <x:c r="E131" s="2" t="str">
        <x:v>許昌(-)</x:v>
      </x:c>
      <x:c r="F131" s="2" t="str">
        <x:v>曹操</x:v>
      </x:c>
      <x:c r="G131" s="2" t="str">
        <x:v>曹操</x:v>
      </x:c>
      <x:c r="H131" s="2" t="str">
        <x:v>曹操</x:v>
      </x:c>
      <x:c r="I131" s="2" t="str">
        <x:v>x</x:v>
      </x:c>
      <x:c r="J131" s="2" t="str">
        <x:v>x</x:v>
      </x:c>
      <x:c r="K131" s="2" t="str">
        <x:v>x</x:v>
      </x:c>
      <x:c r="L131" s="2" t="str">
        <x:v>曹操</x:v>
      </x:c>
    </x:row>
    <x:row r="132" ht="23" customHeight="1">
      <x:c r="A132" s="12" t="n">
        <x:v>124</x:v>
      </x:c>
      <x:c r="B132" s="2" t="str">
        <x:v>夏侯惇</x:v>
      </x:c>
      <x:c r="C132" s="2" t="str">
        <x:v>許昌(未)</x:v>
      </x:c>
      <x:c r="D132" s="2" t="str">
        <x:v>曹操</x:v>
      </x:c>
      <x:c r="E132" s="2" t="str">
        <x:v>曹操</x:v>
      </x:c>
      <x:c r="F132" s="2" t="str">
        <x:v>曹操</x:v>
      </x:c>
      <x:c r="G132" s="2" t="str">
        <x:v>曹操</x:v>
      </x:c>
      <x:c r="H132" s="2" t="str">
        <x:v>曹操</x:v>
      </x:c>
      <x:c r="I132" s="2" t="str">
        <x:v>x</x:v>
      </x:c>
      <x:c r="J132" s="2" t="str">
        <x:v>x</x:v>
      </x:c>
      <x:c r="K132" s="2" t="str">
        <x:v>x</x:v>
      </x:c>
      <x:c r="L132" s="2" t="str">
        <x:v>曹操</x:v>
      </x:c>
    </x:row>
    <x:row r="133" ht="23" customHeight="1">
      <x:c r="A133" s="12" t="n">
        <x:v>125</x:v>
      </x:c>
      <x:c r="B133" s="2" t="str">
        <x:v>夏侯霸</x:v>
      </x:c>
      <x:c r="C133" s="2" t="str">
        <x:v>許昌(-)</x:v>
      </x:c>
      <x:c r="D133" s="2" t="str">
        <x:v>許昌(-)</x:v>
      </x:c>
      <x:c r="E133" s="2" t="str">
        <x:v>許昌(-)</x:v>
      </x:c>
      <x:c r="F133" s="2" t="str">
        <x:v>許昌(-)</x:v>
      </x:c>
      <x:c r="G133" s="2" t="str">
        <x:v>許昌(-)</x:v>
      </x:c>
      <x:c r="H133" s="2" t="str">
        <x:v>曹操</x:v>
      </x:c>
      <x:c r="I133" s="2" t="str">
        <x:v>曹丕</x:v>
      </x:c>
      <x:c r="J133" s="2" t="str">
        <x:v>曹叡</x:v>
      </x:c>
      <x:c r="K133" s="2" t="str">
        <x:v>曹芳</x:v>
      </x:c>
      <x:c r="L133" s="2" t="str">
        <x:v>曹操</x:v>
      </x:c>
    </x:row>
    <x:row r="134" ht="23" customHeight="1">
      <x:c r="A134" s="12" t="n">
        <x:v>126</x:v>
      </x:c>
      <x:c r="B134" s="2" t="str">
        <x:v>夏侯楙</x:v>
      </x:c>
      <x:c r="C134" s="2" t="str">
        <x:v>許昌(-)</x:v>
      </x:c>
      <x:c r="D134" s="2" t="str">
        <x:v>許昌(-)</x:v>
      </x:c>
      <x:c r="E134" s="2" t="str">
        <x:v>許昌(-)</x:v>
      </x:c>
      <x:c r="F134" s="2" t="str">
        <x:v>許昌(-)</x:v>
      </x:c>
      <x:c r="G134" s="2" t="str">
        <x:v>許昌(-)</x:v>
      </x:c>
      <x:c r="H134" s="2" t="str">
        <x:v>曹操</x:v>
      </x:c>
      <x:c r="I134" s="2" t="str">
        <x:v>曹丕</x:v>
      </x:c>
      <x:c r="J134" s="2" t="str">
        <x:v>曹叡</x:v>
      </x:c>
      <x:c r="K134" s="2" t="str">
        <x:v>武威(野)</x:v>
      </x:c>
      <x:c r="L134" s="2" t="str">
        <x:v>曹操</x:v>
      </x:c>
    </x:row>
    <x:row r="135" ht="23" customHeight="1">
      <x:c r="A135" s="12" t="n">
        <x:v>127</x:v>
      </x:c>
      <x:c r="B135" s="2" t="str">
        <x:v>夏侯兰</x:v>
      </x:c>
      <x:c r="C135" s="2" t="str">
        <x:v>許昌(-)</x:v>
      </x:c>
      <x:c r="D135" s="2" t="str">
        <x:v>許昌(-)</x:v>
      </x:c>
      <x:c r="E135" s="2" t="str">
        <x:v>許昌(-)</x:v>
      </x:c>
      <x:c r="F135" s="2" t="str">
        <x:v>許昌(-)</x:v>
      </x:c>
      <x:c r="G135" s="2" t="str">
        <x:v>曹操</x:v>
      </x:c>
      <x:c r="H135" s="2" t="str">
        <x:v>劉備</x:v>
      </x:c>
      <x:c r="I135" s="2" t="str">
        <x:v>x</x:v>
      </x:c>
      <x:c r="J135" s="2" t="str">
        <x:v>x</x:v>
      </x:c>
      <x:c r="K135" s="2" t="str">
        <x:v>x</x:v>
      </x:c>
      <x:c r="L135" s="2" t="str">
        <x:v>許昌(未)</x:v>
      </x:c>
    </x:row>
    <x:row r="136" ht="23" customHeight="1">
      <x:c r="A136" s="12" t="n">
        <x:v>128</x:v>
      </x:c>
      <x:c r="B136" s="2" t="str">
        <x:v>夏侯令女</x:v>
      </x:c>
      <x:c r="C136" s="2" t="str">
        <x:v>許昌(-)</x:v>
      </x:c>
      <x:c r="D136" s="2" t="str">
        <x:v>許昌(-)</x:v>
      </x:c>
      <x:c r="E136" s="2" t="str">
        <x:v>許昌(-)</x:v>
      </x:c>
      <x:c r="F136" s="2" t="str">
        <x:v>許昌(-)</x:v>
      </x:c>
      <x:c r="G136" s="2" t="str">
        <x:v>許昌(-)</x:v>
      </x:c>
      <x:c r="H136" s="2" t="str">
        <x:v>許昌(-)</x:v>
      </x:c>
      <x:c r="I136" s="2" t="str">
        <x:v>曹丕</x:v>
      </x:c>
      <x:c r="J136" s="2" t="str">
        <x:v>曹叡</x:v>
      </x:c>
      <x:c r="K136" s="2" t="str">
        <x:v>曹芳</x:v>
      </x:c>
      <x:c r="L136" s="2" t="str">
        <x:v>許昌(未)</x:v>
      </x:c>
    </x:row>
    <x:row r="137" ht="23" customHeight="1">
      <x:c r="A137" s="12" t="n">
        <x:v>129</x:v>
      </x:c>
      <x:c r="B137" s="2" t="str">
        <x:v>何氏</x:v>
      </x:c>
      <x:c r="C137" s="2" t="str">
        <x:v>何進</x:v>
      </x:c>
      <x:c r="D137" s="2" t="str">
        <x:v>x</x:v>
      </x:c>
      <x:c r="E137" s="2" t="str">
        <x:v>x</x:v>
      </x:c>
      <x:c r="F137" s="2" t="str">
        <x:v>x</x:v>
      </x:c>
      <x:c r="G137" s="2" t="str">
        <x:v>x</x:v>
      </x:c>
      <x:c r="H137" s="2" t="str">
        <x:v>x</x:v>
      </x:c>
      <x:c r="I137" s="2" t="str">
        <x:v>x</x:v>
      </x:c>
      <x:c r="J137" s="2" t="str">
        <x:v>x</x:v>
      </x:c>
      <x:c r="K137" s="2" t="str">
        <x:v>x</x:v>
      </x:c>
      <x:c r="L137" s="2" t="str">
        <x:v>何進</x:v>
      </x:c>
    </x:row>
    <x:row r="138" ht="23" customHeight="1">
      <x:c r="A138" s="12" t="n">
        <x:v>130</x:v>
      </x:c>
      <x:c r="B138" s="2" t="str">
        <x:v>贾充</x:v>
      </x:c>
      <x:c r="C138" s="2" t="str">
        <x:v>洛陽(-)</x:v>
      </x:c>
      <x:c r="D138" s="2" t="str">
        <x:v>洛陽(-)</x:v>
      </x:c>
      <x:c r="E138" s="2" t="str">
        <x:v>洛陽(-)</x:v>
      </x:c>
      <x:c r="F138" s="2" t="str">
        <x:v>洛陽(-)</x:v>
      </x:c>
      <x:c r="G138" s="2" t="str">
        <x:v>洛陽(-)</x:v>
      </x:c>
      <x:c r="H138" s="2" t="str">
        <x:v>洛陽(-)</x:v>
      </x:c>
      <x:c r="I138" s="2" t="str">
        <x:v>洛陽(-)</x:v>
      </x:c>
      <x:c r="J138" s="2" t="str">
        <x:v>洛陽(-)</x:v>
      </x:c>
      <x:c r="K138" s="2" t="str">
        <x:v>曹芳</x:v>
      </x:c>
      <x:c r="L138" s="2" t="str">
        <x:v>司馬懿</x:v>
      </x:c>
    </x:row>
    <x:row r="139" ht="23" customHeight="1">
      <x:c r="A139" s="12" t="n">
        <x:v>131</x:v>
      </x:c>
      <x:c r="B139" s="2" t="str">
        <x:v>何植</x:v>
      </x:c>
      <x:c r="C139" s="2" t="str">
        <x:v>吳(-)</x:v>
      </x:c>
      <x:c r="D139" s="2" t="str">
        <x:v>吳(-)</x:v>
      </x:c>
      <x:c r="E139" s="2" t="str">
        <x:v>吳(-)</x:v>
      </x:c>
      <x:c r="F139" s="2" t="str">
        <x:v>吳(-)</x:v>
      </x:c>
      <x:c r="G139" s="2" t="str">
        <x:v>吳(-)</x:v>
      </x:c>
      <x:c r="H139" s="2" t="str">
        <x:v>吳(-)</x:v>
      </x:c>
      <x:c r="I139" s="2" t="str">
        <x:v>吳(-)</x:v>
      </x:c>
      <x:c r="J139" s="2" t="str">
        <x:v>吳(-)</x:v>
      </x:c>
      <x:c r="K139" s="2" t="str">
        <x:v>吳(未)</x:v>
      </x:c>
      <x:c r="L139" s="2" t="str">
        <x:v>吳(未)</x:v>
      </x:c>
    </x:row>
    <x:row r="140" ht="23" customHeight="1">
      <x:c r="A140" s="12" t="n">
        <x:v>132</x:v>
      </x:c>
      <x:c r="B140" s="2" t="str">
        <x:v>何进</x:v>
      </x:c>
      <x:c r="C140" s="2" t="str">
        <x:v>何進</x:v>
      </x:c>
      <x:c r="D140" s="2" t="str">
        <x:v>x</x:v>
      </x:c>
      <x:c r="E140" s="2" t="str">
        <x:v>x</x:v>
      </x:c>
      <x:c r="F140" s="2" t="str">
        <x:v>x</x:v>
      </x:c>
      <x:c r="G140" s="2" t="str">
        <x:v>x</x:v>
      </x:c>
      <x:c r="H140" s="2" t="str">
        <x:v>x</x:v>
      </x:c>
      <x:c r="I140" s="2" t="str">
        <x:v>x</x:v>
      </x:c>
      <x:c r="J140" s="2" t="str">
        <x:v>x</x:v>
      </x:c>
      <x:c r="K140" s="2" t="str">
        <x:v>x</x:v>
      </x:c>
      <x:c r="L140" s="2" t="str">
        <x:v>何進</x:v>
      </x:c>
    </x:row>
    <x:row r="141" ht="23" customHeight="1">
      <x:c r="A141" s="12" t="n">
        <x:v>133</x:v>
      </x:c>
      <x:c r="B141" s="2" t="str">
        <x:v>贾信</x:v>
      </x:c>
      <x:c r="C141" s="2" t="str">
        <x:v>洛陽(-)</x:v>
      </x:c>
      <x:c r="D141" s="2" t="str">
        <x:v>洛陽(-)</x:v>
      </x:c>
      <x:c r="E141" s="2" t="str">
        <x:v>洛陽(-)</x:v>
      </x:c>
      <x:c r="F141" s="2" t="str">
        <x:v>洛陽(未)</x:v>
      </x:c>
      <x:c r="G141" s="2" t="str">
        <x:v>曹操</x:v>
      </x:c>
      <x:c r="H141" s="2" t="str">
        <x:v>曹操</x:v>
      </x:c>
      <x:c r="I141" s="2" t="str">
        <x:v>x</x:v>
      </x:c>
      <x:c r="J141" s="2" t="str">
        <x:v>x</x:v>
      </x:c>
      <x:c r="K141" s="2" t="str">
        <x:v>x</x:v>
      </x:c>
      <x:c r="L141" s="2" t="str">
        <x:v>洛陽(未)</x:v>
      </x:c>
    </x:row>
    <x:row r="142" ht="23" customHeight="1">
      <x:c r="A142" s="12" t="n">
        <x:v>134</x:v>
      </x:c>
      <x:c r="B142" s="2" t="str">
        <x:v>贺齐</x:v>
      </x:c>
      <x:c r="C142" s="2" t="str">
        <x:v>會稽(-)</x:v>
      </x:c>
      <x:c r="D142" s="2" t="str">
        <x:v>會稽(未)</x:v>
      </x:c>
      <x:c r="E142" s="2" t="str">
        <x:v>會稽(未)</x:v>
      </x:c>
      <x:c r="F142" s="2" t="str">
        <x:v>孫策</x:v>
      </x:c>
      <x:c r="G142" s="2" t="str">
        <x:v>孫權</x:v>
      </x:c>
      <x:c r="H142" s="2" t="str">
        <x:v>孫權</x:v>
      </x:c>
      <x:c r="I142" s="2" t="str">
        <x:v>孫權</x:v>
      </x:c>
      <x:c r="J142" s="2" t="str">
        <x:v>孫權</x:v>
      </x:c>
      <x:c r="K142" s="2" t="str">
        <x:v>x</x:v>
      </x:c>
      <x:c r="L142" s="2" t="str">
        <x:v>會稽(未)</x:v>
      </x:c>
    </x:row>
    <x:row r="143" ht="23" customHeight="1">
      <x:c r="A143" s="12" t="n">
        <x:v>135</x:v>
      </x:c>
      <x:c r="B143" s="2" t="str">
        <x:v>何曾</x:v>
      </x:c>
      <x:c r="C143" s="2" t="str">
        <x:v>許昌(-)</x:v>
      </x:c>
      <x:c r="D143" s="2" t="str">
        <x:v>許昌(-)</x:v>
      </x:c>
      <x:c r="E143" s="2" t="str">
        <x:v>許昌(-)</x:v>
      </x:c>
      <x:c r="F143" s="2" t="str">
        <x:v>許昌(-)</x:v>
      </x:c>
      <x:c r="G143" s="2" t="str">
        <x:v>許昌(-)</x:v>
      </x:c>
      <x:c r="H143" s="2" t="str">
        <x:v>曹操</x:v>
      </x:c>
      <x:c r="I143" s="2" t="str">
        <x:v>許昌(未)</x:v>
      </x:c>
      <x:c r="J143" s="2" t="str">
        <x:v>曹叡</x:v>
      </x:c>
      <x:c r="K143" s="2" t="str">
        <x:v>曹芳</x:v>
      </x:c>
      <x:c r="L143" s="2" t="str">
        <x:v>許昌(未)</x:v>
      </x:c>
    </x:row>
    <x:row r="144" ht="23" customHeight="1">
      <x:c r="A144" s="12" t="n">
        <x:v>136</x:v>
      </x:c>
      <x:c r="B144" s="2" t="str">
        <x:v>何宗</x:v>
      </x:c>
      <x:c r="C144" s="2" t="str">
        <x:v>成都(-)</x:v>
      </x:c>
      <x:c r="D144" s="2" t="str">
        <x:v>成都(-)</x:v>
      </x:c>
      <x:c r="E144" s="2" t="str">
        <x:v>成都(-)</x:v>
      </x:c>
      <x:c r="F144" s="2" t="str">
        <x:v>劉璋</x:v>
      </x:c>
      <x:c r="G144" s="2" t="str">
        <x:v>劉璋</x:v>
      </x:c>
      <x:c r="H144" s="2" t="str">
        <x:v>劉備</x:v>
      </x:c>
      <x:c r="I144" s="2" t="str">
        <x:v>劉備</x:v>
      </x:c>
      <x:c r="J144" s="2" t="str">
        <x:v>劉禪</x:v>
      </x:c>
      <x:c r="K144" s="2" t="str">
        <x:v>x</x:v>
      </x:c>
      <x:c r="L144" s="2" t="str">
        <x:v>成都(未)</x:v>
      </x:c>
    </x:row>
    <x:row r="145" ht="23" customHeight="1">
      <x:c r="A145" s="12" t="n">
        <x:v>137</x:v>
      </x:c>
      <x:c r="B145" s="2" t="str">
        <x:v>贺达</x:v>
      </x:c>
      <x:c r="C145" s="2" t="str">
        <x:v>會稽(-)</x:v>
      </x:c>
      <x:c r="D145" s="2" t="str">
        <x:v>會稽(-)</x:v>
      </x:c>
      <x:c r="E145" s="2" t="str">
        <x:v>會稽(-)</x:v>
      </x:c>
      <x:c r="F145" s="2" t="str">
        <x:v>會稽(-)</x:v>
      </x:c>
      <x:c r="G145" s="2" t="str">
        <x:v>會稽(-)</x:v>
      </x:c>
      <x:c r="H145" s="2" t="str">
        <x:v>孫權</x:v>
      </x:c>
      <x:c r="I145" s="2" t="str">
        <x:v>孫權</x:v>
      </x:c>
      <x:c r="J145" s="2" t="str">
        <x:v>孫權</x:v>
      </x:c>
      <x:c r="K145" s="2" t="str">
        <x:v>x</x:v>
      </x:c>
      <x:c r="L145" s="2" t="str">
        <x:v>會稽(未)</x:v>
      </x:c>
    </x:row>
    <x:row r="146" ht="23" customHeight="1">
      <x:c r="A146" s="12" t="n">
        <x:v>138</x:v>
      </x:c>
      <x:c r="B146" s="2" t="str">
        <x:v>雅丹</x:v>
      </x:c>
      <x:c r="C146" s="2" t="str">
        <x:v>天水(-)</x:v>
      </x:c>
      <x:c r="D146" s="2" t="str">
        <x:v>天水(-)</x:v>
      </x:c>
      <x:c r="E146" s="2" t="str">
        <x:v>天水(-)</x:v>
      </x:c>
      <x:c r="F146" s="2" t="str">
        <x:v>天水(-)</x:v>
      </x:c>
      <x:c r="G146" s="2" t="str">
        <x:v>天水(-)</x:v>
      </x:c>
      <x:c r="H146" s="2" t="str">
        <x:v>天水(未)</x:v>
      </x:c>
      <x:c r="I146" s="2" t="str">
        <x:v>天水(未)</x:v>
      </x:c>
      <x:c r="J146" s="2" t="str">
        <x:v>天水(野)</x:v>
      </x:c>
      <x:c r="K146" s="2" t="str">
        <x:v>天水(野)</x:v>
      </x:c>
      <x:c r="L146" s="2" t="str">
        <x:v>天水(未)</x:v>
      </x:c>
    </x:row>
    <x:row r="147" ht="23" customHeight="1">
      <x:c r="A147" s="12" t="n">
        <x:v>139</x:v>
      </x:c>
      <x:c r="B147" s="2" t="str">
        <x:v>何桢</x:v>
      </x:c>
      <x:c r="C147" s="2" t="str">
        <x:v>廬江(-)</x:v>
      </x:c>
      <x:c r="D147" s="2" t="str">
        <x:v>廬江(-)</x:v>
      </x:c>
      <x:c r="E147" s="2" t="str">
        <x:v>廬江(-)</x:v>
      </x:c>
      <x:c r="F147" s="2" t="str">
        <x:v>廬江(-)</x:v>
      </x:c>
      <x:c r="G147" s="2" t="str">
        <x:v>廬江(-)</x:v>
      </x:c>
      <x:c r="H147" s="2" t="str">
        <x:v>廬江(-)</x:v>
      </x:c>
      <x:c r="I147" s="2" t="str">
        <x:v>廬江(-)</x:v>
      </x:c>
      <x:c r="J147" s="2" t="str">
        <x:v>廬江(-)</x:v>
      </x:c>
      <x:c r="K147" s="2" t="str">
        <x:v>曹芳</x:v>
      </x:c>
      <x:c r="L147" s="2" t="str">
        <x:v>廬江(未)</x:v>
      </x:c>
    </x:row>
    <x:row r="148" ht="23" customHeight="1">
      <x:c r="A148" s="12" t="n">
        <x:v>140</x:v>
      </x:c>
      <x:c r="B148" s="2" t="str">
        <x:v>贾范</x:v>
      </x:c>
      <x:c r="C148" s="2" t="str">
        <x:v>襄平(-)</x:v>
      </x:c>
      <x:c r="D148" s="2" t="str">
        <x:v>襄平(-)</x:v>
      </x:c>
      <x:c r="E148" s="2" t="str">
        <x:v>襄平(-)</x:v>
      </x:c>
      <x:c r="F148" s="2" t="str">
        <x:v>襄平(-)</x:v>
      </x:c>
      <x:c r="G148" s="2" t="str">
        <x:v>襄平(-)</x:v>
      </x:c>
      <x:c r="H148" s="2" t="str">
        <x:v>襄平(-)</x:v>
      </x:c>
      <x:c r="I148" s="2" t="str">
        <x:v>襄平(未)</x:v>
      </x:c>
      <x:c r="J148" s="2" t="str">
        <x:v>公孫恭</x:v>
      </x:c>
      <x:c r="K148" s="2" t="str">
        <x:v>x</x:v>
      </x:c>
      <x:c r="L148" s="2" t="str">
        <x:v>公孫度</x:v>
      </x:c>
    </x:row>
    <x:row r="149" ht="23" customHeight="1">
      <x:c r="A149" s="12" t="n">
        <x:v>141</x:v>
      </x:c>
      <x:c r="B149" s="2" t="str">
        <x:v>轲比能</x:v>
      </x:c>
      <x:c r="C149" s="2" t="str">
        <x:v>晉陽(-)</x:v>
      </x:c>
      <x:c r="D149" s="2" t="str">
        <x:v>晉陽(-)</x:v>
      </x:c>
      <x:c r="E149" s="2" t="str">
        <x:v>晉陽(未)</x:v>
      </x:c>
      <x:c r="F149" s="2" t="str">
        <x:v>晉陽(野)</x:v>
      </x:c>
      <x:c r="G149" s="2" t="str">
        <x:v>晉陽(野)</x:v>
      </x:c>
      <x:c r="H149" s="2" t="str">
        <x:v>晉陽(野)</x:v>
      </x:c>
      <x:c r="I149" s="2" t="str">
        <x:v>晉陽(野)</x:v>
      </x:c>
      <x:c r="J149" s="2" t="str">
        <x:v>晉陽(野)</x:v>
      </x:c>
      <x:c r="K149" s="2" t="str">
        <x:v>x</x:v>
      </x:c>
      <x:c r="L149" s="2" t="str">
        <x:v>晉陽(未)</x:v>
      </x:c>
    </x:row>
    <x:row r="150" ht="23" customHeight="1">
      <x:c r="A150" s="12" t="n">
        <x:v>142</x:v>
      </x:c>
      <x:c r="B150" s="2" t="str">
        <x:v>何苗</x:v>
      </x:c>
      <x:c r="C150" s="2" t="str">
        <x:v>何進</x:v>
      </x:c>
      <x:c r="D150" s="2" t="str">
        <x:v>x</x:v>
      </x:c>
      <x:c r="E150" s="2" t="str">
        <x:v>x</x:v>
      </x:c>
      <x:c r="F150" s="2" t="str">
        <x:v>x</x:v>
      </x:c>
      <x:c r="G150" s="2" t="str">
        <x:v>x</x:v>
      </x:c>
      <x:c r="H150" s="2" t="str">
        <x:v>x</x:v>
      </x:c>
      <x:c r="I150" s="2" t="str">
        <x:v>x</x:v>
      </x:c>
      <x:c r="J150" s="2" t="str">
        <x:v>x</x:v>
      </x:c>
      <x:c r="K150" s="2" t="str">
        <x:v>x</x:v>
      </x:c>
      <x:c r="L150" s="2" t="str">
        <x:v>何進</x:v>
      </x:c>
    </x:row>
    <x:row r="151" ht="23" customHeight="1">
      <x:c r="A151" s="12" t="n">
        <x:v>143</x:v>
      </x:c>
      <x:c r="B151" s="2" t="str">
        <x:v>花鬘</x:v>
      </x:c>
      <x:c r="C151" s="2" t="str">
        <x:v>雲南(-)</x:v>
      </x:c>
      <x:c r="D151" s="2" t="str">
        <x:v>雲南(-)</x:v>
      </x:c>
      <x:c r="E151" s="2" t="str">
        <x:v>雲南(-)</x:v>
      </x:c>
      <x:c r="F151" s="2" t="str">
        <x:v>雲南(-)</x:v>
      </x:c>
      <x:c r="G151" s="2" t="str">
        <x:v>雲南(-)</x:v>
      </x:c>
      <x:c r="H151" s="2" t="str">
        <x:v>雲南(-)</x:v>
      </x:c>
      <x:c r="I151" s="2" t="str">
        <x:v>雲南(-)</x:v>
      </x:c>
      <x:c r="J151" s="2" t="str">
        <x:v>劉禪</x:v>
      </x:c>
      <x:c r="K151" s="2" t="str">
        <x:v>x</x:v>
      </x:c>
      <x:c r="L151" s="2" t="str">
        <x:v>孟獲</x:v>
      </x:c>
    </x:row>
    <x:row r="152" ht="23" customHeight="1">
      <x:c r="A152" s="12" t="n">
        <x:v>144</x:v>
      </x:c>
      <x:c r="B152" s="2" t="str">
        <x:v>华雄</x:v>
      </x:c>
      <x:c r="C152" s="2" t="str">
        <x:v>天水(未)</x:v>
      </x:c>
      <x:c r="D152" s="2" t="str">
        <x:v>董卓</x:v>
      </x:c>
      <x:c r="E152" s="2" t="str">
        <x:v>x</x:v>
      </x:c>
      <x:c r="F152" s="2" t="str">
        <x:v>x</x:v>
      </x:c>
      <x:c r="G152" s="2" t="str">
        <x:v>x</x:v>
      </x:c>
      <x:c r="H152" s="2" t="str">
        <x:v>x</x:v>
      </x:c>
      <x:c r="I152" s="2" t="str">
        <x:v>x</x:v>
      </x:c>
      <x:c r="J152" s="2" t="str">
        <x:v>x</x:v>
      </x:c>
      <x:c r="K152" s="2" t="str">
        <x:v>x</x:v>
      </x:c>
      <x:c r="L152" s="2" t="str">
        <x:v>董卓</x:v>
      </x:c>
    </x:row>
    <x:row r="153" ht="23" customHeight="1">
      <x:c r="A153" s="12" t="n">
        <x:v>145</x:v>
      </x:c>
      <x:c r="B153" s="2" t="str">
        <x:v>关彝</x:v>
      </x:c>
      <x:c r="C153" s="2" t="str">
        <x:v>洛陽(-)</x:v>
      </x:c>
      <x:c r="D153" s="2" t="str">
        <x:v>洛陽(-)</x:v>
      </x:c>
      <x:c r="E153" s="2" t="str">
        <x:v>洛陽(-)</x:v>
      </x:c>
      <x:c r="F153" s="2" t="str">
        <x:v>洛陽(-)</x:v>
      </x:c>
      <x:c r="G153" s="2" t="str">
        <x:v>新野(-)</x:v>
      </x:c>
      <x:c r="H153" s="2" t="str">
        <x:v>江陵(-)</x:v>
      </x:c>
      <x:c r="I153" s="2" t="str">
        <x:v>成都(-)</x:v>
      </x:c>
      <x:c r="J153" s="2" t="str">
        <x:v>成都(-)</x:v>
      </x:c>
      <x:c r="K153" s="2" t="str">
        <x:v>劉禪</x:v>
      </x:c>
      <x:c r="L153" s="2" t="str">
        <x:v>劉備</x:v>
      </x:c>
    </x:row>
    <x:row r="154" ht="23" customHeight="1">
      <x:c r="A154" s="12" t="n">
        <x:v>146</x:v>
      </x:c>
      <x:c r="B154" s="2" t="str">
        <x:v>韩胤</x:v>
      </x:c>
      <x:c r="C154" s="2" t="str">
        <x:v>宛(未)</x:v>
      </x:c>
      <x:c r="D154" s="2" t="str">
        <x:v>袁術</x:v>
      </x:c>
      <x:c r="E154" s="2" t="str">
        <x:v>袁術</x:v>
      </x:c>
      <x:c r="F154" s="2" t="str">
        <x:v>x</x:v>
      </x:c>
      <x:c r="G154" s="2" t="str">
        <x:v>x</x:v>
      </x:c>
      <x:c r="H154" s="2" t="str">
        <x:v>x</x:v>
      </x:c>
      <x:c r="I154" s="2" t="str">
        <x:v>x</x:v>
      </x:c>
      <x:c r="J154" s="2" t="str">
        <x:v>x</x:v>
      </x:c>
      <x:c r="K154" s="2" t="str">
        <x:v>x</x:v>
      </x:c>
      <x:c r="L154" s="2" t="str">
        <x:v>袁術</x:v>
      </x:c>
    </x:row>
    <x:row r="155" ht="23" customHeight="1">
      <x:c r="A155" s="12" t="n">
        <x:v>147</x:v>
      </x:c>
      <x:c r="B155" s="2" t="str">
        <x:v>关羽</x:v>
      </x:c>
      <x:c r="C155" s="2" t="str">
        <x:v>劉焉</x:v>
      </x:c>
      <x:c r="D155" s="2" t="str">
        <x:v>劉備</x:v>
      </x:c>
      <x:c r="E155" s="2" t="str">
        <x:v>劉備</x:v>
      </x:c>
      <x:c r="F155" s="2" t="str">
        <x:v>劉備</x:v>
      </x:c>
      <x:c r="G155" s="2" t="str">
        <x:v>劉備</x:v>
      </x:c>
      <x:c r="H155" s="2" t="str">
        <x:v>劉備</x:v>
      </x:c>
      <x:c r="I155" s="2" t="str">
        <x:v>x</x:v>
      </x:c>
      <x:c r="J155" s="2" t="str">
        <x:v>x</x:v>
      </x:c>
      <x:c r="K155" s="2" t="str">
        <x:v>x</x:v>
      </x:c>
      <x:c r="L155" s="2" t="str">
        <x:v>劉備</x:v>
      </x:c>
    </x:row>
    <x:row r="156" ht="23" customHeight="1">
      <x:c r="A156" s="12" t="n">
        <x:v>148</x:v>
      </x:c>
      <x:c r="B156" s="2" t="str">
        <x:v>桓阶</x:v>
      </x:c>
      <x:c r="C156" s="2" t="str">
        <x:v>長沙(未)</x:v>
      </x:c>
      <x:c r="D156" s="2" t="str">
        <x:v>孫堅</x:v>
      </x:c>
      <x:c r="E156" s="2" t="str">
        <x:v>長沙(野)</x:v>
      </x:c>
      <x:c r="F156" s="2" t="str">
        <x:v>劉表</x:v>
      </x:c>
      <x:c r="G156" s="2" t="str">
        <x:v>長沙(野)</x:v>
      </x:c>
      <x:c r="H156" s="2" t="str">
        <x:v>曹操</x:v>
      </x:c>
      <x:c r="I156" s="2" t="str">
        <x:v>曹丕</x:v>
      </x:c>
      <x:c r="J156" s="2" t="str">
        <x:v>x</x:v>
      </x:c>
      <x:c r="K156" s="2" t="str">
        <x:v>x</x:v>
      </x:c>
      <x:c r="L156" s="2" t="str">
        <x:v>長沙(未)</x:v>
      </x:c>
    </x:row>
    <x:row r="157" ht="23" customHeight="1">
      <x:c r="A157" s="12" t="n">
        <x:v>149</x:v>
      </x:c>
      <x:c r="B157" s="2" t="str">
        <x:v>管亥</x:v>
      </x:c>
      <x:c r="C157" s="2" t="str">
        <x:v>張角</x:v>
      </x:c>
      <x:c r="D157" s="2" t="str">
        <x:v>北海(野)</x:v>
      </x:c>
      <x:c r="E157" s="2" t="str">
        <x:v>x</x:v>
      </x:c>
      <x:c r="F157" s="2" t="str">
        <x:v>x</x:v>
      </x:c>
      <x:c r="G157" s="2" t="str">
        <x:v>x</x:v>
      </x:c>
      <x:c r="H157" s="2" t="str">
        <x:v>x</x:v>
      </x:c>
      <x:c r="I157" s="2" t="str">
        <x:v>x</x:v>
      </x:c>
      <x:c r="J157" s="2" t="str">
        <x:v>x</x:v>
      </x:c>
      <x:c r="K157" s="2" t="str">
        <x:v>x</x:v>
      </x:c>
      <x:c r="L157" s="2" t="str">
        <x:v>張角</x:v>
      </x:c>
    </x:row>
    <x:row r="158" ht="23" customHeight="1">
      <x:c r="A158" s="12" t="n">
        <x:v>150</x:v>
      </x:c>
      <x:c r="B158" s="2" t="str">
        <x:v>韩暨</x:v>
      </x:c>
      <x:c r="C158" s="2" t="str">
        <x:v>宛(未)</x:v>
      </x:c>
      <x:c r="D158" s="2" t="str">
        <x:v>宛(未)</x:v>
      </x:c>
      <x:c r="E158" s="2" t="str">
        <x:v>宛(未)</x:v>
      </x:c>
      <x:c r="F158" s="2" t="str">
        <x:v>宛(未)</x:v>
      </x:c>
      <x:c r="G158" s="2" t="str">
        <x:v>宛(未)</x:v>
      </x:c>
      <x:c r="H158" s="2" t="str">
        <x:v>曹操</x:v>
      </x:c>
      <x:c r="I158" s="2" t="str">
        <x:v>曹丕</x:v>
      </x:c>
      <x:c r="J158" s="2" t="str">
        <x:v>曹叡</x:v>
      </x:c>
      <x:c r="K158" s="2" t="str">
        <x:v>x</x:v>
      </x:c>
      <x:c r="L158" s="2" t="str">
        <x:v>宛(未)</x:v>
      </x:c>
    </x:row>
    <x:row r="159" ht="23" customHeight="1">
      <x:c r="A159" s="12" t="n">
        <x:v>151</x:v>
      </x:c>
      <x:c r="B159" s="2" t="str">
        <x:v>韩起</x:v>
      </x:c>
      <x:c r="C159" s="2" t="str">
        <x:v>襄平(-)</x:v>
      </x:c>
      <x:c r="D159" s="2" t="str">
        <x:v>襄平(-)</x:v>
      </x:c>
      <x:c r="E159" s="2" t="str">
        <x:v>襄平(-)</x:v>
      </x:c>
      <x:c r="F159" s="2" t="str">
        <x:v>襄平(-)</x:v>
      </x:c>
      <x:c r="G159" s="2" t="str">
        <x:v>襄平(-)</x:v>
      </x:c>
      <x:c r="H159" s="2" t="str">
        <x:v>公孫恭</x:v>
      </x:c>
      <x:c r="I159" s="2" t="str">
        <x:v>公孫恭</x:v>
      </x:c>
      <x:c r="J159" s="2" t="str">
        <x:v>公孫恭</x:v>
      </x:c>
      <x:c r="K159" s="2" t="str">
        <x:v>x</x:v>
      </x:c>
      <x:c r="L159" s="2" t="str">
        <x:v>公孫度</x:v>
      </x:c>
    </x:row>
    <x:row r="160" ht="23" customHeight="1">
      <x:c r="A160" s="12" t="n">
        <x:v>152</x:v>
      </x:c>
      <x:c r="B160" s="2" t="str">
        <x:v>毌丘俭</x:v>
      </x:c>
      <x:c r="C160" s="2" t="str">
        <x:v>洛陽(-)</x:v>
      </x:c>
      <x:c r="D160" s="2" t="str">
        <x:v>洛陽(-)</x:v>
      </x:c>
      <x:c r="E160" s="2" t="str">
        <x:v>洛陽(-)</x:v>
      </x:c>
      <x:c r="F160" s="2" t="str">
        <x:v>洛陽(-)</x:v>
      </x:c>
      <x:c r="G160" s="2" t="str">
        <x:v>洛陽(-)</x:v>
      </x:c>
      <x:c r="H160" s="2" t="str">
        <x:v>洛陽(-)</x:v>
      </x:c>
      <x:c r="I160" s="2" t="str">
        <x:v>曹丕</x:v>
      </x:c>
      <x:c r="J160" s="2" t="str">
        <x:v>曹叡</x:v>
      </x:c>
      <x:c r="K160" s="2" t="str">
        <x:v>曹芳</x:v>
      </x:c>
      <x:c r="L160" s="2" t="str">
        <x:v>毌丘儉</x:v>
      </x:c>
    </x:row>
    <x:row r="161" ht="23" customHeight="1">
      <x:c r="A161" s="12" t="n">
        <x:v>153</x:v>
      </x:c>
      <x:c r="B161" s="2" t="str">
        <x:v>毌丘兴</x:v>
      </x:c>
      <x:c r="C161" s="2" t="str">
        <x:v>洛陽(-)</x:v>
      </x:c>
      <x:c r="D161" s="2" t="str">
        <x:v>洛陽(-)</x:v>
      </x:c>
      <x:c r="E161" s="2" t="str">
        <x:v>洛陽(-)</x:v>
      </x:c>
      <x:c r="F161" s="2" t="str">
        <x:v>洛陽(未)</x:v>
      </x:c>
      <x:c r="G161" s="2" t="str">
        <x:v>曹操</x:v>
      </x:c>
      <x:c r="H161" s="2" t="str">
        <x:v>曹操</x:v>
      </x:c>
      <x:c r="I161" s="2" t="str">
        <x:v>曹丕</x:v>
      </x:c>
      <x:c r="J161" s="2" t="str">
        <x:v>x</x:v>
      </x:c>
      <x:c r="K161" s="2" t="str">
        <x:v>x</x:v>
      </x:c>
      <x:c r="L161" s="2" t="str">
        <x:v>毌丘儉</x:v>
      </x:c>
    </x:row>
    <x:row r="162" ht="23" customHeight="1">
      <x:c r="A162" s="12" t="n">
        <x:v>154</x:v>
      </x:c>
      <x:c r="B162" s="2" t="str">
        <x:v>毌丘秀</x:v>
      </x:c>
      <x:c r="C162" s="2" t="str">
        <x:v>洛陽(-)</x:v>
      </x:c>
      <x:c r="D162" s="2" t="str">
        <x:v>洛陽(-)</x:v>
      </x:c>
      <x:c r="E162" s="2" t="str">
        <x:v>洛陽(-)</x:v>
      </x:c>
      <x:c r="F162" s="2" t="str">
        <x:v>洛陽(-)</x:v>
      </x:c>
      <x:c r="G162" s="2" t="str">
        <x:v>洛陽(-)</x:v>
      </x:c>
      <x:c r="H162" s="2" t="str">
        <x:v>洛陽(-)</x:v>
      </x:c>
      <x:c r="I162" s="2" t="str">
        <x:v>洛陽(-)</x:v>
      </x:c>
      <x:c r="J162" s="2" t="str">
        <x:v>曹叡</x:v>
      </x:c>
      <x:c r="K162" s="2" t="str">
        <x:v>曹芳</x:v>
      </x:c>
      <x:c r="L162" s="2" t="str">
        <x:v>毌丘儉</x:v>
      </x:c>
    </x:row>
    <x:row r="163" ht="23" customHeight="1">
      <x:c r="A163" s="12" t="n">
        <x:v>155</x:v>
      </x:c>
      <x:c r="B163" s="2" t="str">
        <x:v>毌丘甸</x:v>
      </x:c>
      <x:c r="C163" s="2" t="str">
        <x:v>洛陽(-)</x:v>
      </x:c>
      <x:c r="D163" s="2" t="str">
        <x:v>洛陽(-)</x:v>
      </x:c>
      <x:c r="E163" s="2" t="str">
        <x:v>洛陽(-)</x:v>
      </x:c>
      <x:c r="F163" s="2" t="str">
        <x:v>洛陽(-)</x:v>
      </x:c>
      <x:c r="G163" s="2" t="str">
        <x:v>洛陽(-)</x:v>
      </x:c>
      <x:c r="H163" s="2" t="str">
        <x:v>洛陽(-)</x:v>
      </x:c>
      <x:c r="I163" s="2" t="str">
        <x:v>洛陽(-)</x:v>
      </x:c>
      <x:c r="J163" s="2" t="str">
        <x:v>洛陽(-)</x:v>
      </x:c>
      <x:c r="K163" s="2" t="str">
        <x:v>曹芳</x:v>
      </x:c>
      <x:c r="L163" s="2" t="str">
        <x:v>毌丘儉</x:v>
      </x:c>
    </x:row>
    <x:row r="164" ht="23" customHeight="1">
      <x:c r="A164" s="12" t="n">
        <x:v>156</x:v>
      </x:c>
      <x:c r="B164" s="2" t="str">
        <x:v>韩莒子</x:v>
      </x:c>
      <x:c r="C164" s="2" t="str">
        <x:v>南皮(未)</x:v>
      </x:c>
      <x:c r="D164" s="2" t="str">
        <x:v>袁紹</x:v>
      </x:c>
      <x:c r="E164" s="2" t="str">
        <x:v>袁紹</x:v>
      </x:c>
      <x:c r="F164" s="2" t="str">
        <x:v>袁紹</x:v>
      </x:c>
      <x:c r="G164" s="2" t="str">
        <x:v>x</x:v>
      </x:c>
      <x:c r="H164" s="2" t="str">
        <x:v>x</x:v>
      </x:c>
      <x:c r="I164" s="2" t="str">
        <x:v>x</x:v>
      </x:c>
      <x:c r="J164" s="2" t="str">
        <x:v>x</x:v>
      </x:c>
      <x:c r="K164" s="2" t="str">
        <x:v>x</x:v>
      </x:c>
      <x:c r="L164" s="2" t="str">
        <x:v>袁紹</x:v>
      </x:c>
    </x:row>
    <x:row r="165" ht="23" customHeight="1">
      <x:c r="A165" s="12" t="n">
        <x:v>157</x:v>
      </x:c>
      <x:c r="B165" s="2" t="str">
        <x:v>关银屏</x:v>
      </x:c>
      <x:c r="C165" s="2" t="str">
        <x:v>洛陽(-)</x:v>
      </x:c>
      <x:c r="D165" s="2" t="str">
        <x:v>洛陽(-)</x:v>
      </x:c>
      <x:c r="E165" s="2" t="str">
        <x:v>洛陽(-)</x:v>
      </x:c>
      <x:c r="F165" s="2" t="str">
        <x:v>洛陽(-)</x:v>
      </x:c>
      <x:c r="G165" s="2" t="str">
        <x:v>新野(-)</x:v>
      </x:c>
      <x:c r="H165" s="2" t="str">
        <x:v>洛陽(-)</x:v>
      </x:c>
      <x:c r="I165" s="2" t="str">
        <x:v>劉備</x:v>
      </x:c>
      <x:c r="J165" s="2" t="str">
        <x:v>劉禪</x:v>
      </x:c>
      <x:c r="K165" s="2" t="str">
        <x:v>劉禪</x:v>
      </x:c>
      <x:c r="L165" s="2" t="str">
        <x:v>劉備</x:v>
      </x:c>
    </x:row>
    <x:row r="166" ht="23" customHeight="1">
      <x:c r="A166" s="12" t="n">
        <x:v>158</x:v>
      </x:c>
      <x:c r="B166" s="2" t="str">
        <x:v>韩玄</x:v>
      </x:c>
      <x:c r="C166" s="2" t="str">
        <x:v>洛陽(未)</x:v>
      </x:c>
      <x:c r="D166" s="2" t="str">
        <x:v>洛陽(未)</x:v>
      </x:c>
      <x:c r="E166" s="2" t="str">
        <x:v>洛陽(未)</x:v>
      </x:c>
      <x:c r="F166" s="2" t="str">
        <x:v>劉表</x:v>
      </x:c>
      <x:c r="G166" s="2" t="str">
        <x:v>韓玄</x:v>
      </x:c>
      <x:c r="H166" s="2" t="str">
        <x:v>x</x:v>
      </x:c>
      <x:c r="I166" s="2" t="str">
        <x:v>x</x:v>
      </x:c>
      <x:c r="J166" s="2" t="str">
        <x:v>x</x:v>
      </x:c>
      <x:c r="K166" s="2" t="str">
        <x:v>x</x:v>
      </x:c>
      <x:c r="L166" s="2" t="str">
        <x:v>韓玄</x:v>
      </x:c>
    </x:row>
    <x:row r="167" ht="23" customHeight="1">
      <x:c r="A167" s="12" t="n">
        <x:v>159</x:v>
      </x:c>
      <x:c r="B167" s="2" t="str">
        <x:v>韩浩</x:v>
      </x:c>
      <x:c r="C167" s="2" t="str">
        <x:v>洛陽(未)</x:v>
      </x:c>
      <x:c r="D167" s="2" t="str">
        <x:v>張楊</x:v>
      </x:c>
      <x:c r="E167" s="2" t="str">
        <x:v>曹操</x:v>
      </x:c>
      <x:c r="F167" s="2" t="str">
        <x:v>曹操</x:v>
      </x:c>
      <x:c r="G167" s="2" t="str">
        <x:v>韓玄</x:v>
      </x:c>
      <x:c r="H167" s="2" t="str">
        <x:v>曹操</x:v>
      </x:c>
      <x:c r="I167" s="2" t="str">
        <x:v>x</x:v>
      </x:c>
      <x:c r="J167" s="2" t="str">
        <x:v>x</x:v>
      </x:c>
      <x:c r="K167" s="2" t="str">
        <x:v>x</x:v>
      </x:c>
      <x:c r="L167" s="2" t="str">
        <x:v>韓玄</x:v>
      </x:c>
    </x:row>
    <x:row r="168" ht="23" customHeight="1">
      <x:c r="A168" s="12" t="n">
        <x:v>160</x:v>
      </x:c>
      <x:c r="B168" s="2" t="str">
        <x:v>韩珩</x:v>
      </x:c>
      <x:c r="C168" s="2" t="str">
        <x:v>薊(未)</x:v>
      </x:c>
      <x:c r="D168" s="2" t="str">
        <x:v>薊(未)</x:v>
      </x:c>
      <x:c r="E168" s="2" t="str">
        <x:v>薊(未)</x:v>
      </x:c>
      <x:c r="F168" s="2" t="str">
        <x:v>袁紹</x:v>
      </x:c>
      <x:c r="G168" s="2" t="str">
        <x:v>x</x:v>
      </x:c>
      <x:c r="H168" s="2" t="str">
        <x:v>x</x:v>
      </x:c>
      <x:c r="I168" s="2" t="str">
        <x:v>x</x:v>
      </x:c>
      <x:c r="J168" s="2" t="str">
        <x:v>x</x:v>
      </x:c>
      <x:c r="K168" s="2" t="str">
        <x:v>x</x:v>
      </x:c>
      <x:c r="L168" s="2" t="str">
        <x:v>薊(未)</x:v>
      </x:c>
    </x:row>
    <x:row r="169" ht="23" customHeight="1">
      <x:c r="A169" s="12" t="n">
        <x:v>161</x:v>
      </x:c>
      <x:c r="B169" s="2" t="str">
        <x:v>关兴</x:v>
      </x:c>
      <x:c r="C169" s="2" t="str">
        <x:v>洛陽(-)</x:v>
      </x:c>
      <x:c r="D169" s="2" t="str">
        <x:v>洛陽(-)</x:v>
      </x:c>
      <x:c r="E169" s="2" t="str">
        <x:v>洛陽(-)</x:v>
      </x:c>
      <x:c r="F169" s="2" t="str">
        <x:v>洛陽(-)</x:v>
      </x:c>
      <x:c r="G169" s="2" t="str">
        <x:v>新野(-)</x:v>
      </x:c>
      <x:c r="H169" s="2" t="str">
        <x:v>劉備</x:v>
      </x:c>
      <x:c r="I169" s="2" t="str">
        <x:v>劉備</x:v>
      </x:c>
      <x:c r="J169" s="2" t="str">
        <x:v>劉禪</x:v>
      </x:c>
      <x:c r="K169" s="2" t="str">
        <x:v>x</x:v>
      </x:c>
      <x:c r="L169" s="2" t="str">
        <x:v>劉備</x:v>
      </x:c>
    </x:row>
    <x:row r="170" ht="23" customHeight="1">
      <x:c r="A170" s="12" t="n">
        <x:v>162</x:v>
      </x:c>
      <x:c r="B170" s="2" t="str">
        <x:v>关索</x:v>
      </x:c>
      <x:c r="C170" s="2" t="str">
        <x:v>洛陽(-)</x:v>
      </x:c>
      <x:c r="D170" s="2" t="str">
        <x:v>洛陽(-)</x:v>
      </x:c>
      <x:c r="E170" s="2" t="str">
        <x:v>洛陽(-)</x:v>
      </x:c>
      <x:c r="F170" s="2" t="str">
        <x:v>洛陽(-)</x:v>
      </x:c>
      <x:c r="G170" s="2" t="str">
        <x:v>新野(-)</x:v>
      </x:c>
      <x:c r="H170" s="2" t="str">
        <x:v>劉備</x:v>
      </x:c>
      <x:c r="I170" s="2" t="str">
        <x:v>劉備</x:v>
      </x:c>
      <x:c r="J170" s="2" t="str">
        <x:v>劉禪</x:v>
      </x:c>
      <x:c r="K170" s="2" t="str">
        <x:v>x</x:v>
      </x:c>
      <x:c r="L170" s="2" t="str">
        <x:v>劉備</x:v>
      </x:c>
    </x:row>
    <x:row r="171" ht="23" customHeight="1">
      <x:c r="A171" s="12" t="n">
        <x:v>163</x:v>
      </x:c>
      <x:c r="B171" s="2" t="str">
        <x:v>甘氏</x:v>
      </x:c>
      <x:c r="C171" s="2" t="str">
        <x:v>小沛(-)</x:v>
      </x:c>
      <x:c r="D171" s="2" t="str">
        <x:v>小沛(未)</x:v>
      </x:c>
      <x:c r="E171" s="2" t="str">
        <x:v>劉備</x:v>
      </x:c>
      <x:c r="F171" s="2" t="str">
        <x:v>劉備</x:v>
      </x:c>
      <x:c r="G171" s="2" t="str">
        <x:v>劉備</x:v>
      </x:c>
      <x:c r="H171" s="2" t="str">
        <x:v>x</x:v>
      </x:c>
      <x:c r="I171" s="2" t="str">
        <x:v>x</x:v>
      </x:c>
      <x:c r="J171" s="2" t="str">
        <x:v>x</x:v>
      </x:c>
      <x:c r="K171" s="2" t="str">
        <x:v>x</x:v>
      </x:c>
      <x:c r="L171" s="2" t="str">
        <x:v>劉備</x:v>
      </x:c>
    </x:row>
    <x:row r="172" ht="23" customHeight="1">
      <x:c r="A172" s="12" t="n">
        <x:v>164</x:v>
      </x:c>
      <x:c r="B172" s="2" t="str">
        <x:v>环氏</x:v>
      </x:c>
      <x:c r="C172" s="2" t="str">
        <x:v>下邳(-)</x:v>
      </x:c>
      <x:c r="D172" s="2" t="str">
        <x:v>下邳(-)</x:v>
      </x:c>
      <x:c r="E172" s="2" t="str">
        <x:v>曹操</x:v>
      </x:c>
      <x:c r="F172" s="2" t="str">
        <x:v>曹操</x:v>
      </x:c>
      <x:c r="G172" s="2" t="str">
        <x:v>曹操</x:v>
      </x:c>
      <x:c r="H172" s="2" t="str">
        <x:v>曹操</x:v>
      </x:c>
      <x:c r="I172" s="2" t="str">
        <x:v>曹丕</x:v>
      </x:c>
      <x:c r="J172" s="2" t="str">
        <x:v>x</x:v>
      </x:c>
      <x:c r="K172" s="2" t="str">
        <x:v>x</x:v>
      </x:c>
      <x:c r="L172" s="2" t="str">
        <x:v>曹操</x:v>
      </x:c>
    </x:row>
    <x:row r="173" ht="23" customHeight="1">
      <x:c r="A173" s="12" t="n">
        <x:v>165</x:v>
      </x:c>
      <x:c r="B173" s="2" t="str">
        <x:v>管承</x:v>
      </x:c>
      <x:c r="C173" s="2" t="str">
        <x:v>張角</x:v>
      </x:c>
      <x:c r="D173" s="2" t="str">
        <x:v>北海(野)</x:v>
      </x:c>
      <x:c r="E173" s="2" t="str">
        <x:v>北海(野)</x:v>
      </x:c>
      <x:c r="F173" s="2" t="str">
        <x:v>袁紹</x:v>
      </x:c>
      <x:c r="G173" s="2" t="str">
        <x:v>x</x:v>
      </x:c>
      <x:c r="H173" s="2" t="str">
        <x:v>x</x:v>
      </x:c>
      <x:c r="I173" s="2" t="str">
        <x:v>x</x:v>
      </x:c>
      <x:c r="J173" s="2" t="str">
        <x:v>x</x:v>
      </x:c>
      <x:c r="K173" s="2" t="str">
        <x:v>x</x:v>
      </x:c>
      <x:c r="L173" s="2" t="str">
        <x:v>北海(未)</x:v>
      </x:c>
    </x:row>
    <x:row r="174" ht="23" customHeight="1">
      <x:c r="A174" s="12" t="n">
        <x:v>166</x:v>
      </x:c>
      <x:c r="B174" s="2" t="str">
        <x:v>韩遂</x:v>
      </x:c>
      <x:c r="C174" s="2" t="str">
        <x:v>馬騰</x:v>
      </x:c>
      <x:c r="D174" s="2" t="str">
        <x:v>馬騰</x:v>
      </x:c>
      <x:c r="E174" s="2" t="str">
        <x:v>馬騰</x:v>
      </x:c>
      <x:c r="F174" s="2" t="str">
        <x:v>馬騰</x:v>
      </x:c>
      <x:c r="G174" s="2" t="str">
        <x:v>馬騰</x:v>
      </x:c>
      <x:c r="H174" s="2" t="str">
        <x:v>x</x:v>
      </x:c>
      <x:c r="I174" s="2" t="str">
        <x:v>x</x:v>
      </x:c>
      <x:c r="J174" s="2" t="str">
        <x:v>x</x:v>
      </x:c>
      <x:c r="K174" s="2" t="str">
        <x:v>x</x:v>
      </x:c>
      <x:c r="L174" s="2" t="str">
        <x:v>韓遂</x:v>
      </x:c>
    </x:row>
    <x:row r="175" ht="23" customHeight="1">
      <x:c r="A175" s="12" t="n">
        <x:v>167</x:v>
      </x:c>
      <x:c r="B175" s="2" t="str">
        <x:v>韩嵩</x:v>
      </x:c>
      <x:c r="C175" s="2" t="str">
        <x:v>襄陽(未)</x:v>
      </x:c>
      <x:c r="D175" s="2" t="str">
        <x:v>襄陽(未)</x:v>
      </x:c>
      <x:c r="E175" s="2" t="str">
        <x:v>劉表</x:v>
      </x:c>
      <x:c r="F175" s="2" t="str">
        <x:v>劉表</x:v>
      </x:c>
      <x:c r="G175" s="2" t="str">
        <x:v>劉表</x:v>
      </x:c>
      <x:c r="H175" s="2" t="str">
        <x:v>x</x:v>
      </x:c>
      <x:c r="I175" s="2" t="str">
        <x:v>x</x:v>
      </x:c>
      <x:c r="J175" s="2" t="str">
        <x:v>x</x:v>
      </x:c>
      <x:c r="K175" s="2" t="str">
        <x:v>x</x:v>
      </x:c>
      <x:c r="L175" s="2" t="str">
        <x:v>襄陽(未)</x:v>
      </x:c>
    </x:row>
    <x:row r="176" ht="23" customHeight="1">
      <x:c r="A176" s="12" t="n">
        <x:v>168</x:v>
      </x:c>
      <x:c r="B176" s="2" t="str">
        <x:v>关靖</x:v>
      </x:c>
      <x:c r="C176" s="2" t="str">
        <x:v>公孫瓚</x:v>
      </x:c>
      <x:c r="D176" s="2" t="str">
        <x:v>公孫瓚</x:v>
      </x:c>
      <x:c r="E176" s="2" t="str">
        <x:v>公孫瓚</x:v>
      </x:c>
      <x:c r="F176" s="2" t="str">
        <x:v>x</x:v>
      </x:c>
      <x:c r="G176" s="2" t="str">
        <x:v>x</x:v>
      </x:c>
      <x:c r="H176" s="2" t="str">
        <x:v>x</x:v>
      </x:c>
      <x:c r="I176" s="2" t="str">
        <x:v>x</x:v>
      </x:c>
      <x:c r="J176" s="2" t="str">
        <x:v>x</x:v>
      </x:c>
      <x:c r="K176" s="2" t="str">
        <x:v>x</x:v>
      </x:c>
      <x:c r="L176" s="2" t="str">
        <x:v>公孫瓚</x:v>
      </x:c>
    </x:row>
    <x:row r="177" ht="23" customHeight="1">
      <x:c r="A177" s="12" t="n">
        <x:v>169</x:v>
      </x:c>
      <x:c r="B177" s="2" t="str">
        <x:v>韩暹</x:v>
      </x:c>
      <x:c r="C177" s="2" t="str">
        <x:v>張角</x:v>
      </x:c>
      <x:c r="D177" s="2" t="str">
        <x:v>晉陽(野)</x:v>
      </x:c>
      <x:c r="E177" s="2" t="str">
        <x:v>洛陽(野)</x:v>
      </x:c>
      <x:c r="F177" s="2" t="str">
        <x:v>x</x:v>
      </x:c>
      <x:c r="G177" s="2" t="str">
        <x:v>x</x:v>
      </x:c>
      <x:c r="H177" s="2" t="str">
        <x:v>x</x:v>
      </x:c>
      <x:c r="I177" s="2" t="str">
        <x:v>x</x:v>
      </x:c>
      <x:c r="J177" s="2" t="str">
        <x:v>x</x:v>
      </x:c>
      <x:c r="K177" s="2" t="str">
        <x:v>x</x:v>
      </x:c>
      <x:c r="L177" s="2" t="str">
        <x:v>張角</x:v>
      </x:c>
    </x:row>
    <x:row r="178" ht="23" customHeight="1">
      <x:c r="A178" s="12" t="n">
        <x:v>170</x:v>
      </x:c>
      <x:c r="B178" s="2" t="str">
        <x:v>韩综</x:v>
      </x:c>
      <x:c r="C178" s="2" t="str">
        <x:v>北平(-)</x:v>
      </x:c>
      <x:c r="D178" s="2" t="str">
        <x:v>北平(-)</x:v>
      </x:c>
      <x:c r="E178" s="2" t="str">
        <x:v>北平(-)</x:v>
      </x:c>
      <x:c r="F178" s="2" t="str">
        <x:v>吳(-)</x:v>
      </x:c>
      <x:c r="G178" s="2" t="str">
        <x:v>吳(-)</x:v>
      </x:c>
      <x:c r="H178" s="2" t="str">
        <x:v>吳(-)</x:v>
      </x:c>
      <x:c r="I178" s="2" t="str">
        <x:v>孫權</x:v>
      </x:c>
      <x:c r="J178" s="2" t="str">
        <x:v>孫權</x:v>
      </x:c>
      <x:c r="K178" s="2" t="str">
        <x:v>曹芳</x:v>
      </x:c>
      <x:c r="L178" s="2" t="str">
        <x:v>北平(未)</x:v>
      </x:c>
    </x:row>
    <x:row r="179" ht="23" customHeight="1">
      <x:c r="A179" s="12" t="n">
        <x:v>171</x:v>
      </x:c>
      <x:c r="B179" s="2" t="str">
        <x:v>阚泽</x:v>
      </x:c>
      <x:c r="C179" s="2" t="str">
        <x:v>會稽(-)</x:v>
      </x:c>
      <x:c r="D179" s="2" t="str">
        <x:v>會稽(-)</x:v>
      </x:c>
      <x:c r="E179" s="2" t="str">
        <x:v>會稽(-)</x:v>
      </x:c>
      <x:c r="F179" s="2" t="str">
        <x:v>會稽(-)</x:v>
      </x:c>
      <x:c r="G179" s="2" t="str">
        <x:v>孫權</x:v>
      </x:c>
      <x:c r="H179" s="2" t="str">
        <x:v>孫權</x:v>
      </x:c>
      <x:c r="I179" s="2" t="str">
        <x:v>孫權</x:v>
      </x:c>
      <x:c r="J179" s="2" t="str">
        <x:v>孫權</x:v>
      </x:c>
      <x:c r="K179" s="2" t="str">
        <x:v>x</x:v>
      </x:c>
      <x:c r="L179" s="2" t="str">
        <x:v>會稽(未)</x:v>
      </x:c>
    </x:row>
    <x:row r="180" ht="23" customHeight="1">
      <x:c r="A180" s="12" t="n">
        <x:v>172</x:v>
      </x:c>
      <x:c r="B180" s="2" t="str">
        <x:v>邯郸淳</x:v>
      </x:c>
      <x:c r="C180" s="2" t="str">
        <x:v>許昌(未)</x:v>
      </x:c>
      <x:c r="D180" s="2" t="str">
        <x:v>許昌(未)</x:v>
      </x:c>
      <x:c r="E180" s="2" t="str">
        <x:v>劉表</x:v>
      </x:c>
      <x:c r="F180" s="2" t="str">
        <x:v>劉表</x:v>
      </x:c>
      <x:c r="G180" s="2" t="str">
        <x:v>劉表</x:v>
      </x:c>
      <x:c r="H180" s="2" t="str">
        <x:v>曹操</x:v>
      </x:c>
      <x:c r="I180" s="2" t="str">
        <x:v>曹丕</x:v>
      </x:c>
      <x:c r="J180" s="2" t="str">
        <x:v>x</x:v>
      </x:c>
      <x:c r="K180" s="2" t="str">
        <x:v>x</x:v>
      </x:c>
      <x:c r="L180" s="2" t="str">
        <x:v>許昌(未)</x:v>
      </x:c>
    </x:row>
    <x:row r="181" ht="23" customHeight="1">
      <x:c r="A181" s="12" t="n">
        <x:v>173</x:v>
      </x:c>
      <x:c r="B181" s="2" t="str">
        <x:v>韩忠</x:v>
      </x:c>
      <x:c r="C181" s="2" t="str">
        <x:v>張角</x:v>
      </x:c>
      <x:c r="D181" s="2" t="str">
        <x:v>x</x:v>
      </x:c>
      <x:c r="E181" s="2" t="str">
        <x:v>x</x:v>
      </x:c>
      <x:c r="F181" s="2" t="str">
        <x:v>x</x:v>
      </x:c>
      <x:c r="G181" s="2" t="str">
        <x:v>x</x:v>
      </x:c>
      <x:c r="H181" s="2" t="str">
        <x:v>x</x:v>
      </x:c>
      <x:c r="I181" s="2" t="str">
        <x:v>x</x:v>
      </x:c>
      <x:c r="J181" s="2" t="str">
        <x:v>x</x:v>
      </x:c>
      <x:c r="K181" s="2" t="str">
        <x:v>x</x:v>
      </x:c>
      <x:c r="L181" s="2" t="str">
        <x:v>張角</x:v>
      </x:c>
    </x:row>
    <x:row r="182" ht="23" customHeight="1">
      <x:c r="A182" s="12" t="n">
        <x:v>174</x:v>
      </x:c>
      <x:c r="B182" s="2" t="str">
        <x:v>韩忠</x:v>
      </x:c>
      <x:c r="C182" s="2" t="str">
        <x:v>襄平(-)</x:v>
      </x:c>
      <x:c r="D182" s="2" t="str">
        <x:v>襄平(未)</x:v>
      </x:c>
      <x:c r="E182" s="2" t="str">
        <x:v>公孫度</x:v>
      </x:c>
      <x:c r="F182" s="2" t="str">
        <x:v>公孫度</x:v>
      </x:c>
      <x:c r="G182" s="2" t="str">
        <x:v>公孫康</x:v>
      </x:c>
      <x:c r="H182" s="2" t="str">
        <x:v>x</x:v>
      </x:c>
      <x:c r="I182" s="2" t="str">
        <x:v>x</x:v>
      </x:c>
      <x:c r="J182" s="2" t="str">
        <x:v>x</x:v>
      </x:c>
      <x:c r="K182" s="2" t="str">
        <x:v>x</x:v>
      </x:c>
      <x:c r="L182" s="2" t="str">
        <x:v>公孫度</x:v>
      </x:c>
    </x:row>
    <x:row r="183" ht="23" customHeight="1">
      <x:c r="A183" s="12" t="n">
        <x:v>175</x:v>
      </x:c>
      <x:c r="B183" s="2" t="str">
        <x:v>关统</x:v>
      </x:c>
      <x:c r="C183" s="2" t="str">
        <x:v>洛陽(-)</x:v>
      </x:c>
      <x:c r="D183" s="2" t="str">
        <x:v>洛陽(-)</x:v>
      </x:c>
      <x:c r="E183" s="2" t="str">
        <x:v>洛陽(-)</x:v>
      </x:c>
      <x:c r="F183" s="2" t="str">
        <x:v>洛陽(-)</x:v>
      </x:c>
      <x:c r="G183" s="2" t="str">
        <x:v>新野(-)</x:v>
      </x:c>
      <x:c r="H183" s="2" t="str">
        <x:v>江陵(-)</x:v>
      </x:c>
      <x:c r="I183" s="2" t="str">
        <x:v>成都(-)</x:v>
      </x:c>
      <x:c r="J183" s="2" t="str">
        <x:v>成都(-)</x:v>
      </x:c>
      <x:c r="K183" s="2" t="str">
        <x:v>劉禪</x:v>
      </x:c>
      <x:c r="L183" s="2" t="str">
        <x:v>劉備</x:v>
      </x:c>
    </x:row>
    <x:row r="184" ht="23" customHeight="1">
      <x:c r="A184" s="12" t="n">
        <x:v>176</x:v>
      </x:c>
      <x:c r="B184" s="2" t="str">
        <x:v>韩当</x:v>
      </x:c>
      <x:c r="C184" s="2" t="str">
        <x:v>孫堅</x:v>
      </x:c>
      <x:c r="D184" s="2" t="str">
        <x:v>孫堅</x:v>
      </x:c>
      <x:c r="E184" s="2" t="str">
        <x:v>孫策</x:v>
      </x:c>
      <x:c r="F184" s="2" t="str">
        <x:v>孫策</x:v>
      </x:c>
      <x:c r="G184" s="2" t="str">
        <x:v>孫權</x:v>
      </x:c>
      <x:c r="H184" s="2" t="str">
        <x:v>孫權</x:v>
      </x:c>
      <x:c r="I184" s="2" t="str">
        <x:v>孫權</x:v>
      </x:c>
      <x:c r="J184" s="2" t="str">
        <x:v>x</x:v>
      </x:c>
      <x:c r="K184" s="2" t="str">
        <x:v>x</x:v>
      </x:c>
      <x:c r="L184" s="2" t="str">
        <x:v>孫堅</x:v>
      </x:c>
    </x:row>
    <x:row r="185" ht="23" customHeight="1">
      <x:c r="A185" s="12" t="n">
        <x:v>177</x:v>
      </x:c>
      <x:c r="B185" s="2" t="str">
        <x:v>管统</x:v>
      </x:c>
      <x:c r="C185" s="2" t="str">
        <x:v>北海(未)</x:v>
      </x:c>
      <x:c r="D185" s="2" t="str">
        <x:v>北海(未)</x:v>
      </x:c>
      <x:c r="E185" s="2" t="str">
        <x:v>北海(野)</x:v>
      </x:c>
      <x:c r="F185" s="2" t="str">
        <x:v>袁紹</x:v>
      </x:c>
      <x:c r="G185" s="2" t="str">
        <x:v>x</x:v>
      </x:c>
      <x:c r="H185" s="2" t="str">
        <x:v>x</x:v>
      </x:c>
      <x:c r="I185" s="2" t="str">
        <x:v>x</x:v>
      </x:c>
      <x:c r="J185" s="2" t="str">
        <x:v>x</x:v>
      </x:c>
      <x:c r="K185" s="2" t="str">
        <x:v>x</x:v>
      </x:c>
      <x:c r="L185" s="2" t="str">
        <x:v>北海(未)</x:v>
      </x:c>
    </x:row>
    <x:row r="186" ht="23" customHeight="1">
      <x:c r="A186" s="12" t="n">
        <x:v>178</x:v>
      </x:c>
      <x:c r="B186" s="2" t="str">
        <x:v>韩德</x:v>
      </x:c>
      <x:c r="C186" s="2" t="str">
        <x:v>安定(-)</x:v>
      </x:c>
      <x:c r="D186" s="2" t="str">
        <x:v>安定(-)</x:v>
      </x:c>
      <x:c r="E186" s="2" t="str">
        <x:v>安定(-)</x:v>
      </x:c>
      <x:c r="F186" s="2" t="str">
        <x:v>安定(未)</x:v>
      </x:c>
      <x:c r="G186" s="2" t="str">
        <x:v>安定(未)</x:v>
      </x:c>
      <x:c r="H186" s="2" t="str">
        <x:v>安定(未)</x:v>
      </x:c>
      <x:c r="I186" s="2" t="str">
        <x:v>安定(未)</x:v>
      </x:c>
      <x:c r="J186" s="2" t="str">
        <x:v>曹叡</x:v>
      </x:c>
      <x:c r="K186" s="2" t="str">
        <x:v>x</x:v>
      </x:c>
      <x:c r="L186" s="2" t="str">
        <x:v>安定(未)</x:v>
      </x:c>
    </x:row>
    <x:row r="187" ht="23" customHeight="1">
      <x:c r="A187" s="12" t="n">
        <x:v>179</x:v>
      </x:c>
      <x:c r="B187" s="2" t="str">
        <x:v>甘宁</x:v>
      </x:c>
      <x:c r="C187" s="2" t="str">
        <x:v>宛(-)</x:v>
      </x:c>
      <x:c r="D187" s="2" t="str">
        <x:v>宛(-)</x:v>
      </x:c>
      <x:c r="E187" s="2" t="str">
        <x:v>宛(未)</x:v>
      </x:c>
      <x:c r="F187" s="2" t="str">
        <x:v>劉表</x:v>
      </x:c>
      <x:c r="G187" s="2" t="str">
        <x:v>劉表</x:v>
      </x:c>
      <x:c r="H187" s="2" t="str">
        <x:v>孫權</x:v>
      </x:c>
      <x:c r="I187" s="2" t="str">
        <x:v>孫權</x:v>
      </x:c>
      <x:c r="J187" s="2" t="str">
        <x:v>x</x:v>
      </x:c>
      <x:c r="K187" s="2" t="str">
        <x:v>x</x:v>
      </x:c>
      <x:c r="L187" s="2" t="str">
        <x:v>孫堅</x:v>
      </x:c>
    </x:row>
    <x:row r="188" ht="23" customHeight="1">
      <x:c r="A188" s="12" t="n">
        <x:v>180</x:v>
      </x:c>
      <x:c r="B188" s="2" t="str">
        <x:v>桓范</x:v>
      </x:c>
      <x:c r="C188" s="2" t="str">
        <x:v>小沛(-)</x:v>
      </x:c>
      <x:c r="D188" s="2" t="str">
        <x:v>小沛(-)</x:v>
      </x:c>
      <x:c r="E188" s="2" t="str">
        <x:v>小沛(-)</x:v>
      </x:c>
      <x:c r="F188" s="2" t="str">
        <x:v>小沛(-)</x:v>
      </x:c>
      <x:c r="G188" s="2" t="str">
        <x:v>小沛(-)</x:v>
      </x:c>
      <x:c r="H188" s="2" t="str">
        <x:v>小沛(-)</x:v>
      </x:c>
      <x:c r="I188" s="2" t="str">
        <x:v>曹丕</x:v>
      </x:c>
      <x:c r="J188" s="2" t="str">
        <x:v>曹叡</x:v>
      </x:c>
      <x:c r="K188" s="2" t="str">
        <x:v>曹爽</x:v>
      </x:c>
      <x:c r="L188" s="2" t="str">
        <x:v>小沛(未)</x:v>
      </x:c>
    </x:row>
    <x:row r="189" ht="23" customHeight="1">
      <x:c r="A189" s="12" t="n">
        <x:v>181</x:v>
      </x:c>
      <x:c r="B189" s="2" t="str">
        <x:v>韩范</x:v>
      </x:c>
      <x:c r="C189" s="2" t="str">
        <x:v>北平(-)</x:v>
      </x:c>
      <x:c r="D189" s="2" t="str">
        <x:v>北平(-)</x:v>
      </x:c>
      <x:c r="E189" s="2" t="str">
        <x:v>北平(未)</x:v>
      </x:c>
      <x:c r="F189" s="2" t="str">
        <x:v>袁紹</x:v>
      </x:c>
      <x:c r="G189" s="2" t="str">
        <x:v>x</x:v>
      </x:c>
      <x:c r="H189" s="2" t="str">
        <x:v>x</x:v>
      </x:c>
      <x:c r="I189" s="2" t="str">
        <x:v>x</x:v>
      </x:c>
      <x:c r="J189" s="2" t="str">
        <x:v>x</x:v>
      </x:c>
      <x:c r="K189" s="2" t="str">
        <x:v>x</x:v>
      </x:c>
      <x:c r="L189" s="2" t="str">
        <x:v>袁紹</x:v>
      </x:c>
    </x:row>
    <x:row r="190" ht="23" customHeight="1">
      <x:c r="A190" s="12" t="n">
        <x:v>182</x:v>
      </x:c>
      <x:c r="B190" s="2" t="str">
        <x:v>韩馥</x:v>
      </x:c>
      <x:c r="C190" s="2" t="str">
        <x:v>何進</x:v>
      </x:c>
      <x:c r="D190" s="2" t="str">
        <x:v>韓馥</x:v>
      </x:c>
      <x:c r="E190" s="2" t="str">
        <x:v>x</x:v>
      </x:c>
      <x:c r="F190" s="2" t="str">
        <x:v>x</x:v>
      </x:c>
      <x:c r="G190" s="2" t="str">
        <x:v>x</x:v>
      </x:c>
      <x:c r="H190" s="2" t="str">
        <x:v>x</x:v>
      </x:c>
      <x:c r="I190" s="2" t="str">
        <x:v>x</x:v>
      </x:c>
      <x:c r="J190" s="2" t="str">
        <x:v>x</x:v>
      </x:c>
      <x:c r="K190" s="2" t="str">
        <x:v>x</x:v>
      </x:c>
      <x:c r="L190" s="2" t="str">
        <x:v>韓馥</x:v>
      </x:c>
    </x:row>
    <x:row r="191" ht="23" customHeight="1">
      <x:c r="A191" s="12" t="n">
        <x:v>183</x:v>
      </x:c>
      <x:c r="B191" s="2" t="str">
        <x:v>关平</x:v>
      </x:c>
      <x:c r="C191" s="2" t="str">
        <x:v>洛陽(-)</x:v>
      </x:c>
      <x:c r="D191" s="2" t="str">
        <x:v>洛陽(-)</x:v>
      </x:c>
      <x:c r="E191" s="2" t="str">
        <x:v>洛陽(-)</x:v>
      </x:c>
      <x:c r="F191" s="2" t="str">
        <x:v>洛陽(未)</x:v>
      </x:c>
      <x:c r="G191" s="2" t="str">
        <x:v>劉備</x:v>
      </x:c>
      <x:c r="H191" s="2" t="str">
        <x:v>劉備</x:v>
      </x:c>
      <x:c r="I191" s="2" t="str">
        <x:v>x</x:v>
      </x:c>
      <x:c r="J191" s="2" t="str">
        <x:v>x</x:v>
      </x:c>
      <x:c r="K191" s="2" t="str">
        <x:v>x</x:v>
      </x:c>
      <x:c r="L191" s="2" t="str">
        <x:v>劉備</x:v>
      </x:c>
    </x:row>
    <x:row r="192" ht="23" customHeight="1">
      <x:c r="A192" s="12" t="n">
        <x:v>184</x:v>
      </x:c>
      <x:c r="B192" s="2" t="str">
        <x:v>韩猛</x:v>
      </x:c>
      <x:c r="C192" s="2" t="str">
        <x:v>南皮(未)</x:v>
      </x:c>
      <x:c r="D192" s="2" t="str">
        <x:v>袁紹</x:v>
      </x:c>
      <x:c r="E192" s="2" t="str">
        <x:v>袁紹</x:v>
      </x:c>
      <x:c r="F192" s="2" t="str">
        <x:v>袁紹</x:v>
      </x:c>
      <x:c r="G192" s="2" t="str">
        <x:v>x</x:v>
      </x:c>
      <x:c r="H192" s="2" t="str">
        <x:v>x</x:v>
      </x:c>
      <x:c r="I192" s="2" t="str">
        <x:v>x</x:v>
      </x:c>
      <x:c r="J192" s="2" t="str">
        <x:v>x</x:v>
      </x:c>
      <x:c r="K192" s="2" t="str">
        <x:v>x</x:v>
      </x:c>
      <x:c r="L192" s="2" t="str">
        <x:v>袁紹</x:v>
      </x:c>
    </x:row>
    <x:row r="193" ht="23" customHeight="1">
      <x:c r="A193" s="12" t="n">
        <x:v>185</x:v>
      </x:c>
      <x:c r="B193" s="2" t="str">
        <x:v>简雍</x:v>
      </x:c>
      <x:c r="C193" s="2" t="str">
        <x:v>劉焉</x:v>
      </x:c>
      <x:c r="D193" s="2" t="str">
        <x:v>劉備</x:v>
      </x:c>
      <x:c r="E193" s="2" t="str">
        <x:v>劉備</x:v>
      </x:c>
      <x:c r="F193" s="2" t="str">
        <x:v>劉備</x:v>
      </x:c>
      <x:c r="G193" s="2" t="str">
        <x:v>劉備</x:v>
      </x:c>
      <x:c r="H193" s="2" t="str">
        <x:v>劉備</x:v>
      </x:c>
      <x:c r="I193" s="2" t="str">
        <x:v>劉備</x:v>
      </x:c>
      <x:c r="J193" s="2" t="str">
        <x:v>x</x:v>
      </x:c>
      <x:c r="K193" s="2" t="str">
        <x:v>x</x:v>
      </x:c>
      <x:c r="L193" s="2" t="str">
        <x:v>劉備</x:v>
      </x:c>
    </x:row>
    <x:row r="194" ht="23" customHeight="1">
      <x:c r="A194" s="12" t="n">
        <x:v>186</x:v>
      </x:c>
      <x:c r="B194" s="2" t="str">
        <x:v>颜良</x:v>
      </x:c>
      <x:c r="C194" s="2" t="str">
        <x:v>南皮(未)</x:v>
      </x:c>
      <x:c r="D194" s="2" t="str">
        <x:v>袁紹</x:v>
      </x:c>
      <x:c r="E194" s="2" t="str">
        <x:v>袁紹</x:v>
      </x:c>
      <x:c r="F194" s="2" t="str">
        <x:v>袁紹</x:v>
      </x:c>
      <x:c r="G194" s="2" t="str">
        <x:v>x</x:v>
      </x:c>
      <x:c r="H194" s="2" t="str">
        <x:v>x</x:v>
      </x:c>
      <x:c r="I194" s="2" t="str">
        <x:v>x</x:v>
      </x:c>
      <x:c r="J194" s="2" t="str">
        <x:v>x</x:v>
      </x:c>
      <x:c r="K194" s="2" t="str">
        <x:v>x</x:v>
      </x:c>
      <x:c r="L194" s="2" t="str">
        <x:v>袁紹</x:v>
      </x:c>
    </x:row>
    <x:row r="195" ht="23" customHeight="1">
      <x:c r="A195" s="12" t="n">
        <x:v>187</x:v>
      </x:c>
      <x:c r="B195" s="2" t="str">
        <x:v>桓邻</x:v>
      </x:c>
      <x:c r="C195" s="2" t="str">
        <x:v>交趾(-)</x:v>
      </x:c>
      <x:c r="D195" s="2" t="str">
        <x:v>交趾(-)</x:v>
      </x:c>
      <x:c r="E195" s="2" t="str">
        <x:v>士燮</x:v>
      </x:c>
      <x:c r="F195" s="2" t="str">
        <x:v>士燮</x:v>
      </x:c>
      <x:c r="G195" s="2" t="str">
        <x:v>士燮</x:v>
      </x:c>
      <x:c r="H195" s="2" t="str">
        <x:v>士燮</x:v>
      </x:c>
      <x:c r="I195" s="2" t="str">
        <x:v>士燮</x:v>
      </x:c>
      <x:c r="J195" s="2" t="str">
        <x:v>x</x:v>
      </x:c>
      <x:c r="K195" s="2" t="str">
        <x:v>x</x:v>
      </x:c>
      <x:c r="L195" s="2" t="str">
        <x:v>士燮</x:v>
      </x:c>
    </x:row>
    <x:row r="196" ht="23" customHeight="1">
      <x:c r="A196" s="12" t="n">
        <x:v>188</x:v>
      </x:c>
      <x:c r="B196" s="2" t="str">
        <x:v>魏越</x:v>
      </x:c>
      <x:c r="C196" s="2" t="str">
        <x:v>晉陽(-)</x:v>
      </x:c>
      <x:c r="D196" s="2" t="str">
        <x:v>董卓</x:v>
      </x:c>
      <x:c r="E196" s="2" t="str">
        <x:v>呂布</x:v>
      </x:c>
      <x:c r="F196" s="2" t="str">
        <x:v>x</x:v>
      </x:c>
      <x:c r="G196" s="2" t="str">
        <x:v>x</x:v>
      </x:c>
      <x:c r="H196" s="2" t="str">
        <x:v>x</x:v>
      </x:c>
      <x:c r="I196" s="2" t="str">
        <x:v>x</x:v>
      </x:c>
      <x:c r="J196" s="2" t="str">
        <x:v>x</x:v>
      </x:c>
      <x:c r="K196" s="2" t="str">
        <x:v>x</x:v>
      </x:c>
      <x:c r="L196" s="2" t="str">
        <x:v>呂布</x:v>
      </x:c>
    </x:row>
    <x:row r="197" ht="23" customHeight="1">
      <x:c r="A197" s="12" t="n">
        <x:v>189</x:v>
      </x:c>
      <x:c r="B197" s="2" t="str">
        <x:v>魏延</x:v>
      </x:c>
      <x:c r="C197" s="2" t="str">
        <x:v>新野(-)</x:v>
      </x:c>
      <x:c r="D197" s="2" t="str">
        <x:v>新野(-)</x:v>
      </x:c>
      <x:c r="E197" s="2" t="str">
        <x:v>新野(未)</x:v>
      </x:c>
      <x:c r="F197" s="2" t="str">
        <x:v>新野(未)</x:v>
      </x:c>
      <x:c r="G197" s="2" t="str">
        <x:v>韓玄</x:v>
      </x:c>
      <x:c r="H197" s="2" t="str">
        <x:v>劉備</x:v>
      </x:c>
      <x:c r="I197" s="2" t="str">
        <x:v>劉備</x:v>
      </x:c>
      <x:c r="J197" s="2" t="str">
        <x:v>劉禪</x:v>
      </x:c>
      <x:c r="K197" s="2" t="str">
        <x:v>x</x:v>
      </x:c>
      <x:c r="L197" s="2" t="str">
        <x:v>韓玄</x:v>
      </x:c>
    </x:row>
    <x:row r="198" ht="23" customHeight="1">
      <x:c r="A198" s="12" t="n">
        <x:v>190</x:v>
      </x:c>
      <x:c r="B198" s="2" t="str">
        <x:v>曲演</x:v>
      </x:c>
      <x:c r="C198" s="2" t="str">
        <x:v>武威(-)</x:v>
      </x:c>
      <x:c r="D198" s="2" t="str">
        <x:v>武威(-)</x:v>
      </x:c>
      <x:c r="E198" s="2" t="str">
        <x:v>武威(未)</x:v>
      </x:c>
      <x:c r="F198" s="2" t="str">
        <x:v>武威(未)</x:v>
      </x:c>
      <x:c r="G198" s="2" t="str">
        <x:v>武威(未)</x:v>
      </x:c>
      <x:c r="H198" s="2" t="str">
        <x:v>武威(野)</x:v>
      </x:c>
      <x:c r="I198" s="2" t="str">
        <x:v>武威(野)</x:v>
      </x:c>
      <x:c r="J198" s="2" t="str">
        <x:v>x</x:v>
      </x:c>
      <x:c r="K198" s="2" t="str">
        <x:v>x</x:v>
      </x:c>
      <x:c r="L198" s="2" t="str">
        <x:v>武威(未)</x:v>
      </x:c>
    </x:row>
    <x:row r="199" ht="23" customHeight="1">
      <x:c r="A199" s="12" t="n">
        <x:v>191</x:v>
      </x:c>
      <x:c r="B199" s="2" t="str">
        <x:v>曲义</x:v>
      </x:c>
      <x:c r="C199" s="2" t="str">
        <x:v>北平(未)</x:v>
      </x:c>
      <x:c r="D199" s="2" t="str">
        <x:v>袁紹</x:v>
      </x:c>
      <x:c r="E199" s="2" t="str">
        <x:v>x</x:v>
      </x:c>
      <x:c r="F199" s="2" t="str">
        <x:v>x</x:v>
      </x:c>
      <x:c r="G199" s="2" t="str">
        <x:v>x</x:v>
      </x:c>
      <x:c r="H199" s="2" t="str">
        <x:v>x</x:v>
      </x:c>
      <x:c r="I199" s="2" t="str">
        <x:v>x</x:v>
      </x:c>
      <x:c r="J199" s="2" t="str">
        <x:v>x</x:v>
      </x:c>
      <x:c r="K199" s="2" t="str">
        <x:v>x</x:v>
      </x:c>
      <x:c r="L199" s="2" t="str">
        <x:v>袁紹</x:v>
      </x:c>
    </x:row>
    <x:row r="200" ht="23" customHeight="1">
      <x:c r="A200" s="12" t="n">
        <x:v>192</x:v>
      </x:c>
      <x:c r="B200" s="2" t="str">
        <x:v>戏志才</x:v>
      </x:c>
      <x:c r="C200" s="2" t="str">
        <x:v>許昌(未)</x:v>
      </x:c>
      <x:c r="D200" s="2" t="str">
        <x:v>許昌(未)</x:v>
      </x:c>
      <x:c r="E200" s="2" t="str">
        <x:v>x</x:v>
      </x:c>
      <x:c r="F200" s="2" t="str">
        <x:v>x</x:v>
      </x:c>
      <x:c r="G200" s="2" t="str">
        <x:v>x</x:v>
      </x:c>
      <x:c r="H200" s="2" t="str">
        <x:v>x</x:v>
      </x:c>
      <x:c r="I200" s="2" t="str">
        <x:v>x</x:v>
      </x:c>
      <x:c r="J200" s="2" t="str">
        <x:v>x</x:v>
      </x:c>
      <x:c r="K200" s="2" t="str">
        <x:v>x</x:v>
      </x:c>
      <x:c r="L200" s="2" t="str">
        <x:v>許昌(未)</x:v>
      </x:c>
    </x:row>
    <x:row r="201" ht="23" customHeight="1">
      <x:c r="A201" s="12" t="n">
        <x:v>193</x:v>
      </x:c>
      <x:c r="B201" s="2" t="str">
        <x:v>魏续</x:v>
      </x:c>
      <x:c r="C201" s="2" t="str">
        <x:v>丁原</x:v>
      </x:c>
      <x:c r="D201" s="2" t="str">
        <x:v>董卓</x:v>
      </x:c>
      <x:c r="E201" s="2" t="str">
        <x:v>呂布</x:v>
      </x:c>
      <x:c r="F201" s="2" t="str">
        <x:v>曹操</x:v>
      </x:c>
      <x:c r="G201" s="2" t="str">
        <x:v>x</x:v>
      </x:c>
      <x:c r="H201" s="2" t="str">
        <x:v>x</x:v>
      </x:c>
      <x:c r="I201" s="2" t="str">
        <x:v>x</x:v>
      </x:c>
      <x:c r="J201" s="2" t="str">
        <x:v>x</x:v>
      </x:c>
      <x:c r="K201" s="2" t="str">
        <x:v>x</x:v>
      </x:c>
      <x:c r="L201" s="2" t="str">
        <x:v>呂布</x:v>
      </x:c>
    </x:row>
    <x:row r="202" ht="23" customHeight="1">
      <x:c r="A202" s="12" t="n">
        <x:v>194</x:v>
      </x:c>
      <x:c r="B202" s="2" t="str">
        <x:v>魏邈</x:v>
      </x:c>
      <x:c r="C202" s="2" t="str">
        <x:v>建業(-)</x:v>
      </x:c>
      <x:c r="D202" s="2" t="str">
        <x:v>建業(-)</x:v>
      </x:c>
      <x:c r="E202" s="2" t="str">
        <x:v>建業(-)</x:v>
      </x:c>
      <x:c r="F202" s="2" t="str">
        <x:v>建業(-)</x:v>
      </x:c>
      <x:c r="G202" s="2" t="str">
        <x:v>建業(-)</x:v>
      </x:c>
      <x:c r="H202" s="2" t="str">
        <x:v>建業(-)</x:v>
      </x:c>
      <x:c r="I202" s="2" t="str">
        <x:v>建業(-)</x:v>
      </x:c>
      <x:c r="J202" s="2" t="str">
        <x:v>建業(-)</x:v>
      </x:c>
      <x:c r="K202" s="2" t="str">
        <x:v>建業(未)</x:v>
      </x:c>
      <x:c r="L202" s="2" t="str">
        <x:v>建業(未)</x:v>
      </x:c>
    </x:row>
    <x:row r="203" ht="23" customHeight="1">
      <x:c r="A203" s="12" t="n">
        <x:v>195</x:v>
      </x:c>
      <x:c r="B203" s="2" t="str">
        <x:v>魏讽</x:v>
      </x:c>
      <x:c r="C203" s="2" t="str">
        <x:v>小沛(-)</x:v>
      </x:c>
      <x:c r="D203" s="2" t="str">
        <x:v>小沛(-)</x:v>
      </x:c>
      <x:c r="E203" s="2" t="str">
        <x:v>小沛(-)</x:v>
      </x:c>
      <x:c r="F203" s="2" t="str">
        <x:v>小沛(-)</x:v>
      </x:c>
      <x:c r="G203" s="2" t="str">
        <x:v>小沛(未)</x:v>
      </x:c>
      <x:c r="H203" s="2" t="str">
        <x:v>曹操</x:v>
      </x:c>
      <x:c r="I203" s="2" t="str">
        <x:v>x</x:v>
      </x:c>
      <x:c r="J203" s="2" t="str">
        <x:v>x</x:v>
      </x:c>
      <x:c r="K203" s="2" t="str">
        <x:v>x</x:v>
      </x:c>
      <x:c r="L203" s="2" t="str">
        <x:v>小沛(未)</x:v>
      </x:c>
    </x:row>
    <x:row r="204" ht="23" customHeight="1">
      <x:c r="A204" s="12" t="n">
        <x:v>196</x:v>
      </x:c>
      <x:c r="B204" s="2" t="str">
        <x:v>魏攸</x:v>
      </x:c>
      <x:c r="C204" s="2" t="str">
        <x:v>北平(未)</x:v>
      </x:c>
      <x:c r="D204" s="2" t="str">
        <x:v>劉虞</x:v>
      </x:c>
      <x:c r="E204" s="2" t="str">
        <x:v>x</x:v>
      </x:c>
      <x:c r="F204" s="2" t="str">
        <x:v>x</x:v>
      </x:c>
      <x:c r="G204" s="2" t="str">
        <x:v>x</x:v>
      </x:c>
      <x:c r="H204" s="2" t="str">
        <x:v>x</x:v>
      </x:c>
      <x:c r="I204" s="2" t="str">
        <x:v>x</x:v>
      </x:c>
      <x:c r="J204" s="2" t="str">
        <x:v>x</x:v>
      </x:c>
      <x:c r="K204" s="2" t="str">
        <x:v>x</x:v>
      </x:c>
      <x:c r="L204" s="2" t="str">
        <x:v>劉虞</x:v>
      </x:c>
    </x:row>
    <x:row r="205" ht="23" customHeight="1">
      <x:c r="A205" s="12" t="n">
        <x:v>197</x:v>
      </x:c>
      <x:c r="B205" s="2" t="str">
        <x:v>牛金</x:v>
      </x:c>
      <x:c r="C205" s="2" t="str">
        <x:v>宛(-)</x:v>
      </x:c>
      <x:c r="D205" s="2" t="str">
        <x:v>宛(-)</x:v>
      </x:c>
      <x:c r="E205" s="2" t="str">
        <x:v>宛(-)</x:v>
      </x:c>
      <x:c r="F205" s="2" t="str">
        <x:v>宛(-)</x:v>
      </x:c>
      <x:c r="G205" s="2" t="str">
        <x:v>曹操</x:v>
      </x:c>
      <x:c r="H205" s="2" t="str">
        <x:v>曹操</x:v>
      </x:c>
      <x:c r="I205" s="2" t="str">
        <x:v>曹丕</x:v>
      </x:c>
      <x:c r="J205" s="2" t="str">
        <x:v>曹叡</x:v>
      </x:c>
      <x:c r="K205" s="2" t="str">
        <x:v>x</x:v>
      </x:c>
      <x:c r="L205" s="2" t="str">
        <x:v>宛(未)</x:v>
      </x:c>
    </x:row>
    <x:row r="206" ht="23" customHeight="1">
      <x:c r="A206" s="12" t="n">
        <x:v>198</x:v>
      </x:c>
      <x:c r="B206" s="2" t="str">
        <x:v>丘建</x:v>
      </x:c>
      <x:c r="C206" s="2" t="str">
        <x:v>濮陽(-)</x:v>
      </x:c>
      <x:c r="D206" s="2" t="str">
        <x:v>濮陽(-)</x:v>
      </x:c>
      <x:c r="E206" s="2" t="str">
        <x:v>濮陽(-)</x:v>
      </x:c>
      <x:c r="F206" s="2" t="str">
        <x:v>濮陽(-)</x:v>
      </x:c>
      <x:c r="G206" s="2" t="str">
        <x:v>濮陽(-)</x:v>
      </x:c>
      <x:c r="H206" s="2" t="str">
        <x:v>濮陽(-)</x:v>
      </x:c>
      <x:c r="I206" s="2" t="str">
        <x:v>濮陽(-)</x:v>
      </x:c>
      <x:c r="J206" s="2" t="str">
        <x:v>濮陽(-)</x:v>
      </x:c>
      <x:c r="K206" s="2" t="str">
        <x:v>濮陽(-)</x:v>
      </x:c>
      <x:c r="L206" s="2" t="str">
        <x:v>鍾會</x:v>
      </x:c>
    </x:row>
    <x:row r="207" ht="23" customHeight="1">
      <x:c r="A207" s="12" t="n">
        <x:v>199</x:v>
      </x:c>
      <x:c r="B207" s="2" t="str">
        <x:v>牛辅</x:v>
      </x:c>
      <x:c r="C207" s="2" t="str">
        <x:v>董卓</x:v>
      </x:c>
      <x:c r="D207" s="2" t="str">
        <x:v>董卓</x:v>
      </x:c>
      <x:c r="E207" s="2" t="str">
        <x:v>x</x:v>
      </x:c>
      <x:c r="F207" s="2" t="str">
        <x:v>x</x:v>
      </x:c>
      <x:c r="G207" s="2" t="str">
        <x:v>x</x:v>
      </x:c>
      <x:c r="H207" s="2" t="str">
        <x:v>x</x:v>
      </x:c>
      <x:c r="I207" s="2" t="str">
        <x:v>x</x:v>
      </x:c>
      <x:c r="J207" s="2" t="str">
        <x:v>x</x:v>
      </x:c>
      <x:c r="K207" s="2" t="str">
        <x:v>x</x:v>
      </x:c>
      <x:c r="L207" s="2" t="str">
        <x:v>董卓</x:v>
      </x:c>
    </x:row>
    <x:row r="208" ht="23" customHeight="1">
      <x:c r="A208" s="12" t="n">
        <x:v>200</x:v>
      </x:c>
      <x:c r="B208" s="2" t="str">
        <x:v>丘本</x:v>
      </x:c>
      <x:c r="C208" s="2" t="str">
        <x:v>安定(-)</x:v>
      </x:c>
      <x:c r="D208" s="2" t="str">
        <x:v>安定(-)</x:v>
      </x:c>
      <x:c r="E208" s="2" t="str">
        <x:v>安定(-)</x:v>
      </x:c>
      <x:c r="F208" s="2" t="str">
        <x:v>安定(-)</x:v>
      </x:c>
      <x:c r="G208" s="2" t="str">
        <x:v>安定(-)</x:v>
      </x:c>
      <x:c r="H208" s="2" t="str">
        <x:v>安定(-)</x:v>
      </x:c>
      <x:c r="I208" s="2" t="str">
        <x:v>安定(-)</x:v>
      </x:c>
      <x:c r="J208" s="2" t="str">
        <x:v>安定(-)</x:v>
      </x:c>
      <x:c r="K208" s="2" t="str">
        <x:v>安定(-)</x:v>
      </x:c>
      <x:c r="L208" s="2" t="str">
        <x:v>鄧艾</x:v>
      </x:c>
    </x:row>
    <x:row r="209" ht="23" customHeight="1">
      <x:c r="A209" s="12" t="n">
        <x:v>201</x:v>
      </x:c>
      <x:c r="B209" s="2" t="str">
        <x:v>丘力居</x:v>
      </x:c>
      <x:c r="C209" s="2" t="str">
        <x:v>北平(野)</x:v>
      </x:c>
      <x:c r="D209" s="2" t="str">
        <x:v>北平(野)</x:v>
      </x:c>
      <x:c r="E209" s="2" t="str">
        <x:v>x</x:v>
      </x:c>
      <x:c r="F209" s="2" t="str">
        <x:v>x</x:v>
      </x:c>
      <x:c r="G209" s="2" t="str">
        <x:v>x</x:v>
      </x:c>
      <x:c r="H209" s="2" t="str">
        <x:v>x</x:v>
      </x:c>
      <x:c r="I209" s="2" t="str">
        <x:v>x</x:v>
      </x:c>
      <x:c r="J209" s="2" t="str">
        <x:v>x</x:v>
      </x:c>
      <x:c r="K209" s="2" t="str">
        <x:v>x</x:v>
      </x:c>
      <x:c r="L209" s="2" t="str">
        <x:v>劉虞</x:v>
      </x:c>
    </x:row>
    <x:row r="210" ht="23" customHeight="1">
      <x:c r="A210" s="12" t="n">
        <x:v>202</x:v>
      </x:c>
      <x:c r="B210" s="2" t="str">
        <x:v>季雍</x:v>
      </x:c>
      <x:c r="C210" s="2" t="str">
        <x:v>南皮(未)</x:v>
      </x:c>
      <x:c r="D210" s="2" t="str">
        <x:v>袁紹</x:v>
      </x:c>
      <x:c r="E210" s="2" t="str">
        <x:v>x</x:v>
      </x:c>
      <x:c r="F210" s="2" t="str">
        <x:v>x</x:v>
      </x:c>
      <x:c r="G210" s="2" t="str">
        <x:v>x</x:v>
      </x:c>
      <x:c r="H210" s="2" t="str">
        <x:v>x</x:v>
      </x:c>
      <x:c r="I210" s="2" t="str">
        <x:v>x</x:v>
      </x:c>
      <x:c r="J210" s="2" t="str">
        <x:v>x</x:v>
      </x:c>
      <x:c r="K210" s="2" t="str">
        <x:v>x</x:v>
      </x:c>
      <x:c r="L210" s="2" t="str">
        <x:v>公孫瓚</x:v>
      </x:c>
    </x:row>
    <x:row r="211" ht="23" customHeight="1">
      <x:c r="A211" s="12" t="n">
        <x:v>203</x:v>
      </x:c>
      <x:c r="B211" s="2" t="str">
        <x:v>姜维</x:v>
      </x:c>
      <x:c r="C211" s="2" t="str">
        <x:v>天水(-)</x:v>
      </x:c>
      <x:c r="D211" s="2" t="str">
        <x:v>天水(-)</x:v>
      </x:c>
      <x:c r="E211" s="2" t="str">
        <x:v>天水(-)</x:v>
      </x:c>
      <x:c r="F211" s="2" t="str">
        <x:v>天水(-)</x:v>
      </x:c>
      <x:c r="G211" s="2" t="str">
        <x:v>天水(-)</x:v>
      </x:c>
      <x:c r="H211" s="2" t="str">
        <x:v>天水(-)</x:v>
      </x:c>
      <x:c r="I211" s="2" t="str">
        <x:v>天水(-)</x:v>
      </x:c>
      <x:c r="J211" s="2" t="str">
        <x:v>曹叡</x:v>
      </x:c>
      <x:c r="K211" s="2" t="str">
        <x:v>劉禪</x:v>
      </x:c>
      <x:c r="L211" s="2" t="str">
        <x:v>劉備</x:v>
      </x:c>
    </x:row>
    <x:row r="212" ht="23" customHeight="1">
      <x:c r="A212" s="12" t="n">
        <x:v>204</x:v>
      </x:c>
      <x:c r="B212" s="2" t="str">
        <x:v>巩志</x:v>
      </x:c>
      <x:c r="C212" s="2" t="str">
        <x:v>武陵(-)</x:v>
      </x:c>
      <x:c r="D212" s="2" t="str">
        <x:v>武陵(-)</x:v>
      </x:c>
      <x:c r="E212" s="2" t="str">
        <x:v>武陵(-)</x:v>
      </x:c>
      <x:c r="F212" s="2" t="str">
        <x:v>武陵(未)</x:v>
      </x:c>
      <x:c r="G212" s="2" t="str">
        <x:v>金旋</x:v>
      </x:c>
      <x:c r="H212" s="2" t="str">
        <x:v>劉備</x:v>
      </x:c>
      <x:c r="I212" s="2" t="str">
        <x:v>劉備</x:v>
      </x:c>
      <x:c r="J212" s="2" t="str">
        <x:v>劉禪</x:v>
      </x:c>
      <x:c r="K212" s="2" t="str">
        <x:v>x</x:v>
      </x:c>
      <x:c r="L212" s="2" t="str">
        <x:v>金旋</x:v>
      </x:c>
    </x:row>
    <x:row r="213" ht="23" customHeight="1">
      <x:c r="A213" s="12" t="n">
        <x:v>205</x:v>
      </x:c>
      <x:c r="B213" s="2" t="str">
        <x:v>姜叙</x:v>
      </x:c>
      <x:c r="C213" s="2" t="str">
        <x:v>天水(-)</x:v>
      </x:c>
      <x:c r="D213" s="2" t="str">
        <x:v>天水(-)</x:v>
      </x:c>
      <x:c r="E213" s="2" t="str">
        <x:v>天水(-)</x:v>
      </x:c>
      <x:c r="F213" s="2" t="str">
        <x:v>天水(未)</x:v>
      </x:c>
      <x:c r="G213" s="2" t="str">
        <x:v>天水(未)</x:v>
      </x:c>
      <x:c r="H213" s="2" t="str">
        <x:v>天水(野)</x:v>
      </x:c>
      <x:c r="I213" s="2" t="str">
        <x:v>天水(野)</x:v>
      </x:c>
      <x:c r="J213" s="2" t="str">
        <x:v>天水(野)</x:v>
      </x:c>
      <x:c r="K213" s="2" t="str">
        <x:v>x</x:v>
      </x:c>
      <x:c r="L213" s="2" t="str">
        <x:v>天水(未)</x:v>
      </x:c>
    </x:row>
    <x:row r="214" ht="23" customHeight="1">
      <x:c r="A214" s="12" t="n">
        <x:v>206</x:v>
      </x:c>
      <x:c r="B214" s="2" t="str">
        <x:v>桥蕤</x:v>
      </x:c>
      <x:c r="C214" s="2" t="str">
        <x:v>宛(未)</x:v>
      </x:c>
      <x:c r="D214" s="2" t="str">
        <x:v>袁術</x:v>
      </x:c>
      <x:c r="E214" s="2" t="str">
        <x:v>袁術</x:v>
      </x:c>
      <x:c r="F214" s="2" t="str">
        <x:v>x</x:v>
      </x:c>
      <x:c r="G214" s="2" t="str">
        <x:v>x</x:v>
      </x:c>
      <x:c r="H214" s="2" t="str">
        <x:v>x</x:v>
      </x:c>
      <x:c r="I214" s="2" t="str">
        <x:v>x</x:v>
      </x:c>
      <x:c r="J214" s="2" t="str">
        <x:v>x</x:v>
      </x:c>
      <x:c r="K214" s="2" t="str">
        <x:v>x</x:v>
      </x:c>
      <x:c r="L214" s="2" t="str">
        <x:v>袁術</x:v>
      </x:c>
    </x:row>
    <x:row r="215" ht="23" customHeight="1">
      <x:c r="A215" s="12" t="n">
        <x:v>207</x:v>
      </x:c>
      <x:c r="B215" s="2" t="str">
        <x:v>强端</x:v>
      </x:c>
      <x:c r="C215" s="2" t="str">
        <x:v>漢中(未)</x:v>
      </x:c>
      <x:c r="D215" s="2" t="str">
        <x:v>漢中(未)</x:v>
      </x:c>
      <x:c r="E215" s="2" t="str">
        <x:v>漢中(未)</x:v>
      </x:c>
      <x:c r="F215" s="2" t="str">
        <x:v>漢中(未)</x:v>
      </x:c>
      <x:c r="G215" s="2" t="str">
        <x:v>漢中(未)</x:v>
      </x:c>
      <x:c r="H215" s="2" t="str">
        <x:v>漢中(野)</x:v>
      </x:c>
      <x:c r="I215" s="2" t="str">
        <x:v>漢中(野)</x:v>
      </x:c>
      <x:c r="J215" s="2" t="str">
        <x:v>漢中(野)</x:v>
      </x:c>
      <x:c r="K215" s="2" t="str">
        <x:v>x</x:v>
      </x:c>
      <x:c r="L215" s="2" t="str">
        <x:v>漢中(未)</x:v>
      </x:c>
    </x:row>
    <x:row r="216" ht="23" customHeight="1">
      <x:c r="A216" s="12" t="n">
        <x:v>208</x:v>
      </x:c>
      <x:c r="B216" s="2" t="str">
        <x:v>龚都</x:v>
      </x:c>
      <x:c r="C216" s="2" t="str">
        <x:v>張角</x:v>
      </x:c>
      <x:c r="D216" s="2" t="str">
        <x:v>汝南(野)</x:v>
      </x:c>
      <x:c r="E216" s="2" t="str">
        <x:v>汝南(野)</x:v>
      </x:c>
      <x:c r="F216" s="2" t="str">
        <x:v>汝南(野)</x:v>
      </x:c>
      <x:c r="G216" s="2" t="str">
        <x:v>x</x:v>
      </x:c>
      <x:c r="H216" s="2" t="str">
        <x:v>x</x:v>
      </x:c>
      <x:c r="I216" s="2" t="str">
        <x:v>x</x:v>
      </x:c>
      <x:c r="J216" s="2" t="str">
        <x:v>x</x:v>
      </x:c>
      <x:c r="K216" s="2" t="str">
        <x:v>x</x:v>
      </x:c>
      <x:c r="L216" s="2" t="str">
        <x:v>張角</x:v>
      </x:c>
    </x:row>
    <x:row r="217" ht="23" customHeight="1">
      <x:c r="A217" s="12" t="n">
        <x:v>209</x:v>
      </x:c>
      <x:c r="B217" s="2" t="str">
        <x:v>桥瑁</x:v>
      </x:c>
      <x:c r="C217" s="2" t="str">
        <x:v>何進</x:v>
      </x:c>
      <x:c r="D217" s="2" t="str">
        <x:v>劉岱</x:v>
      </x:c>
      <x:c r="E217" s="2" t="str">
        <x:v>x</x:v>
      </x:c>
      <x:c r="F217" s="2" t="str">
        <x:v>x</x:v>
      </x:c>
      <x:c r="G217" s="2" t="str">
        <x:v>x</x:v>
      </x:c>
      <x:c r="H217" s="2" t="str">
        <x:v>x</x:v>
      </x:c>
      <x:c r="I217" s="2" t="str">
        <x:v>x</x:v>
      </x:c>
      <x:c r="J217" s="2" t="str">
        <x:v>x</x:v>
      </x:c>
      <x:c r="K217" s="2" t="str">
        <x:v>x</x:v>
      </x:c>
      <x:c r="L217" s="2" t="str">
        <x:v>劉岱</x:v>
      </x:c>
    </x:row>
    <x:row r="218" ht="23" customHeight="1">
      <x:c r="A218" s="12" t="n">
        <x:v>210</x:v>
      </x:c>
      <x:c r="B218" s="2" t="str">
        <x:v>许仪</x:v>
      </x:c>
      <x:c r="C218" s="2" t="str">
        <x:v>許昌(-)</x:v>
      </x:c>
      <x:c r="D218" s="2" t="str">
        <x:v>許昌(-)</x:v>
      </x:c>
      <x:c r="E218" s="2" t="str">
        <x:v>許昌(-)</x:v>
      </x:c>
      <x:c r="F218" s="2" t="str">
        <x:v>許昌(-)</x:v>
      </x:c>
      <x:c r="G218" s="2" t="str">
        <x:v>許昌(-)</x:v>
      </x:c>
      <x:c r="H218" s="2" t="str">
        <x:v>許昌(-)</x:v>
      </x:c>
      <x:c r="I218" s="2" t="str">
        <x:v>許昌(-)</x:v>
      </x:c>
      <x:c r="J218" s="2" t="str">
        <x:v>曹叡</x:v>
      </x:c>
      <x:c r="K218" s="2" t="str">
        <x:v>曹芳</x:v>
      </x:c>
      <x:c r="L218" s="2" t="str">
        <x:v>鍾會</x:v>
      </x:c>
    </x:row>
    <x:row r="219" ht="23" customHeight="1">
      <x:c r="A219" s="12" t="n">
        <x:v>211</x:v>
      </x:c>
      <x:c r="B219" s="2" t="str">
        <x:v>许贡</x:v>
      </x:c>
      <x:c r="C219" s="2" t="str">
        <x:v>吳(未)</x:v>
      </x:c>
      <x:c r="D219" s="2" t="str">
        <x:v>吳(未)</x:v>
      </x:c>
      <x:c r="E219" s="2" t="str">
        <x:v>王朗</x:v>
      </x:c>
      <x:c r="F219" s="2" t="str">
        <x:v>孫策</x:v>
      </x:c>
      <x:c r="G219" s="2" t="str">
        <x:v>x</x:v>
      </x:c>
      <x:c r="H219" s="2" t="str">
        <x:v>x</x:v>
      </x:c>
      <x:c r="I219" s="2" t="str">
        <x:v>x</x:v>
      </x:c>
      <x:c r="J219" s="2" t="str">
        <x:v>x</x:v>
      </x:c>
      <x:c r="K219" s="2" t="str">
        <x:v>x</x:v>
      </x:c>
      <x:c r="L219" s="2" t="str">
        <x:v>王朗</x:v>
      </x:c>
    </x:row>
    <x:row r="220" ht="23" customHeight="1">
      <x:c r="A220" s="12" t="n">
        <x:v>212</x:v>
      </x:c>
      <x:c r="B220" s="2" t="str">
        <x:v>许汜</x:v>
      </x:c>
      <x:c r="C220" s="2" t="str">
        <x:v>許昌(-)</x:v>
      </x:c>
      <x:c r="D220" s="2" t="str">
        <x:v>許昌(未)</x:v>
      </x:c>
      <x:c r="E220" s="2" t="str">
        <x:v>呂布</x:v>
      </x:c>
      <x:c r="F220" s="2" t="str">
        <x:v>劉表</x:v>
      </x:c>
      <x:c r="G220" s="2" t="str">
        <x:v>x</x:v>
      </x:c>
      <x:c r="H220" s="2" t="str">
        <x:v>x</x:v>
      </x:c>
      <x:c r="I220" s="2" t="str">
        <x:v>x</x:v>
      </x:c>
      <x:c r="J220" s="2" t="str">
        <x:v>x</x:v>
      </x:c>
      <x:c r="K220" s="2" t="str">
        <x:v>x</x:v>
      </x:c>
      <x:c r="L220" s="2" t="str">
        <x:v>許昌(未)</x:v>
      </x:c>
    </x:row>
    <x:row r="221" ht="23" customHeight="1">
      <x:c r="A221" s="12" t="n">
        <x:v>213</x:v>
      </x:c>
      <x:c r="B221" s="2" t="str">
        <x:v>许慈</x:v>
      </x:c>
      <x:c r="C221" s="2" t="str">
        <x:v>新野(未)</x:v>
      </x:c>
      <x:c r="D221" s="2" t="str">
        <x:v>新野(未)</x:v>
      </x:c>
      <x:c r="E221" s="2" t="str">
        <x:v>會稽(未)</x:v>
      </x:c>
      <x:c r="F221" s="2" t="str">
        <x:v>交趾(未)</x:v>
      </x:c>
      <x:c r="G221" s="2" t="str">
        <x:v>成都(野)</x:v>
      </x:c>
      <x:c r="H221" s="2" t="str">
        <x:v>劉備</x:v>
      </x:c>
      <x:c r="I221" s="2" t="str">
        <x:v>劉備</x:v>
      </x:c>
      <x:c r="J221" s="2" t="str">
        <x:v>x</x:v>
      </x:c>
      <x:c r="K221" s="2" t="str">
        <x:v>x</x:v>
      </x:c>
      <x:c r="L221" s="2" t="str">
        <x:v>新野(未)</x:v>
      </x:c>
    </x:row>
    <x:row r="222" ht="23" customHeight="1">
      <x:c r="A222" s="12" t="n">
        <x:v>214</x:v>
      </x:c>
      <x:c r="B222" s="2" t="str">
        <x:v>许靖</x:v>
      </x:c>
      <x:c r="C222" s="2" t="str">
        <x:v>汝南(未)</x:v>
      </x:c>
      <x:c r="D222" s="2" t="str">
        <x:v>孔伷</x:v>
      </x:c>
      <x:c r="E222" s="2" t="str">
        <x:v>王朗</x:v>
      </x:c>
      <x:c r="F222" s="2" t="str">
        <x:v>交趾(野)</x:v>
      </x:c>
      <x:c r="G222" s="2" t="str">
        <x:v>劉璋</x:v>
      </x:c>
      <x:c r="H222" s="2" t="str">
        <x:v>劉備</x:v>
      </x:c>
      <x:c r="I222" s="2" t="str">
        <x:v>劉備</x:v>
      </x:c>
      <x:c r="J222" s="2" t="str">
        <x:v>x</x:v>
      </x:c>
      <x:c r="K222" s="2" t="str">
        <x:v>x</x:v>
      </x:c>
      <x:c r="L222" s="2" t="str">
        <x:v>孔伷</x:v>
      </x:c>
    </x:row>
    <x:row r="223" ht="23" customHeight="1">
      <x:c r="A223" s="12" t="n">
        <x:v>215</x:v>
      </x:c>
      <x:c r="B223" s="2" t="str">
        <x:v>许褚</x:v>
      </x:c>
      <x:c r="C223" s="2" t="str">
        <x:v>許昌(-)</x:v>
      </x:c>
      <x:c r="D223" s="2" t="str">
        <x:v>許昌(未)</x:v>
      </x:c>
      <x:c r="E223" s="2" t="str">
        <x:v>許昌(未)</x:v>
      </x:c>
      <x:c r="F223" s="2" t="str">
        <x:v>曹操</x:v>
      </x:c>
      <x:c r="G223" s="2" t="str">
        <x:v>曹操</x:v>
      </x:c>
      <x:c r="H223" s="2" t="str">
        <x:v>曹操</x:v>
      </x:c>
      <x:c r="I223" s="2" t="str">
        <x:v>曹丕</x:v>
      </x:c>
      <x:c r="J223" s="2" t="str">
        <x:v>x</x:v>
      </x:c>
      <x:c r="K223" s="2" t="str">
        <x:v>x</x:v>
      </x:c>
      <x:c r="L223" s="2" t="str">
        <x:v>曹操</x:v>
      </x:c>
    </x:row>
    <x:row r="224" ht="23" customHeight="1">
      <x:c r="A224" s="12" t="n">
        <x:v>216</x:v>
      </x:c>
      <x:c r="B224" s="2" t="str">
        <x:v>许定</x:v>
      </x:c>
      <x:c r="C224" s="2" t="str">
        <x:v>許昌(-)</x:v>
      </x:c>
      <x:c r="D224" s="2" t="str">
        <x:v>許昌(未)</x:v>
      </x:c>
      <x:c r="E224" s="2" t="str">
        <x:v>許昌(未)</x:v>
      </x:c>
      <x:c r="F224" s="2" t="str">
        <x:v>曹操</x:v>
      </x:c>
      <x:c r="G224" s="2" t="str">
        <x:v>曹操</x:v>
      </x:c>
      <x:c r="H224" s="2" t="str">
        <x:v>曹操</x:v>
      </x:c>
      <x:c r="I224" s="2" t="str">
        <x:v>曹丕</x:v>
      </x:c>
      <x:c r="J224" s="2" t="str">
        <x:v>x</x:v>
      </x:c>
      <x:c r="K224" s="2" t="str">
        <x:v>x</x:v>
      </x:c>
      <x:c r="L224" s="2" t="str">
        <x:v>許昌(未)</x:v>
      </x:c>
    </x:row>
    <x:row r="225" ht="23" customHeight="1">
      <x:c r="A225" s="12" t="n">
        <x:v>217</x:v>
      </x:c>
      <x:c r="B225" s="2" t="str">
        <x:v>许攸</x:v>
      </x:c>
      <x:c r="C225" s="2" t="str">
        <x:v>宛(未)</x:v>
      </x:c>
      <x:c r="D225" s="2" t="str">
        <x:v>袁紹</x:v>
      </x:c>
      <x:c r="E225" s="2" t="str">
        <x:v>袁紹</x:v>
      </x:c>
      <x:c r="F225" s="2" t="str">
        <x:v>袁紹</x:v>
      </x:c>
      <x:c r="G225" s="2" t="str">
        <x:v>x</x:v>
      </x:c>
      <x:c r="H225" s="2" t="str">
        <x:v>x</x:v>
      </x:c>
      <x:c r="I225" s="2" t="str">
        <x:v>x</x:v>
      </x:c>
      <x:c r="J225" s="2" t="str">
        <x:v>x</x:v>
      </x:c>
      <x:c r="K225" s="2" t="str">
        <x:v>x</x:v>
      </x:c>
      <x:c r="L225" s="2" t="str">
        <x:v>袁紹</x:v>
      </x:c>
    </x:row>
    <x:row r="226" ht="23" customHeight="1">
      <x:c r="A226" s="12" t="n">
        <x:v>218</x:v>
      </x:c>
      <x:c r="B226" s="2" t="str">
        <x:v>妫览</x:v>
      </x:c>
      <x:c r="C226" s="2" t="str">
        <x:v>建業(-)</x:v>
      </x:c>
      <x:c r="D226" s="2" t="str">
        <x:v>建業(-)</x:v>
      </x:c>
      <x:c r="E226" s="2" t="str">
        <x:v>建業(未)</x:v>
      </x:c>
      <x:c r="F226" s="2" t="str">
        <x:v>建業(野)</x:v>
      </x:c>
      <x:c r="G226" s="2" t="str">
        <x:v>x</x:v>
      </x:c>
      <x:c r="H226" s="2" t="str">
        <x:v>x</x:v>
      </x:c>
      <x:c r="I226" s="2" t="str">
        <x:v>x</x:v>
      </x:c>
      <x:c r="J226" s="2" t="str">
        <x:v>x</x:v>
      </x:c>
      <x:c r="K226" s="2" t="str">
        <x:v>x</x:v>
      </x:c>
      <x:c r="L226" s="2" t="str">
        <x:v>建業(未)</x:v>
      </x:c>
    </x:row>
    <x:row r="227" ht="23" customHeight="1">
      <x:c r="A227" s="12" t="n">
        <x:v>219</x:v>
      </x:c>
      <x:c r="B227" s="2" t="str">
        <x:v>纪灵</x:v>
      </x:c>
      <x:c r="C227" s="2" t="str">
        <x:v>宛(未)</x:v>
      </x:c>
      <x:c r="D227" s="2" t="str">
        <x:v>袁術</x:v>
      </x:c>
      <x:c r="E227" s="2" t="str">
        <x:v>袁術</x:v>
      </x:c>
      <x:c r="F227" s="2" t="str">
        <x:v>x</x:v>
      </x:c>
      <x:c r="G227" s="2" t="str">
        <x:v>x</x:v>
      </x:c>
      <x:c r="H227" s="2" t="str">
        <x:v>x</x:v>
      </x:c>
      <x:c r="I227" s="2" t="str">
        <x:v>x</x:v>
      </x:c>
      <x:c r="J227" s="2" t="str">
        <x:v>x</x:v>
      </x:c>
      <x:c r="K227" s="2" t="str">
        <x:v>x</x:v>
      </x:c>
      <x:c r="L227" s="2" t="str">
        <x:v>袁術</x:v>
      </x:c>
    </x:row>
    <x:row r="228" ht="23" customHeight="1">
      <x:c r="A228" s="12" t="n">
        <x:v>220</x:v>
      </x:c>
      <x:c r="B228" s="2" t="str">
        <x:v>金祎</x:v>
      </x:c>
      <x:c r="C228" s="2" t="str">
        <x:v>長安(-)</x:v>
      </x:c>
      <x:c r="D228" s="2" t="str">
        <x:v>長安(-)</x:v>
      </x:c>
      <x:c r="E228" s="2" t="str">
        <x:v>長安(-)</x:v>
      </x:c>
      <x:c r="F228" s="2" t="str">
        <x:v>劉表</x:v>
      </x:c>
      <x:c r="G228" s="2" t="str">
        <x:v>金旋</x:v>
      </x:c>
      <x:c r="H228" s="2" t="str">
        <x:v>曹操</x:v>
      </x:c>
      <x:c r="I228" s="2" t="str">
        <x:v>x</x:v>
      </x:c>
      <x:c r="J228" s="2" t="str">
        <x:v>x</x:v>
      </x:c>
      <x:c r="K228" s="2" t="str">
        <x:v>x</x:v>
      </x:c>
      <x:c r="L228" s="2" t="str">
        <x:v>金旋</x:v>
      </x:c>
    </x:row>
    <x:row r="229" ht="23" customHeight="1">
      <x:c r="A229" s="12" t="n">
        <x:v>221</x:v>
      </x:c>
      <x:c r="B229" s="2" t="str">
        <x:v>金环三结</x:v>
      </x:c>
      <x:c r="C229" s="2" t="str">
        <x:v>雲南(-)</x:v>
      </x:c>
      <x:c r="D229" s="2" t="str">
        <x:v>雲南(-)</x:v>
      </x:c>
      <x:c r="E229" s="2" t="str">
        <x:v>雲南(-)</x:v>
      </x:c>
      <x:c r="F229" s="2" t="str">
        <x:v>雲南(-)</x:v>
      </x:c>
      <x:c r="G229" s="2" t="str">
        <x:v>雲南(-)</x:v>
      </x:c>
      <x:c r="H229" s="2" t="str">
        <x:v>雲南(未)</x:v>
      </x:c>
      <x:c r="I229" s="2" t="str">
        <x:v>孟獲</x:v>
      </x:c>
      <x:c r="J229" s="2" t="str">
        <x:v>x</x:v>
      </x:c>
      <x:c r="K229" s="2" t="str">
        <x:v>x</x:v>
      </x:c>
      <x:c r="L229" s="2" t="str">
        <x:v>孟獲</x:v>
      </x:c>
    </x:row>
    <x:row r="230" ht="23" customHeight="1">
      <x:c r="A230" s="12" t="n">
        <x:v>222</x:v>
      </x:c>
      <x:c r="B230" s="2" t="str">
        <x:v>金尚</x:v>
      </x:c>
      <x:c r="C230" s="2" t="str">
        <x:v>長安(未)</x:v>
      </x:c>
      <x:c r="D230" s="2" t="str">
        <x:v>長安(未)</x:v>
      </x:c>
      <x:c r="E230" s="2" t="str">
        <x:v>袁術</x:v>
      </x:c>
      <x:c r="F230" s="2" t="str">
        <x:v>x</x:v>
      </x:c>
      <x:c r="G230" s="2" t="str">
        <x:v>x</x:v>
      </x:c>
      <x:c r="H230" s="2" t="str">
        <x:v>x</x:v>
      </x:c>
      <x:c r="I230" s="2" t="str">
        <x:v>x</x:v>
      </x:c>
      <x:c r="J230" s="2" t="str">
        <x:v>x</x:v>
      </x:c>
      <x:c r="K230" s="2" t="str">
        <x:v>x</x:v>
      </x:c>
      <x:c r="L230" s="2" t="str">
        <x:v>袁術</x:v>
      </x:c>
    </x:row>
    <x:row r="231" ht="23" customHeight="1">
      <x:c r="A231" s="12" t="n">
        <x:v>223</x:v>
      </x:c>
      <x:c r="B231" s="2" t="str">
        <x:v>金旋</x:v>
      </x:c>
      <x:c r="C231" s="2" t="str">
        <x:v>何進</x:v>
      </x:c>
      <x:c r="D231" s="2" t="str">
        <x:v>長安(未)</x:v>
      </x:c>
      <x:c r="E231" s="2" t="str">
        <x:v>長安(野)</x:v>
      </x:c>
      <x:c r="F231" s="2" t="str">
        <x:v>劉表</x:v>
      </x:c>
      <x:c r="G231" s="2" t="str">
        <x:v>金旋</x:v>
      </x:c>
      <x:c r="H231" s="2" t="str">
        <x:v>x</x:v>
      </x:c>
      <x:c r="I231" s="2" t="str">
        <x:v>x</x:v>
      </x:c>
      <x:c r="J231" s="2" t="str">
        <x:v>x</x:v>
      </x:c>
      <x:c r="K231" s="2" t="str">
        <x:v>x</x:v>
      </x:c>
      <x:c r="L231" s="2" t="str">
        <x:v>金旋</x:v>
      </x:c>
    </x:row>
    <x:row r="232" ht="23" customHeight="1">
      <x:c r="A232" s="12" t="n">
        <x:v>224</x:v>
      </x:c>
      <x:c r="B232" s="2" t="str">
        <x:v>虞汜</x:v>
      </x:c>
      <x:c r="C232" s="2" t="str">
        <x:v>會稽(-)</x:v>
      </x:c>
      <x:c r="D232" s="2" t="str">
        <x:v>會稽(-)</x:v>
      </x:c>
      <x:c r="E232" s="2" t="str">
        <x:v>會稽(-)</x:v>
      </x:c>
      <x:c r="F232" s="2" t="str">
        <x:v>會稽(-)</x:v>
      </x:c>
      <x:c r="G232" s="2" t="str">
        <x:v>會稽(-)</x:v>
      </x:c>
      <x:c r="H232" s="2" t="str">
        <x:v>會稽(-)</x:v>
      </x:c>
      <x:c r="I232" s="2" t="str">
        <x:v>會稽(-)</x:v>
      </x:c>
      <x:c r="J232" s="2" t="str">
        <x:v>南海(-)</x:v>
      </x:c>
      <x:c r="K232" s="2" t="str">
        <x:v>孫權</x:v>
      </x:c>
      <x:c r="L232" s="2" t="str">
        <x:v>王朗</x:v>
      </x:c>
    </x:row>
    <x:row r="233" ht="23" customHeight="1">
      <x:c r="A233" s="12" t="n">
        <x:v>225</x:v>
      </x:c>
      <x:c r="B233" s="2" t="str">
        <x:v>虞翻</x:v>
      </x:c>
      <x:c r="C233" s="2" t="str">
        <x:v>會稽(未)</x:v>
      </x:c>
      <x:c r="D233" s="2" t="str">
        <x:v>會稽(未)</x:v>
      </x:c>
      <x:c r="E233" s="2" t="str">
        <x:v>王朗</x:v>
      </x:c>
      <x:c r="F233" s="2" t="str">
        <x:v>孫策</x:v>
      </x:c>
      <x:c r="G233" s="2" t="str">
        <x:v>孫權</x:v>
      </x:c>
      <x:c r="H233" s="2" t="str">
        <x:v>孫權</x:v>
      </x:c>
      <x:c r="I233" s="2" t="str">
        <x:v>孫權</x:v>
      </x:c>
      <x:c r="J233" s="2" t="str">
        <x:v>孫權</x:v>
      </x:c>
      <x:c r="K233" s="2" t="str">
        <x:v>x</x:v>
      </x:c>
      <x:c r="L233" s="2" t="str">
        <x:v>王朗</x:v>
      </x:c>
    </x:row>
    <x:row r="234" ht="23" customHeight="1">
      <x:c r="A234" s="12" t="n">
        <x:v>226</x:v>
      </x:c>
      <x:c r="B234" s="2" t="str">
        <x:v>惠衢</x:v>
      </x:c>
      <x:c r="C234" s="2" t="str">
        <x:v>下邳(-)</x:v>
      </x:c>
      <x:c r="D234" s="2" t="str">
        <x:v>下邳(-)</x:v>
      </x:c>
      <x:c r="E234" s="2" t="str">
        <x:v>袁術</x:v>
      </x:c>
      <x:c r="F234" s="2" t="str">
        <x:v>x</x:v>
      </x:c>
      <x:c r="G234" s="2" t="str">
        <x:v>x</x:v>
      </x:c>
      <x:c r="H234" s="2" t="str">
        <x:v>x</x:v>
      </x:c>
      <x:c r="I234" s="2" t="str">
        <x:v>x</x:v>
      </x:c>
      <x:c r="J234" s="2" t="str">
        <x:v>x</x:v>
      </x:c>
      <x:c r="K234" s="2" t="str">
        <x:v>x</x:v>
      </x:c>
      <x:c r="L234" s="2" t="str">
        <x:v>袁術</x:v>
      </x:c>
    </x:row>
    <x:row r="235" ht="23" customHeight="1">
      <x:c r="A235" s="12" t="n">
        <x:v>227</x:v>
      </x:c>
      <x:c r="B235" s="2" t="str">
        <x:v>嵇康</x:v>
      </x:c>
      <x:c r="C235" s="2" t="str">
        <x:v>許昌(-)</x:v>
      </x:c>
      <x:c r="D235" s="2" t="str">
        <x:v>許昌(-)</x:v>
      </x:c>
      <x:c r="E235" s="2" t="str">
        <x:v>許昌(-)</x:v>
      </x:c>
      <x:c r="F235" s="2" t="str">
        <x:v>許昌(-)</x:v>
      </x:c>
      <x:c r="G235" s="2" t="str">
        <x:v>許昌(-)</x:v>
      </x:c>
      <x:c r="H235" s="2" t="str">
        <x:v>許昌(-)</x:v>
      </x:c>
      <x:c r="I235" s="2" t="str">
        <x:v>許昌(-)</x:v>
      </x:c>
      <x:c r="J235" s="2" t="str">
        <x:v>許昌(-)</x:v>
      </x:c>
      <x:c r="K235" s="2" t="str">
        <x:v>許昌(未)</x:v>
      </x:c>
      <x:c r="L235" s="2" t="str">
        <x:v>許昌(未)</x:v>
      </x:c>
    </x:row>
    <x:row r="236" ht="23" customHeight="1">
      <x:c r="A236" s="12" t="n">
        <x:v>228</x:v>
      </x:c>
      <x:c r="B236" s="2" t="str">
        <x:v>邢道荣</x:v>
      </x:c>
      <x:c r="C236" s="2" t="str">
        <x:v>零陵(-)</x:v>
      </x:c>
      <x:c r="D236" s="2" t="str">
        <x:v>零陵(-)</x:v>
      </x:c>
      <x:c r="E236" s="2" t="str">
        <x:v>零陵(未)</x:v>
      </x:c>
      <x:c r="F236" s="2" t="str">
        <x:v>零陵(未)</x:v>
      </x:c>
      <x:c r="G236" s="2" t="str">
        <x:v>劉度</x:v>
      </x:c>
      <x:c r="H236" s="2" t="str">
        <x:v>x</x:v>
      </x:c>
      <x:c r="I236" s="2" t="str">
        <x:v>x</x:v>
      </x:c>
      <x:c r="J236" s="2" t="str">
        <x:v>x</x:v>
      </x:c>
      <x:c r="K236" s="2" t="str">
        <x:v>x</x:v>
      </x:c>
      <x:c r="L236" s="2" t="str">
        <x:v>劉度</x:v>
      </x:c>
    </x:row>
    <x:row r="237" ht="23" customHeight="1">
      <x:c r="A237" s="12" t="n">
        <x:v>229</x:v>
      </x:c>
      <x:c r="B237" s="2" t="str">
        <x:v>奚泥</x:v>
      </x:c>
      <x:c r="C237" s="2" t="str">
        <x:v>雲南(-)</x:v>
      </x:c>
      <x:c r="D237" s="2" t="str">
        <x:v>雲南(-)</x:v>
      </x:c>
      <x:c r="E237" s="2" t="str">
        <x:v>雲南(-)</x:v>
      </x:c>
      <x:c r="F237" s="2" t="str">
        <x:v>雲南(-)</x:v>
      </x:c>
      <x:c r="G237" s="2" t="str">
        <x:v>雲南(-)</x:v>
      </x:c>
      <x:c r="H237" s="2" t="str">
        <x:v>雲南(未)</x:v>
      </x:c>
      <x:c r="I237" s="2" t="str">
        <x:v>雲南(未)</x:v>
      </x:c>
      <x:c r="J237" s="2" t="str">
        <x:v>x</x:v>
      </x:c>
      <x:c r="K237" s="2" t="str">
        <x:v>x</x:v>
      </x:c>
      <x:c r="L237" s="2" t="str">
        <x:v>孟獲</x:v>
      </x:c>
    </x:row>
    <x:row r="238" ht="23" customHeight="1">
      <x:c r="A238" s="12" t="n">
        <x:v>230</x:v>
      </x:c>
      <x:c r="B238" s="2" t="str">
        <x:v>郤正</x:v>
      </x:c>
      <x:c r="C238" s="2" t="str">
        <x:v>成都(-)</x:v>
      </x:c>
      <x:c r="D238" s="2" t="str">
        <x:v>成都(-)</x:v>
      </x:c>
      <x:c r="E238" s="2" t="str">
        <x:v>成都(-)</x:v>
      </x:c>
      <x:c r="F238" s="2" t="str">
        <x:v>成都(-)</x:v>
      </x:c>
      <x:c r="G238" s="2" t="str">
        <x:v>成都(-)</x:v>
      </x:c>
      <x:c r="H238" s="2" t="str">
        <x:v>成都(-)</x:v>
      </x:c>
      <x:c r="I238" s="2" t="str">
        <x:v>成都(-)</x:v>
      </x:c>
      <x:c r="J238" s="2" t="str">
        <x:v>成都(未)</x:v>
      </x:c>
      <x:c r="K238" s="2" t="str">
        <x:v>劉禪</x:v>
      </x:c>
      <x:c r="L238" s="2" t="str">
        <x:v>成都(未)</x:v>
      </x:c>
    </x:row>
    <x:row r="239" ht="23" customHeight="1">
      <x:c r="A239" s="12" t="n">
        <x:v>231</x:v>
      </x:c>
      <x:c r="B239" s="2" t="str">
        <x:v>严颜</x:v>
      </x:c>
      <x:c r="C239" s="2" t="str">
        <x:v>江州(未)</x:v>
      </x:c>
      <x:c r="D239" s="2" t="str">
        <x:v>劉焉</x:v>
      </x:c>
      <x:c r="E239" s="2" t="str">
        <x:v>劉璋</x:v>
      </x:c>
      <x:c r="F239" s="2" t="str">
        <x:v>劉璋</x:v>
      </x:c>
      <x:c r="G239" s="2" t="str">
        <x:v>劉璋</x:v>
      </x:c>
      <x:c r="H239" s="2" t="str">
        <x:v>劉備</x:v>
      </x:c>
      <x:c r="I239" s="2" t="str">
        <x:v>劉備</x:v>
      </x:c>
      <x:c r="J239" s="2" t="str">
        <x:v>x</x:v>
      </x:c>
      <x:c r="K239" s="2" t="str">
        <x:v>x</x:v>
      </x:c>
      <x:c r="L239" s="2" t="str">
        <x:v>劉焉</x:v>
      </x:c>
    </x:row>
    <x:row r="240" ht="23" customHeight="1">
      <x:c r="A240" s="12" t="n">
        <x:v>232</x:v>
      </x:c>
      <x:c r="B240" s="2" t="str">
        <x:v>牵弘</x:v>
      </x:c>
      <x:c r="C240" s="2" t="str">
        <x:v>南皮(-)</x:v>
      </x:c>
      <x:c r="D240" s="2" t="str">
        <x:v>南皮(-)</x:v>
      </x:c>
      <x:c r="E240" s="2" t="str">
        <x:v>南皮(-)</x:v>
      </x:c>
      <x:c r="F240" s="2" t="str">
        <x:v>南皮(-)</x:v>
      </x:c>
      <x:c r="G240" s="2" t="str">
        <x:v>南皮(-)</x:v>
      </x:c>
      <x:c r="H240" s="2" t="str">
        <x:v>南皮(-)</x:v>
      </x:c>
      <x:c r="I240" s="2" t="str">
        <x:v>南皮(-)</x:v>
      </x:c>
      <x:c r="J240" s="2" t="str">
        <x:v>南皮(-)</x:v>
      </x:c>
      <x:c r="K240" s="2" t="str">
        <x:v>曹芳</x:v>
      </x:c>
      <x:c r="L240" s="2" t="str">
        <x:v>鄧艾</x:v>
      </x:c>
    </x:row>
    <x:row r="241" ht="23" customHeight="1">
      <x:c r="A241" s="12" t="n">
        <x:v>233</x:v>
      </x:c>
      <x:c r="B241" s="2" t="str">
        <x:v>严纲</x:v>
      </x:c>
      <x:c r="C241" s="2" t="str">
        <x:v>公孫瓚</x:v>
      </x:c>
      <x:c r="D241" s="2" t="str">
        <x:v>公孫瓚</x:v>
      </x:c>
      <x:c r="E241" s="2" t="str">
        <x:v>x</x:v>
      </x:c>
      <x:c r="F241" s="2" t="str">
        <x:v>x</x:v>
      </x:c>
      <x:c r="G241" s="2" t="str">
        <x:v>x</x:v>
      </x:c>
      <x:c r="H241" s="2" t="str">
        <x:v>x</x:v>
      </x:c>
      <x:c r="I241" s="2" t="str">
        <x:v>x</x:v>
      </x:c>
      <x:c r="J241" s="2" t="str">
        <x:v>x</x:v>
      </x:c>
      <x:c r="K241" s="2" t="str">
        <x:v>x</x:v>
      </x:c>
      <x:c r="L241" s="2" t="str">
        <x:v>公孫瓚</x:v>
      </x:c>
    </x:row>
    <x:row r="242" ht="23" customHeight="1">
      <x:c r="A242" s="12" t="n">
        <x:v>234</x:v>
      </x:c>
      <x:c r="B242" s="2" t="str">
        <x:v>严氏</x:v>
      </x:c>
      <x:c r="C242" s="2" t="str">
        <x:v>丁原</x:v>
      </x:c>
      <x:c r="D242" s="2" t="str">
        <x:v>董卓</x:v>
      </x:c>
      <x:c r="E242" s="2" t="str">
        <x:v>呂布</x:v>
      </x:c>
      <x:c r="F242" s="2" t="str">
        <x:v>x</x:v>
      </x:c>
      <x:c r="G242" s="2" t="str">
        <x:v>x</x:v>
      </x:c>
      <x:c r="H242" s="2" t="str">
        <x:v>x</x:v>
      </x:c>
      <x:c r="I242" s="2" t="str">
        <x:v>x</x:v>
      </x:c>
      <x:c r="J242" s="2" t="str">
        <x:v>x</x:v>
      </x:c>
      <x:c r="K242" s="2" t="str">
        <x:v>x</x:v>
      </x:c>
      <x:c r="L242" s="2" t="str">
        <x:v>呂布</x:v>
      </x:c>
    </x:row>
    <x:row r="243" ht="23" customHeight="1">
      <x:c r="A243" s="12" t="n">
        <x:v>235</x:v>
      </x:c>
      <x:c r="B243" s="2" t="str">
        <x:v>严畯</x:v>
      </x:c>
      <x:c r="C243" s="2" t="str">
        <x:v>吳(-)</x:v>
      </x:c>
      <x:c r="D243" s="2" t="str">
        <x:v>吳(未)</x:v>
      </x:c>
      <x:c r="E243" s="2" t="str">
        <x:v>吳(未)</x:v>
      </x:c>
      <x:c r="F243" s="2" t="str">
        <x:v>吳(未)</x:v>
      </x:c>
      <x:c r="G243" s="2" t="str">
        <x:v>孫權</x:v>
      </x:c>
      <x:c r="H243" s="2" t="str">
        <x:v>孫權</x:v>
      </x:c>
      <x:c r="I243" s="2" t="str">
        <x:v>孫權</x:v>
      </x:c>
      <x:c r="J243" s="2" t="str">
        <x:v>孫權</x:v>
      </x:c>
      <x:c r="K243" s="2" t="str">
        <x:v>x</x:v>
      </x:c>
      <x:c r="L243" s="2" t="str">
        <x:v>吳(未)</x:v>
      </x:c>
    </x:row>
    <x:row r="244" ht="23" customHeight="1">
      <x:c r="A244" s="12" t="n">
        <x:v>236</x:v>
      </x:c>
      <x:c r="B244" s="2" t="str">
        <x:v>牵招</x:v>
      </x:c>
      <x:c r="C244" s="2" t="str">
        <x:v>南皮(-)</x:v>
      </x:c>
      <x:c r="D244" s="2" t="str">
        <x:v>南皮(未)</x:v>
      </x:c>
      <x:c r="E244" s="2" t="str">
        <x:v>袁紹</x:v>
      </x:c>
      <x:c r="F244" s="2" t="str">
        <x:v>袁紹</x:v>
      </x:c>
      <x:c r="G244" s="2" t="str">
        <x:v>曹操</x:v>
      </x:c>
      <x:c r="H244" s="2" t="str">
        <x:v>曹操</x:v>
      </x:c>
      <x:c r="I244" s="2" t="str">
        <x:v>曹丕</x:v>
      </x:c>
      <x:c r="J244" s="2" t="str">
        <x:v>曹叡</x:v>
      </x:c>
      <x:c r="K244" s="2" t="str">
        <x:v>x</x:v>
      </x:c>
      <x:c r="L244" s="2" t="str">
        <x:v>南皮(未)</x:v>
      </x:c>
    </x:row>
    <x:row r="245" ht="23" customHeight="1">
      <x:c r="A245" s="12" t="n">
        <x:v>237</x:v>
      </x:c>
      <x:c r="B245" s="2" t="str">
        <x:v>严政</x:v>
      </x:c>
      <x:c r="C245" s="2" t="str">
        <x:v>張角</x:v>
      </x:c>
      <x:c r="D245" s="2" t="str">
        <x:v>x</x:v>
      </x:c>
      <x:c r="E245" s="2" t="str">
        <x:v>x</x:v>
      </x:c>
      <x:c r="F245" s="2" t="str">
        <x:v>x</x:v>
      </x:c>
      <x:c r="G245" s="2" t="str">
        <x:v>x</x:v>
      </x:c>
      <x:c r="H245" s="2" t="str">
        <x:v>x</x:v>
      </x:c>
      <x:c r="I245" s="2" t="str">
        <x:v>x</x:v>
      </x:c>
      <x:c r="J245" s="2" t="str">
        <x:v>x</x:v>
      </x:c>
      <x:c r="K245" s="2" t="str">
        <x:v>x</x:v>
      </x:c>
      <x:c r="L245" s="2" t="str">
        <x:v>張角</x:v>
      </x:c>
    </x:row>
    <x:row r="246" ht="23" customHeight="1">
      <x:c r="A246" s="12" t="n">
        <x:v>238</x:v>
      </x:c>
      <x:c r="B246" s="2" t="str">
        <x:v>阮籍</x:v>
      </x:c>
      <x:c r="C246" s="2" t="str">
        <x:v>陳留(-)</x:v>
      </x:c>
      <x:c r="D246" s="2" t="str">
        <x:v>陳留(-)</x:v>
      </x:c>
      <x:c r="E246" s="2" t="str">
        <x:v>陳留(-)</x:v>
      </x:c>
      <x:c r="F246" s="2" t="str">
        <x:v>陳留(-)</x:v>
      </x:c>
      <x:c r="G246" s="2" t="str">
        <x:v>陳留(-)</x:v>
      </x:c>
      <x:c r="H246" s="2" t="str">
        <x:v>陳留(-)</x:v>
      </x:c>
      <x:c r="I246" s="2" t="str">
        <x:v>陳留(-)</x:v>
      </x:c>
      <x:c r="J246" s="2" t="str">
        <x:v>陳留(未)</x:v>
      </x:c>
      <x:c r="K246" s="2" t="str">
        <x:v>陳留(野)</x:v>
      </x:c>
      <x:c r="L246" s="2" t="str">
        <x:v>陳留(未)</x:v>
      </x:c>
    </x:row>
    <x:row r="247" ht="23" customHeight="1">
      <x:c r="A247" s="12" t="n">
        <x:v>239</x:v>
      </x:c>
      <x:c r="B247" s="2" t="str">
        <x:v>严白虎</x:v>
      </x:c>
      <x:c r="C247" s="2" t="str">
        <x:v>吳(野)</x:v>
      </x:c>
      <x:c r="D247" s="2" t="str">
        <x:v>吳(野)</x:v>
      </x:c>
      <x:c r="E247" s="2" t="str">
        <x:v>嚴白虎</x:v>
      </x:c>
      <x:c r="F247" s="2" t="str">
        <x:v>x</x:v>
      </x:c>
      <x:c r="G247" s="2" t="str">
        <x:v>x</x:v>
      </x:c>
      <x:c r="H247" s="2" t="str">
        <x:v>x</x:v>
      </x:c>
      <x:c r="I247" s="2" t="str">
        <x:v>x</x:v>
      </x:c>
      <x:c r="J247" s="2" t="str">
        <x:v>x</x:v>
      </x:c>
      <x:c r="K247" s="2" t="str">
        <x:v>x</x:v>
      </x:c>
      <x:c r="L247" s="2" t="str">
        <x:v>嚴白虎</x:v>
      </x:c>
    </x:row>
    <x:row r="248" ht="23" customHeight="1">
      <x:c r="A248" s="12" t="n">
        <x:v>240</x:v>
      </x:c>
      <x:c r="B248" s="2" t="str">
        <x:v>严舆</x:v>
      </x:c>
      <x:c r="C248" s="2" t="str">
        <x:v>吳(野)</x:v>
      </x:c>
      <x:c r="D248" s="2" t="str">
        <x:v>吳(野)</x:v>
      </x:c>
      <x:c r="E248" s="2" t="str">
        <x:v>嚴白虎</x:v>
      </x:c>
      <x:c r="F248" s="2" t="str">
        <x:v>x</x:v>
      </x:c>
      <x:c r="G248" s="2" t="str">
        <x:v>x</x:v>
      </x:c>
      <x:c r="H248" s="2" t="str">
        <x:v>x</x:v>
      </x:c>
      <x:c r="I248" s="2" t="str">
        <x:v>x</x:v>
      </x:c>
      <x:c r="J248" s="2" t="str">
        <x:v>x</x:v>
      </x:c>
      <x:c r="K248" s="2" t="str">
        <x:v>x</x:v>
      </x:c>
      <x:c r="L248" s="2" t="str">
        <x:v>嚴白虎</x:v>
      </x:c>
    </x:row>
    <x:row r="249" ht="23" customHeight="1">
      <x:c r="A249" s="12" t="n">
        <x:v>241</x:v>
      </x:c>
      <x:c r="B249" s="2" t="str">
        <x:v>吴懿</x:v>
      </x:c>
      <x:c r="C249" s="2" t="str">
        <x:v>陳留(-)</x:v>
      </x:c>
      <x:c r="D249" s="2" t="str">
        <x:v>劉焉</x:v>
      </x:c>
      <x:c r="E249" s="2" t="str">
        <x:v>劉璋</x:v>
      </x:c>
      <x:c r="F249" s="2" t="str">
        <x:v>劉璋</x:v>
      </x:c>
      <x:c r="G249" s="2" t="str">
        <x:v>劉璋</x:v>
      </x:c>
      <x:c r="H249" s="2" t="str">
        <x:v>劉備</x:v>
      </x:c>
      <x:c r="I249" s="2" t="str">
        <x:v>劉備</x:v>
      </x:c>
      <x:c r="J249" s="2" t="str">
        <x:v>劉禪</x:v>
      </x:c>
      <x:c r="K249" s="2" t="str">
        <x:v>x</x:v>
      </x:c>
      <x:c r="L249" s="2" t="str">
        <x:v>劉焉</x:v>
      </x:c>
    </x:row>
    <x:row r="250" ht="23" customHeight="1">
      <x:c r="A250" s="12" t="n">
        <x:v>242</x:v>
      </x:c>
      <x:c r="B250" s="2" t="str">
        <x:v>句安</x:v>
      </x:c>
      <x:c r="C250" s="2" t="str">
        <x:v>江州(-)</x:v>
      </x:c>
      <x:c r="D250" s="2" t="str">
        <x:v>江州(-)</x:v>
      </x:c>
      <x:c r="E250" s="2" t="str">
        <x:v>江州(-)</x:v>
      </x:c>
      <x:c r="F250" s="2" t="str">
        <x:v>江州(-)</x:v>
      </x:c>
      <x:c r="G250" s="2" t="str">
        <x:v>江州(-)</x:v>
      </x:c>
      <x:c r="H250" s="2" t="str">
        <x:v>江州(-)</x:v>
      </x:c>
      <x:c r="I250" s="2" t="str">
        <x:v>江州(-)</x:v>
      </x:c>
      <x:c r="J250" s="2" t="str">
        <x:v>江州(-)</x:v>
      </x:c>
      <x:c r="K250" s="2" t="str">
        <x:v>劉禪</x:v>
      </x:c>
      <x:c r="L250" s="2" t="str">
        <x:v>江州(未)</x:v>
      </x:c>
    </x:row>
    <x:row r="251" ht="23" customHeight="1">
      <x:c r="A251" s="12" t="n">
        <x:v>243</x:v>
      </x:c>
      <x:c r="B251" s="2" t="str">
        <x:v>黄琬</x:v>
      </x:c>
      <x:c r="C251" s="2" t="str">
        <x:v>何進</x:v>
      </x:c>
      <x:c r="D251" s="2" t="str">
        <x:v>董卓</x:v>
      </x:c>
      <x:c r="E251" s="2" t="str">
        <x:v>x</x:v>
      </x:c>
      <x:c r="F251" s="2" t="str">
        <x:v>x</x:v>
      </x:c>
      <x:c r="G251" s="2" t="str">
        <x:v>x</x:v>
      </x:c>
      <x:c r="H251" s="2" t="str">
        <x:v>x</x:v>
      </x:c>
      <x:c r="I251" s="2" t="str">
        <x:v>x</x:v>
      </x:c>
      <x:c r="J251" s="2" t="str">
        <x:v>x</x:v>
      </x:c>
      <x:c r="K251" s="2" t="str">
        <x:v>x</x:v>
      </x:c>
      <x:c r="L251" s="2" t="str">
        <x:v>何進</x:v>
      </x:c>
    </x:row>
    <x:row r="252" ht="23" customHeight="1">
      <x:c r="A252" s="12" t="n">
        <x:v>244</x:v>
      </x:c>
      <x:c r="B252" s="2" t="str">
        <x:v>黄射</x:v>
      </x:c>
      <x:c r="C252" s="2" t="str">
        <x:v>江夏(-)</x:v>
      </x:c>
      <x:c r="D252" s="2" t="str">
        <x:v>江夏(-)</x:v>
      </x:c>
      <x:c r="E252" s="2" t="str">
        <x:v>劉表</x:v>
      </x:c>
      <x:c r="F252" s="2" t="str">
        <x:v>劉表</x:v>
      </x:c>
      <x:c r="G252" s="2" t="str">
        <x:v>劉表</x:v>
      </x:c>
      <x:c r="H252" s="2" t="str">
        <x:v>x</x:v>
      </x:c>
      <x:c r="I252" s="2" t="str">
        <x:v>x</x:v>
      </x:c>
      <x:c r="J252" s="2" t="str">
        <x:v>x</x:v>
      </x:c>
      <x:c r="K252" s="2" t="str">
        <x:v>x</x:v>
      </x:c>
      <x:c r="L252" s="2" t="str">
        <x:v>劉表</x:v>
      </x:c>
    </x:row>
    <x:row r="253" ht="23" customHeight="1">
      <x:c r="A253" s="12" t="n">
        <x:v>245</x:v>
      </x:c>
      <x:c r="B253" s="2" t="str">
        <x:v>耿纪</x:v>
      </x:c>
      <x:c r="C253" s="2" t="str">
        <x:v>許昌(-)</x:v>
      </x:c>
      <x:c r="D253" s="2" t="str">
        <x:v>許昌(-)</x:v>
      </x:c>
      <x:c r="E253" s="2" t="str">
        <x:v>許昌(-)</x:v>
      </x:c>
      <x:c r="F253" s="2" t="str">
        <x:v>許昌(-)</x:v>
      </x:c>
      <x:c r="G253" s="2" t="str">
        <x:v>曹操</x:v>
      </x:c>
      <x:c r="H253" s="2" t="str">
        <x:v>曹操</x:v>
      </x:c>
      <x:c r="I253" s="2" t="str">
        <x:v>x</x:v>
      </x:c>
      <x:c r="J253" s="2" t="str">
        <x:v>x</x:v>
      </x:c>
      <x:c r="K253" s="2" t="str">
        <x:v>x</x:v>
      </x:c>
      <x:c r="L253" s="2" t="str">
        <x:v>許昌(未)</x:v>
      </x:c>
    </x:row>
    <x:row r="254" ht="23" customHeight="1">
      <x:c r="A254" s="12" t="n">
        <x:v>246</x:v>
      </x:c>
      <x:c r="B254" s="2" t="str">
        <x:v>侯音</x:v>
      </x:c>
      <x:c r="C254" s="2" t="str">
        <x:v>宛(-)</x:v>
      </x:c>
      <x:c r="D254" s="2" t="str">
        <x:v>宛(-)</x:v>
      </x:c>
      <x:c r="E254" s="2" t="str">
        <x:v>宛(-)</x:v>
      </x:c>
      <x:c r="F254" s="2" t="str">
        <x:v>宛(-)</x:v>
      </x:c>
      <x:c r="G254" s="2" t="str">
        <x:v>宛(未)</x:v>
      </x:c>
      <x:c r="H254" s="2" t="str">
        <x:v>曹操</x:v>
      </x:c>
      <x:c r="I254" s="2" t="str">
        <x:v>x</x:v>
      </x:c>
      <x:c r="J254" s="2" t="str">
        <x:v>x</x:v>
      </x:c>
      <x:c r="K254" s="2" t="str">
        <x:v>x</x:v>
      </x:c>
      <x:c r="L254" s="2" t="str">
        <x:v>宛(未)</x:v>
      </x:c>
    </x:row>
    <x:row r="255" ht="23" customHeight="1">
      <x:c r="A255" s="12" t="n">
        <x:v>247</x:v>
      </x:c>
      <x:c r="B255" s="2" t="str">
        <x:v>黄盖</x:v>
      </x:c>
      <x:c r="C255" s="2" t="str">
        <x:v>孫堅</x:v>
      </x:c>
      <x:c r="D255" s="2" t="str">
        <x:v>孫堅</x:v>
      </x:c>
      <x:c r="E255" s="2" t="str">
        <x:v>孫策</x:v>
      </x:c>
      <x:c r="F255" s="2" t="str">
        <x:v>孫策</x:v>
      </x:c>
      <x:c r="G255" s="2" t="str">
        <x:v>孫權</x:v>
      </x:c>
      <x:c r="H255" s="2" t="str">
        <x:v>孫權</x:v>
      </x:c>
      <x:c r="I255" s="2" t="str">
        <x:v>x</x:v>
      </x:c>
      <x:c r="J255" s="2" t="str">
        <x:v>x</x:v>
      </x:c>
      <x:c r="K255" s="2" t="str">
        <x:v>x</x:v>
      </x:c>
      <x:c r="L255" s="2" t="str">
        <x:v>孫堅</x:v>
      </x:c>
    </x:row>
    <x:row r="256" ht="23" customHeight="1">
      <x:c r="A256" s="12" t="n">
        <x:v>248</x:v>
      </x:c>
      <x:c r="B256" s="2" t="str">
        <x:v>高干</x:v>
      </x:c>
      <x:c r="C256" s="2" t="str">
        <x:v>陳留(-)</x:v>
      </x:c>
      <x:c r="D256" s="2" t="str">
        <x:v>袁紹</x:v>
      </x:c>
      <x:c r="E256" s="2" t="str">
        <x:v>袁紹</x:v>
      </x:c>
      <x:c r="F256" s="2" t="str">
        <x:v>袁紹</x:v>
      </x:c>
      <x:c r="G256" s="2" t="str">
        <x:v>x</x:v>
      </x:c>
      <x:c r="H256" s="2" t="str">
        <x:v>x</x:v>
      </x:c>
      <x:c r="I256" s="2" t="str">
        <x:v>x</x:v>
      </x:c>
      <x:c r="J256" s="2" t="str">
        <x:v>x</x:v>
      </x:c>
      <x:c r="K256" s="2" t="str">
        <x:v>x</x:v>
      </x:c>
      <x:c r="L256" s="2" t="str">
        <x:v>袁紹</x:v>
      </x:c>
    </x:row>
    <x:row r="257" ht="23" customHeight="1">
      <x:c r="A257" s="12" t="n">
        <x:v>249</x:v>
      </x:c>
      <x:c r="B257" s="2" t="str">
        <x:v>黄月英</x:v>
      </x:c>
      <x:c r="C257" s="2" t="str">
        <x:v>襄陽(-)</x:v>
      </x:c>
      <x:c r="D257" s="2" t="str">
        <x:v>襄陽(-)</x:v>
      </x:c>
      <x:c r="E257" s="2" t="str">
        <x:v>襄陽(-)</x:v>
      </x:c>
      <x:c r="F257" s="2" t="str">
        <x:v>襄陽(-)</x:v>
      </x:c>
      <x:c r="G257" s="2" t="str">
        <x:v>新野(-)</x:v>
      </x:c>
      <x:c r="H257" s="2" t="str">
        <x:v>劉備</x:v>
      </x:c>
      <x:c r="I257" s="2" t="str">
        <x:v>劉備</x:v>
      </x:c>
      <x:c r="J257" s="2" t="str">
        <x:v>劉禪</x:v>
      </x:c>
      <x:c r="K257" s="2" t="str">
        <x:v>x</x:v>
      </x:c>
      <x:c r="L257" s="2" t="str">
        <x:v>劉備</x:v>
      </x:c>
    </x:row>
    <x:row r="258" ht="23" customHeight="1">
      <x:c r="A258" s="12" t="n">
        <x:v>250</x:v>
      </x:c>
      <x:c r="B258" s="2" t="str">
        <x:v>黄权</x:v>
      </x:c>
      <x:c r="C258" s="2" t="str">
        <x:v>梓潼(-)</x:v>
      </x:c>
      <x:c r="D258" s="2" t="str">
        <x:v>劉焉</x:v>
      </x:c>
      <x:c r="E258" s="2" t="str">
        <x:v>劉璋</x:v>
      </x:c>
      <x:c r="F258" s="2" t="str">
        <x:v>劉璋</x:v>
      </x:c>
      <x:c r="G258" s="2" t="str">
        <x:v>劉璋</x:v>
      </x:c>
      <x:c r="H258" s="2" t="str">
        <x:v>劉備</x:v>
      </x:c>
      <x:c r="I258" s="2" t="str">
        <x:v>劉備</x:v>
      </x:c>
      <x:c r="J258" s="2" t="str">
        <x:v>曹叡</x:v>
      </x:c>
      <x:c r="K258" s="2" t="str">
        <x:v>x</x:v>
      </x:c>
      <x:c r="L258" s="2" t="str">
        <x:v>劉焉</x:v>
      </x:c>
    </x:row>
    <x:row r="259" ht="23" customHeight="1">
      <x:c r="A259" s="12" t="n">
        <x:v>251</x:v>
      </x:c>
      <x:c r="B259" s="2" t="str">
        <x:v>黄皓</x:v>
      </x:c>
      <x:c r="C259" s="2" t="str">
        <x:v>成都(-)</x:v>
      </x:c>
      <x:c r="D259" s="2" t="str">
        <x:v>成都(-)</x:v>
      </x:c>
      <x:c r="E259" s="2" t="str">
        <x:v>成都(-)</x:v>
      </x:c>
      <x:c r="F259" s="2" t="str">
        <x:v>成都(-)</x:v>
      </x:c>
      <x:c r="G259" s="2" t="str">
        <x:v>成都(-)</x:v>
      </x:c>
      <x:c r="H259" s="2" t="str">
        <x:v>成都(-)</x:v>
      </x:c>
      <x:c r="I259" s="2" t="str">
        <x:v>成都(-)</x:v>
      </x:c>
      <x:c r="J259" s="2" t="str">
        <x:v>成都(-)</x:v>
      </x:c>
      <x:c r="K259" s="2" t="str">
        <x:v>劉禪</x:v>
      </x:c>
      <x:c r="L259" s="2" t="str">
        <x:v>成都(未)</x:v>
      </x:c>
    </x:row>
    <x:row r="260" ht="23" customHeight="1">
      <x:c r="A260" s="12" t="n">
        <x:v>252</x:v>
      </x:c>
      <x:c r="B260" s="2" t="str">
        <x:v>侯氏</x:v>
      </x:c>
      <x:c r="C260" s="2" t="str">
        <x:v>公孫瓚</x:v>
      </x:c>
      <x:c r="D260" s="2" t="str">
        <x:v>公孫瓚</x:v>
      </x:c>
      <x:c r="E260" s="2" t="str">
        <x:v>公孫瓚</x:v>
      </x:c>
      <x:c r="F260" s="2" t="str">
        <x:v>x</x:v>
      </x:c>
      <x:c r="G260" s="2" t="str">
        <x:v>x</x:v>
      </x:c>
      <x:c r="H260" s="2" t="str">
        <x:v>x</x:v>
      </x:c>
      <x:c r="I260" s="2" t="str">
        <x:v>x</x:v>
      </x:c>
      <x:c r="J260" s="2" t="str">
        <x:v>x</x:v>
      </x:c>
      <x:c r="K260" s="2" t="str">
        <x:v>x</x:v>
      </x:c>
      <x:c r="L260" s="2" t="str">
        <x:v>公孫瓚</x:v>
      </x:c>
    </x:row>
    <x:row r="261" ht="23" customHeight="1">
      <x:c r="A261" s="12" t="n">
        <x:v>253</x:v>
      </x:c>
      <x:c r="B261" s="2" t="str">
        <x:v>高柔</x:v>
      </x:c>
      <x:c r="C261" s="2" t="str">
        <x:v>陳留(-)</x:v>
      </x:c>
      <x:c r="D261" s="2" t="str">
        <x:v>陳留(-)</x:v>
      </x:c>
      <x:c r="E261" s="2" t="str">
        <x:v>袁紹</x:v>
      </x:c>
      <x:c r="F261" s="2" t="str">
        <x:v>袁紹</x:v>
      </x:c>
      <x:c r="G261" s="2" t="str">
        <x:v>曹操</x:v>
      </x:c>
      <x:c r="H261" s="2" t="str">
        <x:v>曹操</x:v>
      </x:c>
      <x:c r="I261" s="2" t="str">
        <x:v>曹丕</x:v>
      </x:c>
      <x:c r="J261" s="2" t="str">
        <x:v>曹叡</x:v>
      </x:c>
      <x:c r="K261" s="2" t="str">
        <x:v>曹芳</x:v>
      </x:c>
      <x:c r="L261" s="2" t="str">
        <x:v>袁紹</x:v>
      </x:c>
    </x:row>
    <x:row r="262" ht="23" customHeight="1">
      <x:c r="A262" s="12" t="n">
        <x:v>254</x:v>
      </x:c>
      <x:c r="B262" s="2" t="str">
        <x:v>高顺</x:v>
      </x:c>
      <x:c r="C262" s="2" t="str">
        <x:v>晉陽(-)</x:v>
      </x:c>
      <x:c r="D262" s="2" t="str">
        <x:v>董卓</x:v>
      </x:c>
      <x:c r="E262" s="2" t="str">
        <x:v>呂布</x:v>
      </x:c>
      <x:c r="F262" s="2" t="str">
        <x:v>x</x:v>
      </x:c>
      <x:c r="G262" s="2" t="str">
        <x:v>x</x:v>
      </x:c>
      <x:c r="H262" s="2" t="str">
        <x:v>x</x:v>
      </x:c>
      <x:c r="I262" s="2" t="str">
        <x:v>x</x:v>
      </x:c>
      <x:c r="J262" s="2" t="str">
        <x:v>x</x:v>
      </x:c>
      <x:c r="K262" s="2" t="str">
        <x:v>x</x:v>
      </x:c>
      <x:c r="L262" s="2" t="str">
        <x:v>呂布</x:v>
      </x:c>
    </x:row>
    <x:row r="263" ht="23" customHeight="1">
      <x:c r="A263" s="12" t="n">
        <x:v>255</x:v>
      </x:c>
      <x:c r="B263" s="2" t="str">
        <x:v>高翔</x:v>
      </x:c>
      <x:c r="C263" s="2" t="str">
        <x:v>梓潼(-)</x:v>
      </x:c>
      <x:c r="D263" s="2" t="str">
        <x:v>梓潼(-)</x:v>
      </x:c>
      <x:c r="E263" s="2" t="str">
        <x:v>梓潼(-)</x:v>
      </x:c>
      <x:c r="F263" s="2" t="str">
        <x:v>梓潼(-)</x:v>
      </x:c>
      <x:c r="G263" s="2" t="str">
        <x:v>梓潼(-)</x:v>
      </x:c>
      <x:c r="H263" s="2" t="str">
        <x:v>梓潼(未)</x:v>
      </x:c>
      <x:c r="I263" s="2" t="str">
        <x:v>劉備</x:v>
      </x:c>
      <x:c r="J263" s="2" t="str">
        <x:v>劉禪</x:v>
      </x:c>
      <x:c r="K263" s="2" t="str">
        <x:v>劉禪</x:v>
      </x:c>
      <x:c r="L263" s="2" t="str">
        <x:v>梓潼(未)</x:v>
      </x:c>
    </x:row>
    <x:row r="264" ht="23" customHeight="1">
      <x:c r="A264" s="12" t="n">
        <x:v>256</x:v>
      </x:c>
      <x:c r="B264" s="2" t="str">
        <x:v>高升</x:v>
      </x:c>
      <x:c r="C264" s="2" t="str">
        <x:v>張角</x:v>
      </x:c>
      <x:c r="D264" s="2" t="str">
        <x:v>x</x:v>
      </x:c>
      <x:c r="E264" s="2" t="str">
        <x:v>x</x:v>
      </x:c>
      <x:c r="F264" s="2" t="str">
        <x:v>x</x:v>
      </x:c>
      <x:c r="G264" s="2" t="str">
        <x:v>x</x:v>
      </x:c>
      <x:c r="H264" s="2" t="str">
        <x:v>x</x:v>
      </x:c>
      <x:c r="I264" s="2" t="str">
        <x:v>x</x:v>
      </x:c>
      <x:c r="J264" s="2" t="str">
        <x:v>x</x:v>
      </x:c>
      <x:c r="K264" s="2" t="str">
        <x:v>x</x:v>
      </x:c>
      <x:c r="L264" s="2" t="str">
        <x:v>張角</x:v>
      </x:c>
    </x:row>
    <x:row r="265" ht="23" customHeight="1">
      <x:c r="A265" s="12" t="n">
        <x:v>257</x:v>
      </x:c>
      <x:c r="B265" s="2" t="str">
        <x:v>黄崇</x:v>
      </x:c>
      <x:c r="C265" s="2" t="str">
        <x:v>梓潼(-)</x:v>
      </x:c>
      <x:c r="D265" s="2" t="str">
        <x:v>梓潼(-)</x:v>
      </x:c>
      <x:c r="E265" s="2" t="str">
        <x:v>梓潼(-)</x:v>
      </x:c>
      <x:c r="F265" s="2" t="str">
        <x:v>梓潼(-)</x:v>
      </x:c>
      <x:c r="G265" s="2" t="str">
        <x:v>梓潼(-)</x:v>
      </x:c>
      <x:c r="H265" s="2" t="str">
        <x:v>梓潼(-)</x:v>
      </x:c>
      <x:c r="I265" s="2" t="str">
        <x:v>梓潼(-)</x:v>
      </x:c>
      <x:c r="J265" s="2" t="str">
        <x:v>劉禪</x:v>
      </x:c>
      <x:c r="K265" s="2" t="str">
        <x:v>劉禪</x:v>
      </x:c>
      <x:c r="L265" s="2" t="str">
        <x:v>劉焉</x:v>
      </x:c>
    </x:row>
    <x:row r="266" ht="23" customHeight="1">
      <x:c r="A266" s="12" t="n">
        <x:v>258</x:v>
      </x:c>
      <x:c r="B266" s="2" t="str">
        <x:v>侯成</x:v>
      </x:c>
      <x:c r="C266" s="2" t="str">
        <x:v>丁原</x:v>
      </x:c>
      <x:c r="D266" s="2" t="str">
        <x:v>董卓</x:v>
      </x:c>
      <x:c r="E266" s="2" t="str">
        <x:v>呂布</x:v>
      </x:c>
      <x:c r="F266" s="2" t="str">
        <x:v>x</x:v>
      </x:c>
      <x:c r="G266" s="2" t="str">
        <x:v>x</x:v>
      </x:c>
      <x:c r="H266" s="2" t="str">
        <x:v>x</x:v>
      </x:c>
      <x:c r="I266" s="2" t="str">
        <x:v>x</x:v>
      </x:c>
      <x:c r="J266" s="2" t="str">
        <x:v>x</x:v>
      </x:c>
      <x:c r="K266" s="2" t="str">
        <x:v>x</x:v>
      </x:c>
      <x:c r="L266" s="2" t="str">
        <x:v>呂布</x:v>
      </x:c>
    </x:row>
    <x:row r="267" ht="23" customHeight="1">
      <x:c r="A267" s="12" t="n">
        <x:v>259</x:v>
      </x:c>
      <x:c r="B267" s="2" t="str">
        <x:v>侯选</x:v>
      </x:c>
      <x:c r="C267" s="2" t="str">
        <x:v>天水(-)</x:v>
      </x:c>
      <x:c r="D267" s="2" t="str">
        <x:v>天水(-)</x:v>
      </x:c>
      <x:c r="E267" s="2" t="str">
        <x:v>馬騰</x:v>
      </x:c>
      <x:c r="F267" s="2" t="str">
        <x:v>馬騰</x:v>
      </x:c>
      <x:c r="G267" s="2" t="str">
        <x:v>馬騰</x:v>
      </x:c>
      <x:c r="H267" s="2" t="str">
        <x:v>曹操</x:v>
      </x:c>
      <x:c r="I267" s="2" t="str">
        <x:v>曹丕</x:v>
      </x:c>
      <x:c r="J267" s="2" t="str">
        <x:v>曹叡</x:v>
      </x:c>
      <x:c r="K267" s="2" t="str">
        <x:v>x</x:v>
      </x:c>
      <x:c r="L267" s="2" t="str">
        <x:v>韓遂</x:v>
      </x:c>
    </x:row>
    <x:row r="268" ht="23" customHeight="1">
      <x:c r="A268" s="12" t="n">
        <x:v>260</x:v>
      </x:c>
      <x:c r="B268" s="2" t="str">
        <x:v>黄祖</x:v>
      </x:c>
      <x:c r="C268" s="2" t="str">
        <x:v>江夏(未)</x:v>
      </x:c>
      <x:c r="D268" s="2" t="str">
        <x:v>劉表</x:v>
      </x:c>
      <x:c r="E268" s="2" t="str">
        <x:v>劉表</x:v>
      </x:c>
      <x:c r="F268" s="2" t="str">
        <x:v>劉表</x:v>
      </x:c>
      <x:c r="G268" s="2" t="str">
        <x:v>劉表</x:v>
      </x:c>
      <x:c r="H268" s="2" t="str">
        <x:v>x</x:v>
      </x:c>
      <x:c r="I268" s="2" t="str">
        <x:v>x</x:v>
      </x:c>
      <x:c r="J268" s="2" t="str">
        <x:v>x</x:v>
      </x:c>
      <x:c r="K268" s="2" t="str">
        <x:v>x</x:v>
      </x:c>
      <x:c r="L268" s="2" t="str">
        <x:v>劉表</x:v>
      </x:c>
    </x:row>
    <x:row r="269" ht="23" customHeight="1">
      <x:c r="A269" s="12" t="n">
        <x:v>261</x:v>
      </x:c>
      <x:c r="B269" s="2" t="str">
        <x:v>公孙越</x:v>
      </x:c>
      <x:c r="C269" s="2" t="str">
        <x:v>公孫瓚</x:v>
      </x:c>
      <x:c r="D269" s="2" t="str">
        <x:v>公孫瓚</x:v>
      </x:c>
      <x:c r="E269" s="2" t="str">
        <x:v>x</x:v>
      </x:c>
      <x:c r="F269" s="2" t="str">
        <x:v>x</x:v>
      </x:c>
      <x:c r="G269" s="2" t="str">
        <x:v>x</x:v>
      </x:c>
      <x:c r="H269" s="2" t="str">
        <x:v>x</x:v>
      </x:c>
      <x:c r="I269" s="2" t="str">
        <x:v>x</x:v>
      </x:c>
      <x:c r="J269" s="2" t="str">
        <x:v>x</x:v>
      </x:c>
      <x:c r="K269" s="2" t="str">
        <x:v>x</x:v>
      </x:c>
      <x:c r="L269" s="2" t="str">
        <x:v>公孫瓚</x:v>
      </x:c>
    </x:row>
    <x:row r="270" ht="23" customHeight="1">
      <x:c r="A270" s="12" t="n">
        <x:v>262</x:v>
      </x:c>
      <x:c r="B270" s="2" t="str">
        <x:v>公孙渊</x:v>
      </x:c>
      <x:c r="C270" s="2" t="str">
        <x:v>襄平(-)</x:v>
      </x:c>
      <x:c r="D270" s="2" t="str">
        <x:v>襄平(-)</x:v>
      </x:c>
      <x:c r="E270" s="2" t="str">
        <x:v>襄平(-)</x:v>
      </x:c>
      <x:c r="F270" s="2" t="str">
        <x:v>襄平(-)</x:v>
      </x:c>
      <x:c r="G270" s="2" t="str">
        <x:v>襄平(-)</x:v>
      </x:c>
      <x:c r="H270" s="2" t="str">
        <x:v>襄平(-)</x:v>
      </x:c>
      <x:c r="I270" s="2" t="str">
        <x:v>公孫恭</x:v>
      </x:c>
      <x:c r="J270" s="2" t="str">
        <x:v>公孫恭</x:v>
      </x:c>
      <x:c r="K270" s="2" t="str">
        <x:v>x</x:v>
      </x:c>
      <x:c r="L270" s="2" t="str">
        <x:v>公孫度</x:v>
      </x:c>
    </x:row>
    <x:row r="271" ht="23" customHeight="1">
      <x:c r="A271" s="12" t="n">
        <x:v>263</x:v>
      </x:c>
      <x:c r="B271" s="2" t="str">
        <x:v>公孙恭</x:v>
      </x:c>
      <x:c r="C271" s="2" t="str">
        <x:v>襄平(-)</x:v>
      </x:c>
      <x:c r="D271" s="2" t="str">
        <x:v>公孫度</x:v>
      </x:c>
      <x:c r="E271" s="2" t="str">
        <x:v>公孫度</x:v>
      </x:c>
      <x:c r="F271" s="2" t="str">
        <x:v>公孫度</x:v>
      </x:c>
      <x:c r="G271" s="2" t="str">
        <x:v>公孫康</x:v>
      </x:c>
      <x:c r="H271" s="2" t="str">
        <x:v>公孫恭</x:v>
      </x:c>
      <x:c r="I271" s="2" t="str">
        <x:v>公孫恭</x:v>
      </x:c>
      <x:c r="J271" s="2" t="str">
        <x:v>公孫恭</x:v>
      </x:c>
      <x:c r="K271" s="2" t="str">
        <x:v>x</x:v>
      </x:c>
      <x:c r="L271" s="2" t="str">
        <x:v>公孫度</x:v>
      </x:c>
    </x:row>
    <x:row r="272" ht="23" customHeight="1">
      <x:c r="A272" s="12" t="n">
        <x:v>264</x:v>
      </x:c>
      <x:c r="B272" s="2" t="str">
        <x:v>公孙康</x:v>
      </x:c>
      <x:c r="C272" s="2" t="str">
        <x:v>襄平(-)</x:v>
      </x:c>
      <x:c r="D272" s="2" t="str">
        <x:v>公孫度</x:v>
      </x:c>
      <x:c r="E272" s="2" t="str">
        <x:v>公孫度</x:v>
      </x:c>
      <x:c r="F272" s="2" t="str">
        <x:v>公孫度</x:v>
      </x:c>
      <x:c r="G272" s="2" t="str">
        <x:v>公孫康</x:v>
      </x:c>
      <x:c r="H272" s="2" t="str">
        <x:v>x</x:v>
      </x:c>
      <x:c r="I272" s="2" t="str">
        <x:v>x</x:v>
      </x:c>
      <x:c r="J272" s="2" t="str">
        <x:v>x</x:v>
      </x:c>
      <x:c r="K272" s="2" t="str">
        <x:v>x</x:v>
      </x:c>
      <x:c r="L272" s="2" t="str">
        <x:v>公孫度</x:v>
      </x:c>
    </x:row>
    <x:row r="273" ht="23" customHeight="1">
      <x:c r="A273" s="12" t="n">
        <x:v>265</x:v>
      </x:c>
      <x:c r="B273" s="2" t="str">
        <x:v>公孙晃</x:v>
      </x:c>
      <x:c r="C273" s="2" t="str">
        <x:v>襄平(-)</x:v>
      </x:c>
      <x:c r="D273" s="2" t="str">
        <x:v>襄平(-)</x:v>
      </x:c>
      <x:c r="E273" s="2" t="str">
        <x:v>襄平(-)</x:v>
      </x:c>
      <x:c r="F273" s="2" t="str">
        <x:v>襄平(-)</x:v>
      </x:c>
      <x:c r="G273" s="2" t="str">
        <x:v>襄平(-)</x:v>
      </x:c>
      <x:c r="H273" s="2" t="str">
        <x:v>公孫恭</x:v>
      </x:c>
      <x:c r="I273" s="2" t="str">
        <x:v>公孫恭</x:v>
      </x:c>
      <x:c r="J273" s="2" t="str">
        <x:v>公孫恭</x:v>
      </x:c>
      <x:c r="K273" s="2" t="str">
        <x:v>x</x:v>
      </x:c>
      <x:c r="L273" s="2" t="str">
        <x:v>公孫度</x:v>
      </x:c>
    </x:row>
    <x:row r="274" ht="23" customHeight="1">
      <x:c r="A274" s="12" t="n">
        <x:v>266</x:v>
      </x:c>
      <x:c r="B274" s="2" t="str">
        <x:v>公孙瓒</x:v>
      </x:c>
      <x:c r="C274" s="2" t="str">
        <x:v>公孫瓚</x:v>
      </x:c>
      <x:c r="D274" s="2" t="str">
        <x:v>公孫瓚</x:v>
      </x:c>
      <x:c r="E274" s="2" t="str">
        <x:v>公孫瓚</x:v>
      </x:c>
      <x:c r="F274" s="2" t="str">
        <x:v>x</x:v>
      </x:c>
      <x:c r="G274" s="2" t="str">
        <x:v>x</x:v>
      </x:c>
      <x:c r="H274" s="2" t="str">
        <x:v>x</x:v>
      </x:c>
      <x:c r="I274" s="2" t="str">
        <x:v>x</x:v>
      </x:c>
      <x:c r="J274" s="2" t="str">
        <x:v>x</x:v>
      </x:c>
      <x:c r="K274" s="2" t="str">
        <x:v>x</x:v>
      </x:c>
      <x:c r="L274" s="2" t="str">
        <x:v>公孫瓚</x:v>
      </x:c>
    </x:row>
    <x:row r="275" ht="23" customHeight="1">
      <x:c r="A275" s="12" t="n">
        <x:v>267</x:v>
      </x:c>
      <x:c r="B275" s="2" t="str">
        <x:v>公孙续</x:v>
      </x:c>
      <x:c r="C275" s="2" t="str">
        <x:v>北平(-)</x:v>
      </x:c>
      <x:c r="D275" s="2" t="str">
        <x:v>公孫瓚</x:v>
      </x:c>
      <x:c r="E275" s="2" t="str">
        <x:v>公孫瓚</x:v>
      </x:c>
      <x:c r="F275" s="2" t="str">
        <x:v>x</x:v>
      </x:c>
      <x:c r="G275" s="2" t="str">
        <x:v>x</x:v>
      </x:c>
      <x:c r="H275" s="2" t="str">
        <x:v>x</x:v>
      </x:c>
      <x:c r="I275" s="2" t="str">
        <x:v>x</x:v>
      </x:c>
      <x:c r="J275" s="2" t="str">
        <x:v>x</x:v>
      </x:c>
      <x:c r="K275" s="2" t="str">
        <x:v>x</x:v>
      </x:c>
      <x:c r="L275" s="2" t="str">
        <x:v>公孫瓚</x:v>
      </x:c>
    </x:row>
    <x:row r="276" ht="23" customHeight="1">
      <x:c r="A276" s="12" t="n">
        <x:v>268</x:v>
      </x:c>
      <x:c r="B276" s="2" t="str">
        <x:v>公孙度</x:v>
      </x:c>
      <x:c r="C276" s="2" t="str">
        <x:v>襄平(未)</x:v>
      </x:c>
      <x:c r="D276" s="2" t="str">
        <x:v>公孫度</x:v>
      </x:c>
      <x:c r="E276" s="2" t="str">
        <x:v>公孫度</x:v>
      </x:c>
      <x:c r="F276" s="2" t="str">
        <x:v>公孫度</x:v>
      </x:c>
      <x:c r="G276" s="2" t="str">
        <x:v>x</x:v>
      </x:c>
      <x:c r="H276" s="2" t="str">
        <x:v>x</x:v>
      </x:c>
      <x:c r="I276" s="2" t="str">
        <x:v>x</x:v>
      </x:c>
      <x:c r="J276" s="2" t="str">
        <x:v>x</x:v>
      </x:c>
      <x:c r="K276" s="2" t="str">
        <x:v>x</x:v>
      </x:c>
      <x:c r="L276" s="2" t="str">
        <x:v>公孫度</x:v>
      </x:c>
    </x:row>
    <x:row r="277" ht="23" customHeight="1">
      <x:c r="A277" s="12" t="n">
        <x:v>269</x:v>
      </x:c>
      <x:c r="B277" s="2" t="str">
        <x:v>公孙范</x:v>
      </x:c>
      <x:c r="C277" s="2" t="str">
        <x:v>公孫瓚</x:v>
      </x:c>
      <x:c r="D277" s="2" t="str">
        <x:v>公孫瓚</x:v>
      </x:c>
      <x:c r="E277" s="2" t="str">
        <x:v>公孫瓚</x:v>
      </x:c>
      <x:c r="F277" s="2" t="str">
        <x:v>x</x:v>
      </x:c>
      <x:c r="G277" s="2" t="str">
        <x:v>x</x:v>
      </x:c>
      <x:c r="H277" s="2" t="str">
        <x:v>x</x:v>
      </x:c>
      <x:c r="I277" s="2" t="str">
        <x:v>x</x:v>
      </x:c>
      <x:c r="J277" s="2" t="str">
        <x:v>x</x:v>
      </x:c>
      <x:c r="K277" s="2" t="str">
        <x:v>x</x:v>
      </x:c>
      <x:c r="L277" s="2" t="str">
        <x:v>公孫瓚</x:v>
      </x:c>
    </x:row>
    <x:row r="278" ht="23" customHeight="1">
      <x:c r="A278" s="12" t="n">
        <x:v>270</x:v>
      </x:c>
      <x:c r="B278" s="2" t="str">
        <x:v>孔伷</x:v>
      </x:c>
      <x:c r="C278" s="2" t="str">
        <x:v>何進</x:v>
      </x:c>
      <x:c r="D278" s="2" t="str">
        <x:v>孔伷</x:v>
      </x:c>
      <x:c r="E278" s="2" t="str">
        <x:v>x</x:v>
      </x:c>
      <x:c r="F278" s="2" t="str">
        <x:v>x</x:v>
      </x:c>
      <x:c r="G278" s="2" t="str">
        <x:v>x</x:v>
      </x:c>
      <x:c r="H278" s="2" t="str">
        <x:v>x</x:v>
      </x:c>
      <x:c r="I278" s="2" t="str">
        <x:v>x</x:v>
      </x:c>
      <x:c r="J278" s="2" t="str">
        <x:v>x</x:v>
      </x:c>
      <x:c r="K278" s="2" t="str">
        <x:v>x</x:v>
      </x:c>
      <x:c r="L278" s="2" t="str">
        <x:v>孔伷</x:v>
      </x:c>
    </x:row>
    <x:row r="279" ht="23" customHeight="1">
      <x:c r="A279" s="12" t="n">
        <x:v>271</x:v>
      </x:c>
      <x:c r="B279" s="2" t="str">
        <x:v>黄忠</x:v>
      </x:c>
      <x:c r="C279" s="2" t="str">
        <x:v>宛(未)</x:v>
      </x:c>
      <x:c r="D279" s="2" t="str">
        <x:v>宛(未)</x:v>
      </x:c>
      <x:c r="E279" s="2" t="str">
        <x:v>劉表</x:v>
      </x:c>
      <x:c r="F279" s="2" t="str">
        <x:v>劉表</x:v>
      </x:c>
      <x:c r="G279" s="2" t="str">
        <x:v>韓玄</x:v>
      </x:c>
      <x:c r="H279" s="2" t="str">
        <x:v>劉備</x:v>
      </x:c>
      <x:c r="I279" s="2" t="str">
        <x:v>劉備</x:v>
      </x:c>
      <x:c r="J279" s="2" t="str">
        <x:v>x</x:v>
      </x:c>
      <x:c r="K279" s="2" t="str">
        <x:v>x</x:v>
      </x:c>
      <x:c r="L279" s="2" t="str">
        <x:v>韓玄</x:v>
      </x:c>
    </x:row>
    <x:row r="280" ht="23" customHeight="1">
      <x:c r="A280" s="12" t="n">
        <x:v>272</x:v>
      </x:c>
      <x:c r="B280" s="2" t="str">
        <x:v>高定</x:v>
      </x:c>
      <x:c r="C280" s="2" t="str">
        <x:v>建寧(-)</x:v>
      </x:c>
      <x:c r="D280" s="2" t="str">
        <x:v>建寧(-)</x:v>
      </x:c>
      <x:c r="E280" s="2" t="str">
        <x:v>建寧(-)</x:v>
      </x:c>
      <x:c r="F280" s="2" t="str">
        <x:v>建寧(-)</x:v>
      </x:c>
      <x:c r="G280" s="2" t="str">
        <x:v>建寧(未)</x:v>
      </x:c>
      <x:c r="H280" s="2" t="str">
        <x:v>建寧(野)</x:v>
      </x:c>
      <x:c r="I280" s="2" t="str">
        <x:v>劉備</x:v>
      </x:c>
      <x:c r="J280" s="2" t="str">
        <x:v>劉禪</x:v>
      </x:c>
      <x:c r="K280" s="2" t="str">
        <x:v>劉禪</x:v>
      </x:c>
      <x:c r="L280" s="2" t="str">
        <x:v>雍闓</x:v>
      </x:c>
    </x:row>
    <x:row r="281" ht="23" customHeight="1">
      <x:c r="A281" s="12" t="n">
        <x:v>273</x:v>
      </x:c>
      <x:c r="B281" s="2" t="str">
        <x:v>高堂隆</x:v>
      </x:c>
      <x:c r="C281" s="2" t="str">
        <x:v>陳留(-)</x:v>
      </x:c>
      <x:c r="D281" s="2" t="str">
        <x:v>陳留(-)</x:v>
      </x:c>
      <x:c r="E281" s="2" t="str">
        <x:v>陳留(-)</x:v>
      </x:c>
      <x:c r="F281" s="2" t="str">
        <x:v>陳留(-)</x:v>
      </x:c>
      <x:c r="G281" s="2" t="str">
        <x:v>陳留(-)</x:v>
      </x:c>
      <x:c r="H281" s="2" t="str">
        <x:v>曹操</x:v>
      </x:c>
      <x:c r="I281" s="2" t="str">
        <x:v>曹丕</x:v>
      </x:c>
      <x:c r="J281" s="2" t="str">
        <x:v>曹叡</x:v>
      </x:c>
      <x:c r="K281" s="2" t="str">
        <x:v>x</x:v>
      </x:c>
      <x:c r="L281" s="2" t="str">
        <x:v>陳留(未)</x:v>
      </x:c>
    </x:row>
    <x:row r="282" ht="23" customHeight="1">
      <x:c r="A282" s="12" t="n">
        <x:v>274</x:v>
      </x:c>
      <x:c r="B282" s="2" t="str">
        <x:v>高沛</x:v>
      </x:c>
      <x:c r="C282" s="2" t="str">
        <x:v>梓潼(-)</x:v>
      </x:c>
      <x:c r="D282" s="2" t="str">
        <x:v>劉焉</x:v>
      </x:c>
      <x:c r="E282" s="2" t="str">
        <x:v>劉璋</x:v>
      </x:c>
      <x:c r="F282" s="2" t="str">
        <x:v>劉璋</x:v>
      </x:c>
      <x:c r="G282" s="2" t="str">
        <x:v>劉璋</x:v>
      </x:c>
      <x:c r="H282" s="2" t="str">
        <x:v>x</x:v>
      </x:c>
      <x:c r="I282" s="2" t="str">
        <x:v>x</x:v>
      </x:c>
      <x:c r="J282" s="2" t="str">
        <x:v>x</x:v>
      </x:c>
      <x:c r="K282" s="2" t="str">
        <x:v>x</x:v>
      </x:c>
      <x:c r="L282" s="2" t="str">
        <x:v>劉焉</x:v>
      </x:c>
    </x:row>
    <x:row r="283" ht="23" customHeight="1">
      <x:c r="A283" s="12" t="n">
        <x:v>275</x:v>
      </x:c>
      <x:c r="B283" s="2" t="str">
        <x:v>高蕃</x:v>
      </x:c>
      <x:c r="C283" s="2" t="str">
        <x:v>鄴(-)</x:v>
      </x:c>
      <x:c r="D283" s="2" t="str">
        <x:v>鄴(未)</x:v>
      </x:c>
      <x:c r="E283" s="2" t="str">
        <x:v>袁紹</x:v>
      </x:c>
      <x:c r="F283" s="2" t="str">
        <x:v>袁紹</x:v>
      </x:c>
      <x:c r="G283" s="2" t="str">
        <x:v>x</x:v>
      </x:c>
      <x:c r="H283" s="2" t="str">
        <x:v>x</x:v>
      </x:c>
      <x:c r="I283" s="2" t="str">
        <x:v>x</x:v>
      </x:c>
      <x:c r="J283" s="2" t="str">
        <x:v>x</x:v>
      </x:c>
      <x:c r="K283" s="2" t="str">
        <x:v>x</x:v>
      </x:c>
      <x:c r="L283" s="2" t="str">
        <x:v>袁紹</x:v>
      </x:c>
    </x:row>
    <x:row r="284" ht="23" customHeight="1">
      <x:c r="A284" s="12" t="n">
        <x:v>276</x:v>
      </x:c>
      <x:c r="B284" s="2" t="str">
        <x:v>句扶</x:v>
      </x:c>
      <x:c r="C284" s="2" t="str">
        <x:v>梓潼(-)</x:v>
      </x:c>
      <x:c r="D284" s="2" t="str">
        <x:v>梓潼(-)</x:v>
      </x:c>
      <x:c r="E284" s="2" t="str">
        <x:v>梓潼(-)</x:v>
      </x:c>
      <x:c r="F284" s="2" t="str">
        <x:v>梓潼(-)</x:v>
      </x:c>
      <x:c r="G284" s="2" t="str">
        <x:v>梓潼(-)</x:v>
      </x:c>
      <x:c r="H284" s="2" t="str">
        <x:v>梓潼(-)</x:v>
      </x:c>
      <x:c r="I284" s="2" t="str">
        <x:v>劉備</x:v>
      </x:c>
      <x:c r="J284" s="2" t="str">
        <x:v>劉禪</x:v>
      </x:c>
      <x:c r="K284" s="2" t="str">
        <x:v>劉禪</x:v>
      </x:c>
      <x:c r="L284" s="2" t="str">
        <x:v>梓潼(未)</x:v>
      </x:c>
    </x:row>
    <x:row r="285" ht="23" customHeight="1">
      <x:c r="A285" s="12" t="n">
        <x:v>277</x:v>
      </x:c>
      <x:c r="B285" s="2" t="str">
        <x:v>耿武</x:v>
      </x:c>
      <x:c r="C285" s="2" t="str">
        <x:v>洛陽(未)</x:v>
      </x:c>
      <x:c r="D285" s="2" t="str">
        <x:v>韓馥</x:v>
      </x:c>
      <x:c r="E285" s="2" t="str">
        <x:v>x</x:v>
      </x:c>
      <x:c r="F285" s="2" t="str">
        <x:v>x</x:v>
      </x:c>
      <x:c r="G285" s="2" t="str">
        <x:v>x</x:v>
      </x:c>
      <x:c r="H285" s="2" t="str">
        <x:v>x</x:v>
      </x:c>
      <x:c r="I285" s="2" t="str">
        <x:v>x</x:v>
      </x:c>
      <x:c r="J285" s="2" t="str">
        <x:v>x</x:v>
      </x:c>
      <x:c r="K285" s="2" t="str">
        <x:v>x</x:v>
      </x:c>
      <x:c r="L285" s="2" t="str">
        <x:v>韓馥</x:v>
      </x:c>
    </x:row>
    <x:row r="286" ht="23" customHeight="1">
      <x:c r="A286" s="12" t="n">
        <x:v>278</x:v>
      </x:c>
      <x:c r="B286" s="2" t="str">
        <x:v>皇甫闿</x:v>
      </x:c>
      <x:c r="C286" s="2" t="str">
        <x:v>安定(-)</x:v>
      </x:c>
      <x:c r="D286" s="2" t="str">
        <x:v>安定(-)</x:v>
      </x:c>
      <x:c r="E286" s="2" t="str">
        <x:v>安定(-)</x:v>
      </x:c>
      <x:c r="F286" s="2" t="str">
        <x:v>安定(-)</x:v>
      </x:c>
      <x:c r="G286" s="2" t="str">
        <x:v>安定(-)</x:v>
      </x:c>
      <x:c r="H286" s="2" t="str">
        <x:v>安定(-)</x:v>
      </x:c>
      <x:c r="I286" s="2" t="str">
        <x:v>安定(-)</x:v>
      </x:c>
      <x:c r="J286" s="2" t="str">
        <x:v>安定(-)</x:v>
      </x:c>
      <x:c r="K286" s="2" t="str">
        <x:v>曹芳</x:v>
      </x:c>
      <x:c r="L286" s="2" t="str">
        <x:v>鍾會</x:v>
      </x:c>
    </x:row>
    <x:row r="287" ht="23" customHeight="1">
      <x:c r="A287" s="12" t="n">
        <x:v>279</x:v>
      </x:c>
      <x:c r="B287" s="2" t="str">
        <x:v>皇甫嵩</x:v>
      </x:c>
      <x:c r="C287" s="2" t="str">
        <x:v>何進</x:v>
      </x:c>
      <x:c r="D287" s="2" t="str">
        <x:v>董卓</x:v>
      </x:c>
      <x:c r="E287" s="2" t="str">
        <x:v>長安(野)</x:v>
      </x:c>
      <x:c r="F287" s="2" t="str">
        <x:v>x</x:v>
      </x:c>
      <x:c r="G287" s="2" t="str">
        <x:v>x</x:v>
      </x:c>
      <x:c r="H287" s="2" t="str">
        <x:v>x</x:v>
      </x:c>
      <x:c r="I287" s="2" t="str">
        <x:v>x</x:v>
      </x:c>
      <x:c r="J287" s="2" t="str">
        <x:v>x</x:v>
      </x:c>
      <x:c r="K287" s="2" t="str">
        <x:v>x</x:v>
      </x:c>
      <x:c r="L287" s="2" t="str">
        <x:v>何進</x:v>
      </x:c>
    </x:row>
    <x:row r="288" ht="23" customHeight="1">
      <x:c r="A288" s="12" t="n">
        <x:v>280</x:v>
      </x:c>
      <x:c r="B288" s="2" t="str">
        <x:v>孔融</x:v>
      </x:c>
      <x:c r="C288" s="2" t="str">
        <x:v>何進</x:v>
      </x:c>
      <x:c r="D288" s="2" t="str">
        <x:v>孔融</x:v>
      </x:c>
      <x:c r="E288" s="2" t="str">
        <x:v>孔融</x:v>
      </x:c>
      <x:c r="F288" s="2" t="str">
        <x:v>曹操</x:v>
      </x:c>
      <x:c r="G288" s="2" t="str">
        <x:v>曹操</x:v>
      </x:c>
      <x:c r="H288" s="2" t="str">
        <x:v>x</x:v>
      </x:c>
      <x:c r="I288" s="2" t="str">
        <x:v>x</x:v>
      </x:c>
      <x:c r="J288" s="2" t="str">
        <x:v>x</x:v>
      </x:c>
      <x:c r="K288" s="2" t="str">
        <x:v>x</x:v>
      </x:c>
      <x:c r="L288" s="2" t="str">
        <x:v>孔融</x:v>
      </x:c>
    </x:row>
    <x:row r="289" ht="23" customHeight="1">
      <x:c r="A289" s="12" t="n">
        <x:v>281</x:v>
      </x:c>
      <x:c r="B289" s="2" t="str">
        <x:v>高览</x:v>
      </x:c>
      <x:c r="C289" s="2" t="str">
        <x:v>南皮(未)</x:v>
      </x:c>
      <x:c r="D289" s="2" t="str">
        <x:v>袁紹</x:v>
      </x:c>
      <x:c r="E289" s="2" t="str">
        <x:v>袁紹</x:v>
      </x:c>
      <x:c r="F289" s="2" t="str">
        <x:v>袁紹</x:v>
      </x:c>
      <x:c r="G289" s="2" t="str">
        <x:v>x</x:v>
      </x:c>
      <x:c r="H289" s="2" t="str">
        <x:v>x</x:v>
      </x:c>
      <x:c r="I289" s="2" t="str">
        <x:v>x</x:v>
      </x:c>
      <x:c r="J289" s="2" t="str">
        <x:v>x</x:v>
      </x:c>
      <x:c r="K289" s="2" t="str">
        <x:v>x</x:v>
      </x:c>
      <x:c r="L289" s="2" t="str">
        <x:v>袁紹</x:v>
      </x:c>
    </x:row>
    <x:row r="290" ht="23" customHeight="1">
      <x:c r="A290" s="12" t="n">
        <x:v>282</x:v>
      </x:c>
      <x:c r="B290" s="2" t="str">
        <x:v>黄乱</x:v>
      </x:c>
      <x:c r="C290" s="2" t="str">
        <x:v>建安(-)</x:v>
      </x:c>
      <x:c r="D290" s="2" t="str">
        <x:v>建安(-)</x:v>
      </x:c>
      <x:c r="E290" s="2" t="str">
        <x:v>建安(-)</x:v>
      </x:c>
      <x:c r="F290" s="2" t="str">
        <x:v>建安(-)</x:v>
      </x:c>
      <x:c r="G290" s="2" t="str">
        <x:v>建安(-)</x:v>
      </x:c>
      <x:c r="H290" s="2" t="str">
        <x:v>建安(-)</x:v>
      </x:c>
      <x:c r="I290" s="2" t="str">
        <x:v>建安(未)</x:v>
      </x:c>
      <x:c r="J290" s="2" t="str">
        <x:v>建安(未)</x:v>
      </x:c>
      <x:c r="K290" s="2" t="str">
        <x:v>孫權</x:v>
      </x:c>
      <x:c r="L290" s="2" t="str">
        <x:v>建安(未)</x:v>
      </x:c>
    </x:row>
    <x:row r="291" ht="23" customHeight="1">
      <x:c r="A291" s="12" t="n">
        <x:v>283</x:v>
      </x:c>
      <x:c r="B291" s="2" t="str">
        <x:v>胡渊</x:v>
      </x:c>
      <x:c r="C291" s="2" t="str">
        <x:v>安定(-)</x:v>
      </x:c>
      <x:c r="D291" s="2" t="str">
        <x:v>安定(-)</x:v>
      </x:c>
      <x:c r="E291" s="2" t="str">
        <x:v>安定(-)</x:v>
      </x:c>
      <x:c r="F291" s="2" t="str">
        <x:v>安定(-)</x:v>
      </x:c>
      <x:c r="G291" s="2" t="str">
        <x:v>安定(-)</x:v>
      </x:c>
      <x:c r="H291" s="2" t="str">
        <x:v>安定(-)</x:v>
      </x:c>
      <x:c r="I291" s="2" t="str">
        <x:v>安定(-)</x:v>
      </x:c>
      <x:c r="J291" s="2" t="str">
        <x:v>安定(-)</x:v>
      </x:c>
      <x:c r="K291" s="2" t="str">
        <x:v>安定(-)</x:v>
      </x:c>
      <x:c r="L291" s="2" t="str">
        <x:v>安定(未)</x:v>
      </x:c>
    </x:row>
    <x:row r="292" ht="23" customHeight="1">
      <x:c r="A292" s="12" t="n">
        <x:v>284</x:v>
      </x:c>
      <x:c r="B292" s="2" t="str">
        <x:v>伍延</x:v>
      </x:c>
      <x:c r="C292" s="2" t="str">
        <x:v>江陵(-)</x:v>
      </x:c>
      <x:c r="D292" s="2" t="str">
        <x:v>江陵(-)</x:v>
      </x:c>
      <x:c r="E292" s="2" t="str">
        <x:v>江陵(-)</x:v>
      </x:c>
      <x:c r="F292" s="2" t="str">
        <x:v>江陵(-)</x:v>
      </x:c>
      <x:c r="G292" s="2" t="str">
        <x:v>江陵(-)</x:v>
      </x:c>
      <x:c r="H292" s="2" t="str">
        <x:v>江陵(-)</x:v>
      </x:c>
      <x:c r="I292" s="2" t="str">
        <x:v>江陵(-)</x:v>
      </x:c>
      <x:c r="J292" s="2" t="str">
        <x:v>江陵(-)</x:v>
      </x:c>
      <x:c r="K292" s="2" t="str">
        <x:v>江陵(-)</x:v>
      </x:c>
      <x:c r="L292" s="2" t="str">
        <x:v>江陵(未)</x:v>
      </x:c>
    </x:row>
    <x:row r="293" ht="23" customHeight="1">
      <x:c r="A293" s="12" t="n">
        <x:v>285</x:v>
      </x:c>
      <x:c r="B293" s="2" t="str">
        <x:v>吴巨</x:v>
      </x:c>
      <x:c r="C293" s="2" t="str">
        <x:v>薊(未)</x:v>
      </x:c>
      <x:c r="D293" s="2" t="str">
        <x:v>薊(未)</x:v>
      </x:c>
      <x:c r="E293" s="2" t="str">
        <x:v>劉表</x:v>
      </x:c>
      <x:c r="F293" s="2" t="str">
        <x:v>劉表</x:v>
      </x:c>
      <x:c r="G293" s="2" t="str">
        <x:v>劉表</x:v>
      </x:c>
      <x:c r="H293" s="2" t="str">
        <x:v>x</x:v>
      </x:c>
      <x:c r="I293" s="2" t="str">
        <x:v>x</x:v>
      </x:c>
      <x:c r="J293" s="2" t="str">
        <x:v>x</x:v>
      </x:c>
      <x:c r="K293" s="2" t="str">
        <x:v>x</x:v>
      </x:c>
      <x:c r="L293" s="2" t="str">
        <x:v>薊(未)</x:v>
      </x:c>
    </x:row>
    <x:row r="294" ht="23" customHeight="1">
      <x:c r="A294" s="12" t="n">
        <x:v>286</x:v>
      </x:c>
      <x:c r="B294" s="2" t="str">
        <x:v>吴匡</x:v>
      </x:c>
      <x:c r="C294" s="2" t="str">
        <x:v>何進</x:v>
      </x:c>
      <x:c r="D294" s="2" t="str">
        <x:v>劉焉</x:v>
      </x:c>
      <x:c r="E294" s="2" t="str">
        <x:v>x</x:v>
      </x:c>
      <x:c r="F294" s="2" t="str">
        <x:v>x</x:v>
      </x:c>
      <x:c r="G294" s="2" t="str">
        <x:v>x</x:v>
      </x:c>
      <x:c r="H294" s="2" t="str">
        <x:v>x</x:v>
      </x:c>
      <x:c r="I294" s="2" t="str">
        <x:v>x</x:v>
      </x:c>
      <x:c r="J294" s="2" t="str">
        <x:v>x</x:v>
      </x:c>
      <x:c r="K294" s="2" t="str">
        <x:v>x</x:v>
      </x:c>
      <x:c r="L294" s="2" t="str">
        <x:v>何進</x:v>
      </x:c>
    </x:row>
    <x:row r="295" ht="23" customHeight="1">
      <x:c r="A295" s="12" t="n">
        <x:v>287</x:v>
      </x:c>
      <x:c r="B295" s="2" t="str">
        <x:v>国渊</x:v>
      </x:c>
      <x:c r="C295" s="2" t="str">
        <x:v>北海(未)</x:v>
      </x:c>
      <x:c r="D295" s="2" t="str">
        <x:v>北海(未)</x:v>
      </x:c>
      <x:c r="E295" s="2" t="str">
        <x:v>襄平(未)</x:v>
      </x:c>
      <x:c r="F295" s="2" t="str">
        <x:v>襄平(未)</x:v>
      </x:c>
      <x:c r="G295" s="2" t="str">
        <x:v>曹操</x:v>
      </x:c>
      <x:c r="H295" s="2" t="str">
        <x:v>曹操</x:v>
      </x:c>
      <x:c r="I295" s="2" t="str">
        <x:v>x</x:v>
      </x:c>
      <x:c r="J295" s="2" t="str">
        <x:v>x</x:v>
      </x:c>
      <x:c r="K295" s="2" t="str">
        <x:v>x</x:v>
      </x:c>
      <x:c r="L295" s="2" t="str">
        <x:v>北海(未)</x:v>
      </x:c>
    </x:row>
    <x:row r="296" ht="23" customHeight="1">
      <x:c r="A296" s="12" t="n">
        <x:v>288</x:v>
      </x:c>
      <x:c r="B296" s="2" t="str">
        <x:v>谷利</x:v>
      </x:c>
      <x:c r="C296" s="2" t="str">
        <x:v>吳(-)</x:v>
      </x:c>
      <x:c r="D296" s="2" t="str">
        <x:v>吳(-)</x:v>
      </x:c>
      <x:c r="E296" s="2" t="str">
        <x:v>吳(-)</x:v>
      </x:c>
      <x:c r="F296" s="2" t="str">
        <x:v>吳(-)</x:v>
      </x:c>
      <x:c r="G296" s="2" t="str">
        <x:v>吳(未)</x:v>
      </x:c>
      <x:c r="H296" s="2" t="str">
        <x:v>孫權</x:v>
      </x:c>
      <x:c r="I296" s="2" t="str">
        <x:v>孫權</x:v>
      </x:c>
      <x:c r="J296" s="2" t="str">
        <x:v>孫權</x:v>
      </x:c>
      <x:c r="K296" s="2" t="str">
        <x:v>x</x:v>
      </x:c>
      <x:c r="L296" s="2" t="str">
        <x:v>吳(未)</x:v>
      </x:c>
    </x:row>
    <x:row r="297" ht="23" customHeight="1">
      <x:c r="A297" s="12" t="n">
        <x:v>289</x:v>
      </x:c>
      <x:c r="B297" s="2" t="str">
        <x:v>吴景</x:v>
      </x:c>
      <x:c r="C297" s="2" t="str">
        <x:v>孫堅</x:v>
      </x:c>
      <x:c r="D297" s="2" t="str">
        <x:v>孫堅</x:v>
      </x:c>
      <x:c r="E297" s="2" t="str">
        <x:v>孫策</x:v>
      </x:c>
      <x:c r="F297" s="2" t="str">
        <x:v>孫策</x:v>
      </x:c>
      <x:c r="G297" s="2" t="str">
        <x:v>x</x:v>
      </x:c>
      <x:c r="H297" s="2" t="str">
        <x:v>x</x:v>
      </x:c>
      <x:c r="I297" s="2" t="str">
        <x:v>x</x:v>
      </x:c>
      <x:c r="J297" s="2" t="str">
        <x:v>x</x:v>
      </x:c>
      <x:c r="K297" s="2" t="str">
        <x:v>x</x:v>
      </x:c>
      <x:c r="L297" s="2" t="str">
        <x:v>孫堅</x:v>
      </x:c>
    </x:row>
    <x:row r="298" ht="23" customHeight="1">
      <x:c r="A298" s="12" t="n">
        <x:v>290</x:v>
      </x:c>
      <x:c r="B298" s="2" t="str">
        <x:v>吾彦</x:v>
      </x:c>
      <x:c r="C298" s="2" t="str">
        <x:v>建業(-)</x:v>
      </x:c>
      <x:c r="D298" s="2" t="str">
        <x:v>建業(-)</x:v>
      </x:c>
      <x:c r="E298" s="2" t="str">
        <x:v>建業(-)</x:v>
      </x:c>
      <x:c r="F298" s="2" t="str">
        <x:v>建業(-)</x:v>
      </x:c>
      <x:c r="G298" s="2" t="str">
        <x:v>建業(-)</x:v>
      </x:c>
      <x:c r="H298" s="2" t="str">
        <x:v>建業(-)</x:v>
      </x:c>
      <x:c r="I298" s="2" t="str">
        <x:v>建業(-)</x:v>
      </x:c>
      <x:c r="J298" s="2" t="str">
        <x:v>建業(-)</x:v>
      </x:c>
      <x:c r="K298" s="2" t="str">
        <x:v>建業(-)</x:v>
      </x:c>
      <x:c r="L298" s="2" t="str">
        <x:v>建業(未)</x:v>
      </x:c>
    </x:row>
    <x:row r="299" ht="23" customHeight="1">
      <x:c r="A299" s="12" t="n">
        <x:v>291</x:v>
      </x:c>
      <x:c r="B299" s="2" t="str">
        <x:v>吴纲</x:v>
      </x:c>
      <x:c r="C299" s="2" t="str">
        <x:v>廬江(-)</x:v>
      </x:c>
      <x:c r="D299" s="2" t="str">
        <x:v>廬江(-)</x:v>
      </x:c>
      <x:c r="E299" s="2" t="str">
        <x:v>廬江(-)</x:v>
      </x:c>
      <x:c r="F299" s="2" t="str">
        <x:v>廬江(-)</x:v>
      </x:c>
      <x:c r="G299" s="2" t="str">
        <x:v>廬江(-)</x:v>
      </x:c>
      <x:c r="H299" s="2" t="str">
        <x:v>廬江(-)</x:v>
      </x:c>
      <x:c r="I299" s="2" t="str">
        <x:v>廬江(-)</x:v>
      </x:c>
      <x:c r="J299" s="2" t="str">
        <x:v>廬江(-)</x:v>
      </x:c>
      <x:c r="K299" s="2" t="str">
        <x:v>曹芳</x:v>
      </x:c>
      <x:c r="L299" s="2" t="str">
        <x:v>毌丘儉</x:v>
      </x:c>
    </x:row>
    <x:row r="300" ht="23" customHeight="1">
      <x:c r="A300" s="12" t="n">
        <x:v>292</x:v>
      </x:c>
      <x:c r="B300" s="2" t="str">
        <x:v>吴国太</x:v>
      </x:c>
      <x:c r="C300" s="2" t="str">
        <x:v>孫堅</x:v>
      </x:c>
      <x:c r="D300" s="2" t="str">
        <x:v>孫堅</x:v>
      </x:c>
      <x:c r="E300" s="2" t="str">
        <x:v>孫策</x:v>
      </x:c>
      <x:c r="F300" s="2" t="str">
        <x:v>孫策</x:v>
      </x:c>
      <x:c r="G300" s="2" t="str">
        <x:v>孫權</x:v>
      </x:c>
      <x:c r="H300" s="2" t="str">
        <x:v>x</x:v>
      </x:c>
      <x:c r="I300" s="2" t="str">
        <x:v>x</x:v>
      </x:c>
      <x:c r="J300" s="2" t="str">
        <x:v>x</x:v>
      </x:c>
      <x:c r="K300" s="2" t="str">
        <x:v>x</x:v>
      </x:c>
      <x:c r="L300" s="2" t="str">
        <x:v>孫堅</x:v>
      </x:c>
    </x:row>
    <x:row r="301" ht="23" customHeight="1">
      <x:c r="A301" s="12" t="n">
        <x:v>293</x:v>
      </x:c>
      <x:c r="B301" s="2" t="str">
        <x:v>吾粲</x:v>
      </x:c>
      <x:c r="C301" s="2" t="str">
        <x:v>柴桑(-)</x:v>
      </x:c>
      <x:c r="D301" s="2" t="str">
        <x:v>柴桑(-)</x:v>
      </x:c>
      <x:c r="E301" s="2" t="str">
        <x:v>柴桑(-)</x:v>
      </x:c>
      <x:c r="F301" s="2" t="str">
        <x:v>柴桑(-)</x:v>
      </x:c>
      <x:c r="G301" s="2" t="str">
        <x:v>孫權</x:v>
      </x:c>
      <x:c r="H301" s="2" t="str">
        <x:v>孫權</x:v>
      </x:c>
      <x:c r="I301" s="2" t="str">
        <x:v>孫權</x:v>
      </x:c>
      <x:c r="J301" s="2" t="str">
        <x:v>孫權</x:v>
      </x:c>
      <x:c r="K301" s="2" t="str">
        <x:v>x</x:v>
      </x:c>
      <x:c r="L301" s="2" t="str">
        <x:v>柴桑(未)</x:v>
      </x:c>
    </x:row>
    <x:row r="302" ht="23" customHeight="1">
      <x:c r="A302" s="12" t="n">
        <x:v>294</x:v>
      </x:c>
      <x:c r="B302" s="2" t="str">
        <x:v>胡质</x:v>
      </x:c>
      <x:c r="C302" s="2" t="str">
        <x:v>壽春(-)</x:v>
      </x:c>
      <x:c r="D302" s="2" t="str">
        <x:v>壽春(-)</x:v>
      </x:c>
      <x:c r="E302" s="2" t="str">
        <x:v>壽春(-)</x:v>
      </x:c>
      <x:c r="F302" s="2" t="str">
        <x:v>壽春(-)</x:v>
      </x:c>
      <x:c r="G302" s="2" t="str">
        <x:v>壽春(-)</x:v>
      </x:c>
      <x:c r="H302" s="2" t="str">
        <x:v>曹操</x:v>
      </x:c>
      <x:c r="I302" s="2" t="str">
        <x:v>曹丕</x:v>
      </x:c>
      <x:c r="J302" s="2" t="str">
        <x:v>曹叡</x:v>
      </x:c>
      <x:c r="K302" s="2" t="str">
        <x:v>曹芳</x:v>
      </x:c>
      <x:c r="L302" s="2" t="str">
        <x:v>壽春(未)</x:v>
      </x:c>
    </x:row>
    <x:row r="303" ht="23" customHeight="1">
      <x:c r="A303" s="12" t="n">
        <x:v>295</x:v>
      </x:c>
      <x:c r="B303" s="2" t="str">
        <x:v>吴质</x:v>
      </x:c>
      <x:c r="C303" s="2" t="str">
        <x:v>北海(-)</x:v>
      </x:c>
      <x:c r="D303" s="2" t="str">
        <x:v>北海(-)</x:v>
      </x:c>
      <x:c r="E303" s="2" t="str">
        <x:v>北海(-)</x:v>
      </x:c>
      <x:c r="F303" s="2" t="str">
        <x:v>北海(未)</x:v>
      </x:c>
      <x:c r="G303" s="2" t="str">
        <x:v>曹操</x:v>
      </x:c>
      <x:c r="H303" s="2" t="str">
        <x:v>曹操</x:v>
      </x:c>
      <x:c r="I303" s="2" t="str">
        <x:v>曹丕</x:v>
      </x:c>
      <x:c r="J303" s="2" t="str">
        <x:v>曹叡</x:v>
      </x:c>
      <x:c r="K303" s="2" t="str">
        <x:v>x</x:v>
      </x:c>
      <x:c r="L303" s="2" t="str">
        <x:v>北海(未)</x:v>
      </x:c>
    </x:row>
    <x:row r="304" ht="23" customHeight="1">
      <x:c r="A304" s="12" t="n">
        <x:v>296</x:v>
      </x:c>
      <x:c r="B304" s="2" t="str">
        <x:v>胡车儿</x:v>
      </x:c>
      <x:c r="C304" s="2" t="str">
        <x:v>天水(-)</x:v>
      </x:c>
      <x:c r="D304" s="2" t="str">
        <x:v>董卓</x:v>
      </x:c>
      <x:c r="E304" s="2" t="str">
        <x:v>李傕</x:v>
      </x:c>
      <x:c r="F304" s="2" t="str">
        <x:v>張繡</x:v>
      </x:c>
      <x:c r="G304" s="2" t="str">
        <x:v>x</x:v>
      </x:c>
      <x:c r="H304" s="2" t="str">
        <x:v>x</x:v>
      </x:c>
      <x:c r="I304" s="2" t="str">
        <x:v>x</x:v>
      </x:c>
      <x:c r="J304" s="2" t="str">
        <x:v>x</x:v>
      </x:c>
      <x:c r="K304" s="2" t="str">
        <x:v>x</x:v>
      </x:c>
      <x:c r="L304" s="2" t="str">
        <x:v>張繡</x:v>
      </x:c>
    </x:row>
    <x:row r="305" ht="23" customHeight="1">
      <x:c r="A305" s="12" t="n">
        <x:v>297</x:v>
      </x:c>
      <x:c r="B305" s="2" t="str">
        <x:v>伍习</x:v>
      </x:c>
      <x:c r="C305" s="2" t="str">
        <x:v>天水(未)</x:v>
      </x:c>
      <x:c r="D305" s="2" t="str">
        <x:v>董卓</x:v>
      </x:c>
      <x:c r="E305" s="2" t="str">
        <x:v>李傕</x:v>
      </x:c>
      <x:c r="F305" s="2" t="str">
        <x:v>x</x:v>
      </x:c>
      <x:c r="G305" s="2" t="str">
        <x:v>x</x:v>
      </x:c>
      <x:c r="H305" s="2" t="str">
        <x:v>x</x:v>
      </x:c>
      <x:c r="I305" s="2" t="str">
        <x:v>x</x:v>
      </x:c>
      <x:c r="J305" s="2" t="str">
        <x:v>x</x:v>
      </x:c>
      <x:c r="K305" s="2" t="str">
        <x:v>x</x:v>
      </x:c>
      <x:c r="L305" s="2" t="str">
        <x:v>董卓</x:v>
      </x:c>
    </x:row>
    <x:row r="306" ht="23" customHeight="1">
      <x:c r="A306" s="12" t="n">
        <x:v>298</x:v>
      </x:c>
      <x:c r="B306" s="2" t="str">
        <x:v>胡遵</x:v>
      </x:c>
      <x:c r="C306" s="2" t="str">
        <x:v>安定(-)</x:v>
      </x:c>
      <x:c r="D306" s="2" t="str">
        <x:v>安定(-)</x:v>
      </x:c>
      <x:c r="E306" s="2" t="str">
        <x:v>安定(-)</x:v>
      </x:c>
      <x:c r="F306" s="2" t="str">
        <x:v>安定(-)</x:v>
      </x:c>
      <x:c r="G306" s="2" t="str">
        <x:v>安定(-)</x:v>
      </x:c>
      <x:c r="H306" s="2" t="str">
        <x:v>安定(-)</x:v>
      </x:c>
      <x:c r="I306" s="2" t="str">
        <x:v>曹丕</x:v>
      </x:c>
      <x:c r="J306" s="2" t="str">
        <x:v>曹叡</x:v>
      </x:c>
      <x:c r="K306" s="2" t="str">
        <x:v>曹芳</x:v>
      </x:c>
      <x:c r="L306" s="2" t="str">
        <x:v>安定(未)</x:v>
      </x:c>
    </x:row>
    <x:row r="307" ht="23" customHeight="1">
      <x:c r="A307" s="12" t="n">
        <x:v>299</x:v>
      </x:c>
      <x:c r="B307" s="2" t="str">
        <x:v>顾承</x:v>
      </x:c>
      <x:c r="C307" s="2" t="str">
        <x:v>吳(-)</x:v>
      </x:c>
      <x:c r="D307" s="2" t="str">
        <x:v>吳(-)</x:v>
      </x:c>
      <x:c r="E307" s="2" t="str">
        <x:v>吳(-)</x:v>
      </x:c>
      <x:c r="F307" s="2" t="str">
        <x:v>吳(-)</x:v>
      </x:c>
      <x:c r="G307" s="2" t="str">
        <x:v>吳(-)</x:v>
      </x:c>
      <x:c r="H307" s="2" t="str">
        <x:v>吳(-)</x:v>
      </x:c>
      <x:c r="I307" s="2" t="str">
        <x:v>吳(-)</x:v>
      </x:c>
      <x:c r="J307" s="2" t="str">
        <x:v>吳(野)</x:v>
      </x:c>
      <x:c r="K307" s="2" t="str">
        <x:v>x</x:v>
      </x:c>
      <x:c r="L307" s="2" t="str">
        <x:v>吳(未)</x:v>
      </x:c>
    </x:row>
    <x:row r="308" ht="23" customHeight="1">
      <x:c r="A308" s="12" t="n">
        <x:v>300</x:v>
      </x:c>
      <x:c r="B308" s="2" t="str">
        <x:v>顾邵</x:v>
      </x:c>
      <x:c r="C308" s="2" t="str">
        <x:v>吳(-)</x:v>
      </x:c>
      <x:c r="D308" s="2" t="str">
        <x:v>吳(-)</x:v>
      </x:c>
      <x:c r="E308" s="2" t="str">
        <x:v>吳(-)</x:v>
      </x:c>
      <x:c r="F308" s="2" t="str">
        <x:v>吳(未)</x:v>
      </x:c>
      <x:c r="G308" s="2" t="str">
        <x:v>孫權</x:v>
      </x:c>
      <x:c r="H308" s="2" t="str">
        <x:v>x</x:v>
      </x:c>
      <x:c r="I308" s="2" t="str">
        <x:v>x</x:v>
      </x:c>
      <x:c r="J308" s="2" t="str">
        <x:v>x</x:v>
      </x:c>
      <x:c r="K308" s="2" t="str">
        <x:v>x</x:v>
      </x:c>
      <x:c r="L308" s="2" t="str">
        <x:v>吳(未)</x:v>
      </x:c>
    </x:row>
    <x:row r="309" ht="23" customHeight="1">
      <x:c r="A309" s="12" t="n">
        <x:v>301</x:v>
      </x:c>
      <x:c r="B309" s="2" t="str">
        <x:v>胡轸</x:v>
      </x:c>
      <x:c r="C309" s="2" t="str">
        <x:v>天水(-)</x:v>
      </x:c>
      <x:c r="D309" s="2" t="str">
        <x:v>董卓</x:v>
      </x:c>
      <x:c r="E309" s="2" t="str">
        <x:v>x</x:v>
      </x:c>
      <x:c r="F309" s="2" t="str">
        <x:v>x</x:v>
      </x:c>
      <x:c r="G309" s="2" t="str">
        <x:v>x</x:v>
      </x:c>
      <x:c r="H309" s="2" t="str">
        <x:v>x</x:v>
      </x:c>
      <x:c r="I309" s="2" t="str">
        <x:v>x</x:v>
      </x:c>
      <x:c r="J309" s="2" t="str">
        <x:v>x</x:v>
      </x:c>
      <x:c r="K309" s="2" t="str">
        <x:v>x</x:v>
      </x:c>
      <x:c r="L309" s="2" t="str">
        <x:v>董卓</x:v>
      </x:c>
    </x:row>
    <x:row r="310" ht="23" customHeight="1">
      <x:c r="A310" s="12" t="n">
        <x:v>302</x:v>
      </x:c>
      <x:c r="B310" s="2" t="str">
        <x:v>胡济</x:v>
      </x:c>
      <x:c r="C310" s="2" t="str">
        <x:v>新野(-)</x:v>
      </x:c>
      <x:c r="D310" s="2" t="str">
        <x:v>新野(-)</x:v>
      </x:c>
      <x:c r="E310" s="2" t="str">
        <x:v>新野(-)</x:v>
      </x:c>
      <x:c r="F310" s="2" t="str">
        <x:v>新野(-)</x:v>
      </x:c>
      <x:c r="G310" s="2" t="str">
        <x:v>新野(-)</x:v>
      </x:c>
      <x:c r="H310" s="2" t="str">
        <x:v>新野(-)</x:v>
      </x:c>
      <x:c r="I310" s="2" t="str">
        <x:v>新野(-)</x:v>
      </x:c>
      <x:c r="J310" s="2" t="str">
        <x:v>劉禪</x:v>
      </x:c>
      <x:c r="K310" s="2" t="str">
        <x:v>劉禪</x:v>
      </x:c>
      <x:c r="L310" s="2" t="str">
        <x:v>新野(未)</x:v>
      </x:c>
    </x:row>
    <x:row r="311" ht="23" customHeight="1">
      <x:c r="A311" s="12" t="n">
        <x:v>303</x:v>
      </x:c>
      <x:c r="B311" s="2" t="str">
        <x:v>胡综</x:v>
      </x:c>
      <x:c r="C311" s="2" t="str">
        <x:v>汝南(-)</x:v>
      </x:c>
      <x:c r="D311" s="2" t="str">
        <x:v>會稽(-)</x:v>
      </x:c>
      <x:c r="E311" s="2" t="str">
        <x:v>會稽(-)</x:v>
      </x:c>
      <x:c r="F311" s="2" t="str">
        <x:v>孫策</x:v>
      </x:c>
      <x:c r="G311" s="2" t="str">
        <x:v>孫權</x:v>
      </x:c>
      <x:c r="H311" s="2" t="str">
        <x:v>孫權</x:v>
      </x:c>
      <x:c r="I311" s="2" t="str">
        <x:v>孫權</x:v>
      </x:c>
      <x:c r="J311" s="2" t="str">
        <x:v>孫權</x:v>
      </x:c>
      <x:c r="K311" s="2" t="str">
        <x:v>x</x:v>
      </x:c>
      <x:c r="L311" s="2" t="str">
        <x:v>汝南(未)</x:v>
      </x:c>
    </x:row>
    <x:row r="312" ht="23" customHeight="1">
      <x:c r="A312" s="12" t="n">
        <x:v>304</x:v>
      </x:c>
      <x:c r="B312" s="2" t="str">
        <x:v>顾谭</x:v>
      </x:c>
      <x:c r="C312" s="2" t="str">
        <x:v>吳(-)</x:v>
      </x:c>
      <x:c r="D312" s="2" t="str">
        <x:v>吳(-)</x:v>
      </x:c>
      <x:c r="E312" s="2" t="str">
        <x:v>吳(-)</x:v>
      </x:c>
      <x:c r="F312" s="2" t="str">
        <x:v>吳(-)</x:v>
      </x:c>
      <x:c r="G312" s="2" t="str">
        <x:v>吳(-)</x:v>
      </x:c>
      <x:c r="H312" s="2" t="str">
        <x:v>吳(-)</x:v>
      </x:c>
      <x:c r="I312" s="2" t="str">
        <x:v>孫權</x:v>
      </x:c>
      <x:c r="J312" s="2" t="str">
        <x:v>孫權</x:v>
      </x:c>
      <x:c r="K312" s="2" t="str">
        <x:v>x</x:v>
      </x:c>
      <x:c r="L312" s="2" t="str">
        <x:v>吳(未)</x:v>
      </x:c>
    </x:row>
    <x:row r="313" ht="23" customHeight="1">
      <x:c r="A313" s="12" t="n">
        <x:v>305</x:v>
      </x:c>
      <x:c r="B313" s="2" t="str">
        <x:v>胡冲</x:v>
      </x:c>
      <x:c r="C313" s="2" t="str">
        <x:v>汝南(-)</x:v>
      </x:c>
      <x:c r="D313" s="2" t="str">
        <x:v>會稽(-)</x:v>
      </x:c>
      <x:c r="E313" s="2" t="str">
        <x:v>會稽(-)</x:v>
      </x:c>
      <x:c r="F313" s="2" t="str">
        <x:v>建業(-)</x:v>
      </x:c>
      <x:c r="G313" s="2" t="str">
        <x:v>建業(-)</x:v>
      </x:c>
      <x:c r="H313" s="2" t="str">
        <x:v>建業(-)</x:v>
      </x:c>
      <x:c r="I313" s="2" t="str">
        <x:v>建業(-)</x:v>
      </x:c>
      <x:c r="J313" s="2" t="str">
        <x:v>建業(-)</x:v>
      </x:c>
      <x:c r="K313" s="2" t="str">
        <x:v>孫權</x:v>
      </x:c>
      <x:c r="L313" s="2" t="str">
        <x:v>汝南(未)</x:v>
      </x:c>
    </x:row>
    <x:row r="314" ht="23" customHeight="1">
      <x:c r="A314" s="12" t="n">
        <x:v>306</x:v>
      </x:c>
      <x:c r="B314" s="2" t="str">
        <x:v>呼厨泉</x:v>
      </x:c>
      <x:c r="C314" s="2" t="str">
        <x:v>晉陽(-)</x:v>
      </x:c>
      <x:c r="D314" s="2" t="str">
        <x:v>晉陽(野)</x:v>
      </x:c>
      <x:c r="E314" s="2" t="str">
        <x:v>晉陽(野)</x:v>
      </x:c>
      <x:c r="F314" s="2" t="str">
        <x:v>晉陽(野)</x:v>
      </x:c>
      <x:c r="G314" s="2" t="str">
        <x:v>晉陽(野)</x:v>
      </x:c>
      <x:c r="H314" s="2" t="str">
        <x:v>晉陽(野)</x:v>
      </x:c>
      <x:c r="I314" s="2" t="str">
        <x:v>晉陽(野)</x:v>
      </x:c>
      <x:c r="J314" s="2" t="str">
        <x:v>晉陽(野)</x:v>
      </x:c>
      <x:c r="K314" s="2" t="str">
        <x:v>x</x:v>
      </x:c>
      <x:c r="L314" s="2" t="str">
        <x:v>晉陽(未)</x:v>
      </x:c>
    </x:row>
    <x:row r="315" ht="23" customHeight="1">
      <x:c r="A315" s="12" t="n">
        <x:v>307</x:v>
      </x:c>
      <x:c r="B315" s="2" t="str">
        <x:v>兀突骨</x:v>
      </x:c>
      <x:c r="C315" s="2" t="str">
        <x:v>雲南(-)</x:v>
      </x:c>
      <x:c r="D315" s="2" t="str">
        <x:v>雲南(-)</x:v>
      </x:c>
      <x:c r="E315" s="2" t="str">
        <x:v>雲南(-)</x:v>
      </x:c>
      <x:c r="F315" s="2" t="str">
        <x:v>雲南(-)</x:v>
      </x:c>
      <x:c r="G315" s="2" t="str">
        <x:v>雲南(-)</x:v>
      </x:c>
      <x:c r="H315" s="2" t="str">
        <x:v>雲南(未)</x:v>
      </x:c>
      <x:c r="I315" s="2" t="str">
        <x:v>雲南(野)</x:v>
      </x:c>
      <x:c r="J315" s="2" t="str">
        <x:v>x</x:v>
      </x:c>
      <x:c r="K315" s="2" t="str">
        <x:v>x</x:v>
      </x:c>
      <x:c r="L315" s="2" t="str">
        <x:v>孟獲</x:v>
      </x:c>
    </x:row>
    <x:row r="316" ht="23" customHeight="1">
      <x:c r="A316" s="12" t="n">
        <x:v>308</x:v>
      </x:c>
      <x:c r="B316" s="2" t="str">
        <x:v>吴敦</x:v>
      </x:c>
      <x:c r="C316" s="2" t="str">
        <x:v>濮陽(-)</x:v>
      </x:c>
      <x:c r="D316" s="2" t="str">
        <x:v>濮陽(未)</x:v>
      </x:c>
      <x:c r="E316" s="2" t="str">
        <x:v>陶謙</x:v>
      </x:c>
      <x:c r="F316" s="2" t="str">
        <x:v>曹操</x:v>
      </x:c>
      <x:c r="G316" s="2" t="str">
        <x:v>曹操</x:v>
      </x:c>
      <x:c r="H316" s="2" t="str">
        <x:v>x</x:v>
      </x:c>
      <x:c r="I316" s="2" t="str">
        <x:v>x</x:v>
      </x:c>
      <x:c r="J316" s="2" t="str">
        <x:v>x</x:v>
      </x:c>
      <x:c r="K316" s="2" t="str">
        <x:v>x</x:v>
      </x:c>
      <x:c r="L316" s="2" t="str">
        <x:v>陶謙</x:v>
      </x:c>
    </x:row>
    <x:row r="317" ht="23" customHeight="1">
      <x:c r="A317" s="12" t="n">
        <x:v>309</x:v>
      </x:c>
      <x:c r="B317" s="2" t="str">
        <x:v>胡班</x:v>
      </x:c>
      <x:c r="C317" s="2" t="str">
        <x:v>濮陽(-)</x:v>
      </x:c>
      <x:c r="D317" s="2" t="str">
        <x:v>濮陽(-)</x:v>
      </x:c>
      <x:c r="E317" s="2" t="str">
        <x:v>濮陽(-)</x:v>
      </x:c>
      <x:c r="F317" s="2" t="str">
        <x:v>濮陽(未)</x:v>
      </x:c>
      <x:c r="G317" s="2" t="str">
        <x:v>劉備</x:v>
      </x:c>
      <x:c r="H317" s="2" t="str">
        <x:v>劉備</x:v>
      </x:c>
      <x:c r="I317" s="2" t="str">
        <x:v>劉備</x:v>
      </x:c>
      <x:c r="J317" s="2" t="str">
        <x:v>劉禪</x:v>
      </x:c>
      <x:c r="K317" s="2" t="str">
        <x:v>x</x:v>
      </x:c>
      <x:c r="L317" s="2" t="str">
        <x:v>濮陽(未)</x:v>
      </x:c>
    </x:row>
    <x:row r="318" ht="23" customHeight="1">
      <x:c r="A318" s="12" t="n">
        <x:v>310</x:v>
      </x:c>
      <x:c r="B318" s="2" t="str">
        <x:v>吴班</x:v>
      </x:c>
      <x:c r="C318" s="2" t="str">
        <x:v>陳留(-)</x:v>
      </x:c>
      <x:c r="D318" s="2" t="str">
        <x:v>劉焉</x:v>
      </x:c>
      <x:c r="E318" s="2" t="str">
        <x:v>劉璋</x:v>
      </x:c>
      <x:c r="F318" s="2" t="str">
        <x:v>劉璋</x:v>
      </x:c>
      <x:c r="G318" s="2" t="str">
        <x:v>劉璋</x:v>
      </x:c>
      <x:c r="H318" s="2" t="str">
        <x:v>劉備</x:v>
      </x:c>
      <x:c r="I318" s="2" t="str">
        <x:v>劉備</x:v>
      </x:c>
      <x:c r="J318" s="2" t="str">
        <x:v>劉禪</x:v>
      </x:c>
      <x:c r="K318" s="2" t="str">
        <x:v>x</x:v>
      </x:c>
      <x:c r="L318" s="2" t="str">
        <x:v>劉焉</x:v>
      </x:c>
    </x:row>
    <x:row r="319" ht="23" customHeight="1">
      <x:c r="A319" s="12" t="n">
        <x:v>311</x:v>
      </x:c>
      <x:c r="B319" s="2" t="str">
        <x:v>吴范</x:v>
      </x:c>
      <x:c r="C319" s="2" t="str">
        <x:v>會稽(-)</x:v>
      </x:c>
      <x:c r="D319" s="2" t="str">
        <x:v>會稽(-)</x:v>
      </x:c>
      <x:c r="E319" s="2" t="str">
        <x:v>會稽(-)</x:v>
      </x:c>
      <x:c r="F319" s="2" t="str">
        <x:v>會稽(未)</x:v>
      </x:c>
      <x:c r="G319" s="2" t="str">
        <x:v>孫權</x:v>
      </x:c>
      <x:c r="H319" s="2" t="str">
        <x:v>孫權</x:v>
      </x:c>
      <x:c r="I319" s="2" t="str">
        <x:v>孫權</x:v>
      </x:c>
      <x:c r="J319" s="2" t="str">
        <x:v>x</x:v>
      </x:c>
      <x:c r="K319" s="2" t="str">
        <x:v>x</x:v>
      </x:c>
      <x:c r="L319" s="2" t="str">
        <x:v>會稽(未)</x:v>
      </x:c>
    </x:row>
    <x:row r="320" ht="23" customHeight="1">
      <x:c r="A320" s="12" t="n">
        <x:v>312</x:v>
      </x:c>
      <x:c r="B320" s="2" t="str">
        <x:v>伍孚</x:v>
      </x:c>
      <x:c r="C320" s="2" t="str">
        <x:v>何進</x:v>
      </x:c>
      <x:c r="D320" s="2" t="str">
        <x:v>董卓</x:v>
      </x:c>
      <x:c r="E320" s="2" t="str">
        <x:v>x</x:v>
      </x:c>
      <x:c r="F320" s="2" t="str">
        <x:v>x</x:v>
      </x:c>
      <x:c r="G320" s="2" t="str">
        <x:v>x</x:v>
      </x:c>
      <x:c r="H320" s="2" t="str">
        <x:v>x</x:v>
      </x:c>
      <x:c r="I320" s="2" t="str">
        <x:v>x</x:v>
      </x:c>
      <x:c r="J320" s="2" t="str">
        <x:v>x</x:v>
      </x:c>
      <x:c r="K320" s="2" t="str">
        <x:v>x</x:v>
      </x:c>
      <x:c r="L320" s="2" t="str">
        <x:v>何進</x:v>
      </x:c>
    </x:row>
    <x:row r="321" ht="23" customHeight="1">
      <x:c r="A321" s="12" t="n">
        <x:v>313</x:v>
      </x:c>
      <x:c r="B321" s="2" t="str">
        <x:v>胡奋</x:v>
      </x:c>
      <x:c r="C321" s="2" t="str">
        <x:v>安定(-)</x:v>
      </x:c>
      <x:c r="D321" s="2" t="str">
        <x:v>安定(-)</x:v>
      </x:c>
      <x:c r="E321" s="2" t="str">
        <x:v>安定(-)</x:v>
      </x:c>
      <x:c r="F321" s="2" t="str">
        <x:v>安定(-)</x:v>
      </x:c>
      <x:c r="G321" s="2" t="str">
        <x:v>安定(-)</x:v>
      </x:c>
      <x:c r="H321" s="2" t="str">
        <x:v>安定(-)</x:v>
      </x:c>
      <x:c r="I321" s="2" t="str">
        <x:v>安定(-)</x:v>
      </x:c>
      <x:c r="J321" s="2" t="str">
        <x:v>安定(-)</x:v>
      </x:c>
      <x:c r="K321" s="2" t="str">
        <x:v>曹芳</x:v>
      </x:c>
      <x:c r="L321" s="2" t="str">
        <x:v>安定(未)</x:v>
      </x:c>
    </x:row>
    <x:row r="322" ht="23" customHeight="1">
      <x:c r="A322" s="12" t="n">
        <x:v>314</x:v>
      </x:c>
      <x:c r="B322" s="2" t="str">
        <x:v>顾雍</x:v>
      </x:c>
      <x:c r="C322" s="2" t="str">
        <x:v>吳(-)</x:v>
      </x:c>
      <x:c r="D322" s="2" t="str">
        <x:v>吳(-)</x:v>
      </x:c>
      <x:c r="E322" s="2" t="str">
        <x:v>吳(-)</x:v>
      </x:c>
      <x:c r="F322" s="2" t="str">
        <x:v>吳(未)</x:v>
      </x:c>
      <x:c r="G322" s="2" t="str">
        <x:v>孫權</x:v>
      </x:c>
      <x:c r="H322" s="2" t="str">
        <x:v>孫權</x:v>
      </x:c>
      <x:c r="I322" s="2" t="str">
        <x:v>孫權</x:v>
      </x:c>
      <x:c r="J322" s="2" t="str">
        <x:v>孫權</x:v>
      </x:c>
      <x:c r="K322" s="2" t="str">
        <x:v>x</x:v>
      </x:c>
      <x:c r="L322" s="2" t="str">
        <x:v>吳(未)</x:v>
      </x:c>
    </x:row>
    <x:row r="323" ht="23" customHeight="1">
      <x:c r="A323" s="12" t="n">
        <x:v>315</x:v>
      </x:c>
      <x:c r="B323" s="2" t="str">
        <x:v>吴兰</x:v>
      </x:c>
      <x:c r="C323" s="2" t="str">
        <x:v>成都(-)</x:v>
      </x:c>
      <x:c r="D323" s="2" t="str">
        <x:v>劉焉</x:v>
      </x:c>
      <x:c r="E323" s="2" t="str">
        <x:v>劉璋</x:v>
      </x:c>
      <x:c r="F323" s="2" t="str">
        <x:v>劉璋</x:v>
      </x:c>
      <x:c r="G323" s="2" t="str">
        <x:v>劉璋</x:v>
      </x:c>
      <x:c r="H323" s="2" t="str">
        <x:v>劉備</x:v>
      </x:c>
      <x:c r="I323" s="2" t="str">
        <x:v>x</x:v>
      </x:c>
      <x:c r="J323" s="2" t="str">
        <x:v>x</x:v>
      </x:c>
      <x:c r="K323" s="2" t="str">
        <x:v>x</x:v>
      </x:c>
      <x:c r="L323" s="2" t="str">
        <x:v>成都(未)</x:v>
      </x:c>
    </x:row>
    <x:row r="324" ht="23" customHeight="1">
      <x:c r="A324" s="12" t="n">
        <x:v>316</x:v>
      </x:c>
      <x:c r="B324" s="2" t="str">
        <x:v>胡烈</x:v>
      </x:c>
      <x:c r="C324" s="2" t="str">
        <x:v>安定(-)</x:v>
      </x:c>
      <x:c r="D324" s="2" t="str">
        <x:v>安定(-)</x:v>
      </x:c>
      <x:c r="E324" s="2" t="str">
        <x:v>安定(-)</x:v>
      </x:c>
      <x:c r="F324" s="2" t="str">
        <x:v>安定(-)</x:v>
      </x:c>
      <x:c r="G324" s="2" t="str">
        <x:v>安定(-)</x:v>
      </x:c>
      <x:c r="H324" s="2" t="str">
        <x:v>安定(-)</x:v>
      </x:c>
      <x:c r="I324" s="2" t="str">
        <x:v>安定(-)</x:v>
      </x:c>
      <x:c r="J324" s="2" t="str">
        <x:v>安定(-)</x:v>
      </x:c>
      <x:c r="K324" s="2" t="str">
        <x:v>曹芳</x:v>
      </x:c>
      <x:c r="L324" s="2" t="str">
        <x:v>安定(未)</x:v>
      </x:c>
    </x:row>
    <x:row r="325" ht="23" customHeight="1">
      <x:c r="A325" s="12" t="n">
        <x:v>317</x:v>
      </x:c>
      <x:c r="B325" s="2" t="str">
        <x:v>崔琰</x:v>
      </x:c>
      <x:c r="C325" s="2" t="str">
        <x:v>平原(未)</x:v>
      </x:c>
      <x:c r="D325" s="2" t="str">
        <x:v>平原(未)</x:v>
      </x:c>
      <x:c r="E325" s="2" t="str">
        <x:v>平原(野)</x:v>
      </x:c>
      <x:c r="F325" s="2" t="str">
        <x:v>袁紹</x:v>
      </x:c>
      <x:c r="G325" s="2" t="str">
        <x:v>曹操</x:v>
      </x:c>
      <x:c r="H325" s="2" t="str">
        <x:v>x</x:v>
      </x:c>
      <x:c r="I325" s="2" t="str">
        <x:v>x</x:v>
      </x:c>
      <x:c r="J325" s="2" t="str">
        <x:v>x</x:v>
      </x:c>
      <x:c r="K325" s="2" t="str">
        <x:v>x</x:v>
      </x:c>
      <x:c r="L325" s="2" t="str">
        <x:v>平原(未)</x:v>
      </x:c>
    </x:row>
    <x:row r="326" ht="23" customHeight="1">
      <x:c r="A326" s="12" t="n">
        <x:v>318</x:v>
      </x:c>
      <x:c r="B326" s="2" t="str">
        <x:v>蔡琰</x:v>
      </x:c>
      <x:c r="C326" s="2" t="str">
        <x:v>吳(未)</x:v>
      </x:c>
      <x:c r="D326" s="2" t="str">
        <x:v>洛陽(未)</x:v>
      </x:c>
      <x:c r="E326" s="2" t="str">
        <x:v>長安(未)</x:v>
      </x:c>
      <x:c r="F326" s="2" t="str">
        <x:v>晉陽(未)</x:v>
      </x:c>
      <x:c r="G326" s="2" t="str">
        <x:v>曹操</x:v>
      </x:c>
      <x:c r="H326" s="2" t="str">
        <x:v>曹操</x:v>
      </x:c>
      <x:c r="I326" s="2" t="str">
        <x:v>洛陽(野)</x:v>
      </x:c>
      <x:c r="J326" s="2" t="str">
        <x:v>洛陽(野)</x:v>
      </x:c>
      <x:c r="K326" s="2" t="str">
        <x:v>x</x:v>
      </x:c>
      <x:c r="L326" s="2" t="str">
        <x:v>洛陽(未)</x:v>
      </x:c>
    </x:row>
    <x:row r="327" ht="23" customHeight="1">
      <x:c r="A327" s="12" t="n">
        <x:v>319</x:v>
      </x:c>
      <x:c r="B327" s="2" t="str">
        <x:v>蔡和</x:v>
      </x:c>
      <x:c r="C327" s="2" t="str">
        <x:v>襄陽(-)</x:v>
      </x:c>
      <x:c r="D327" s="2" t="str">
        <x:v>劉表</x:v>
      </x:c>
      <x:c r="E327" s="2" t="str">
        <x:v>劉表</x:v>
      </x:c>
      <x:c r="F327" s="2" t="str">
        <x:v>劉表</x:v>
      </x:c>
      <x:c r="G327" s="2" t="str">
        <x:v>劉表</x:v>
      </x:c>
      <x:c r="H327" s="2" t="str">
        <x:v>x</x:v>
      </x:c>
      <x:c r="I327" s="2" t="str">
        <x:v>x</x:v>
      </x:c>
      <x:c r="J327" s="2" t="str">
        <x:v>x</x:v>
      </x:c>
      <x:c r="K327" s="2" t="str">
        <x:v>x</x:v>
      </x:c>
      <x:c r="L327" s="2" t="str">
        <x:v>劉表</x:v>
      </x:c>
    </x:row>
    <x:row r="328" ht="23" customHeight="1">
      <x:c r="A328" s="12" t="n">
        <x:v>320</x:v>
      </x:c>
      <x:c r="B328" s="2" t="str">
        <x:v>蔡勋</x:v>
      </x:c>
      <x:c r="C328" s="2" t="str">
        <x:v>襄陽(-)</x:v>
      </x:c>
      <x:c r="D328" s="2" t="str">
        <x:v>劉表</x:v>
      </x:c>
      <x:c r="E328" s="2" t="str">
        <x:v>劉表</x:v>
      </x:c>
      <x:c r="F328" s="2" t="str">
        <x:v>劉表</x:v>
      </x:c>
      <x:c r="G328" s="2" t="str">
        <x:v>劉表</x:v>
      </x:c>
      <x:c r="H328" s="2" t="str">
        <x:v>x</x:v>
      </x:c>
      <x:c r="I328" s="2" t="str">
        <x:v>x</x:v>
      </x:c>
      <x:c r="J328" s="2" t="str">
        <x:v>x</x:v>
      </x:c>
      <x:c r="K328" s="2" t="str">
        <x:v>x</x:v>
      </x:c>
      <x:c r="L328" s="2" t="str">
        <x:v>劉表</x:v>
      </x:c>
    </x:row>
    <x:row r="329" ht="23" customHeight="1">
      <x:c r="A329" s="12" t="n">
        <x:v>321</x:v>
      </x:c>
      <x:c r="B329" s="2" t="str">
        <x:v>蔡氏</x:v>
      </x:c>
      <x:c r="C329" s="2" t="str">
        <x:v>襄陽(未)</x:v>
      </x:c>
      <x:c r="D329" s="2" t="str">
        <x:v>劉表</x:v>
      </x:c>
      <x:c r="E329" s="2" t="str">
        <x:v>劉表</x:v>
      </x:c>
      <x:c r="F329" s="2" t="str">
        <x:v>劉表</x:v>
      </x:c>
      <x:c r="G329" s="2" t="str">
        <x:v>劉表</x:v>
      </x:c>
      <x:c r="H329" s="2" t="str">
        <x:v>x</x:v>
      </x:c>
      <x:c r="I329" s="2" t="str">
        <x:v>x</x:v>
      </x:c>
      <x:c r="J329" s="2" t="str">
        <x:v>x</x:v>
      </x:c>
      <x:c r="K329" s="2" t="str">
        <x:v>x</x:v>
      </x:c>
      <x:c r="L329" s="2" t="str">
        <x:v>劉表</x:v>
      </x:c>
    </x:row>
    <x:row r="330" ht="23" customHeight="1">
      <x:c r="A330" s="12" t="n">
        <x:v>322</x:v>
      </x:c>
      <x:c r="B330" s="2" t="str">
        <x:v>崔氏</x:v>
      </x:c>
      <x:c r="C330" s="2" t="str">
        <x:v>平原(-)</x:v>
      </x:c>
      <x:c r="D330" s="2" t="str">
        <x:v>平原(-)</x:v>
      </x:c>
      <x:c r="E330" s="2" t="str">
        <x:v>平原(-)</x:v>
      </x:c>
      <x:c r="F330" s="2" t="str">
        <x:v>平原(-)</x:v>
      </x:c>
      <x:c r="G330" s="2" t="str">
        <x:v>曹操</x:v>
      </x:c>
      <x:c r="H330" s="2" t="str">
        <x:v>x</x:v>
      </x:c>
      <x:c r="I330" s="2" t="str">
        <x:v>x</x:v>
      </x:c>
      <x:c r="J330" s="2" t="str">
        <x:v>x</x:v>
      </x:c>
      <x:c r="K330" s="2" t="str">
        <x:v>x</x:v>
      </x:c>
      <x:c r="L330" s="2" t="str">
        <x:v>曹操</x:v>
      </x:c>
    </x:row>
    <x:row r="331" ht="23" customHeight="1">
      <x:c r="A331" s="12" t="n">
        <x:v>323</x:v>
      </x:c>
      <x:c r="B331" s="2" t="str">
        <x:v>崔州平</x:v>
      </x:c>
      <x:c r="C331" s="2" t="str">
        <x:v>南皮(-)</x:v>
      </x:c>
      <x:c r="D331" s="2" t="str">
        <x:v>南皮(-)</x:v>
      </x:c>
      <x:c r="E331" s="2" t="str">
        <x:v>襄陽(-)</x:v>
      </x:c>
      <x:c r="F331" s="2" t="str">
        <x:v>襄陽(-)</x:v>
      </x:c>
      <x:c r="G331" s="2" t="str">
        <x:v>襄陽(未)</x:v>
      </x:c>
      <x:c r="H331" s="2" t="str">
        <x:v>襄陽(未)</x:v>
      </x:c>
      <x:c r="I331" s="2" t="str">
        <x:v>襄陽(未)</x:v>
      </x:c>
      <x:c r="J331" s="2" t="str">
        <x:v>x</x:v>
      </x:c>
      <x:c r="K331" s="2" t="str">
        <x:v>x</x:v>
      </x:c>
      <x:c r="L331" s="2" t="str">
        <x:v>南皮(未)</x:v>
      </x:c>
    </x:row>
    <x:row r="332" ht="23" customHeight="1">
      <x:c r="A332" s="12" t="n">
        <x:v>324</x:v>
      </x:c>
      <x:c r="B332" s="2" t="str">
        <x:v>蔡中</x:v>
      </x:c>
      <x:c r="C332" s="2" t="str">
        <x:v>襄陽(-)</x:v>
      </x:c>
      <x:c r="D332" s="2" t="str">
        <x:v>劉表</x:v>
      </x:c>
      <x:c r="E332" s="2" t="str">
        <x:v>劉表</x:v>
      </x:c>
      <x:c r="F332" s="2" t="str">
        <x:v>劉表</x:v>
      </x:c>
      <x:c r="G332" s="2" t="str">
        <x:v>劉表</x:v>
      </x:c>
      <x:c r="H332" s="2" t="str">
        <x:v>x</x:v>
      </x:c>
      <x:c r="I332" s="2" t="str">
        <x:v>x</x:v>
      </x:c>
      <x:c r="J332" s="2" t="str">
        <x:v>x</x:v>
      </x:c>
      <x:c r="K332" s="2" t="str">
        <x:v>x</x:v>
      </x:c>
      <x:c r="L332" s="2" t="str">
        <x:v>劉表</x:v>
      </x:c>
    </x:row>
    <x:row r="333" ht="23" customHeight="1">
      <x:c r="A333" s="12" t="n">
        <x:v>325</x:v>
      </x:c>
      <x:c r="B333" s="2" t="str">
        <x:v>蔡瑁</x:v>
      </x:c>
      <x:c r="C333" s="2" t="str">
        <x:v>襄陽(未)</x:v>
      </x:c>
      <x:c r="D333" s="2" t="str">
        <x:v>劉表</x:v>
      </x:c>
      <x:c r="E333" s="2" t="str">
        <x:v>劉表</x:v>
      </x:c>
      <x:c r="F333" s="2" t="str">
        <x:v>劉表</x:v>
      </x:c>
      <x:c r="G333" s="2" t="str">
        <x:v>劉表</x:v>
      </x:c>
      <x:c r="H333" s="2" t="str">
        <x:v>x</x:v>
      </x:c>
      <x:c r="I333" s="2" t="str">
        <x:v>x</x:v>
      </x:c>
      <x:c r="J333" s="2" t="str">
        <x:v>x</x:v>
      </x:c>
      <x:c r="K333" s="2" t="str">
        <x:v>x</x:v>
      </x:c>
      <x:c r="L333" s="2" t="str">
        <x:v>劉表</x:v>
      </x:c>
    </x:row>
    <x:row r="334" ht="23" customHeight="1">
      <x:c r="A334" s="12" t="n">
        <x:v>326</x:v>
      </x:c>
      <x:c r="B334" s="2" t="str">
        <x:v>崔勇</x:v>
      </x:c>
      <x:c r="C334" s="2" t="str">
        <x:v>安定(未)</x:v>
      </x:c>
      <x:c r="D334" s="2" t="str">
        <x:v>董卓</x:v>
      </x:c>
      <x:c r="E334" s="2" t="str">
        <x:v>李傕</x:v>
      </x:c>
      <x:c r="F334" s="2" t="str">
        <x:v>x</x:v>
      </x:c>
      <x:c r="G334" s="2" t="str">
        <x:v>x</x:v>
      </x:c>
      <x:c r="H334" s="2" t="str">
        <x:v>x</x:v>
      </x:c>
      <x:c r="I334" s="2" t="str">
        <x:v>x</x:v>
      </x:c>
      <x:c r="J334" s="2" t="str">
        <x:v>x</x:v>
      </x:c>
      <x:c r="K334" s="2" t="str">
        <x:v>x</x:v>
      </x:c>
      <x:c r="L334" s="2" t="str">
        <x:v>董卓</x:v>
      </x:c>
    </x:row>
    <x:row r="335" ht="23" customHeight="1">
      <x:c r="A335" s="12" t="n">
        <x:v>327</x:v>
      </x:c>
      <x:c r="B335" s="2" t="str">
        <x:v>蔡邕</x:v>
      </x:c>
      <x:c r="C335" s="2" t="str">
        <x:v>吳(野)</x:v>
      </x:c>
      <x:c r="D335" s="2" t="str">
        <x:v>董卓</x:v>
      </x:c>
      <x:c r="E335" s="2" t="str">
        <x:v>x</x:v>
      </x:c>
      <x:c r="F335" s="2" t="str">
        <x:v>x</x:v>
      </x:c>
      <x:c r="G335" s="2" t="str">
        <x:v>x</x:v>
      </x:c>
      <x:c r="H335" s="2" t="str">
        <x:v>x</x:v>
      </x:c>
      <x:c r="I335" s="2" t="str">
        <x:v>x</x:v>
      </x:c>
      <x:c r="J335" s="2" t="str">
        <x:v>x</x:v>
      </x:c>
      <x:c r="K335" s="2" t="str">
        <x:v>x</x:v>
      </x:c>
      <x:c r="L335" s="2" t="str">
        <x:v>洛陽(未)</x:v>
      </x:c>
    </x:row>
    <x:row r="336" ht="23" customHeight="1">
      <x:c r="A336" s="12" t="n">
        <x:v>328</x:v>
      </x:c>
      <x:c r="B336" s="2" t="str">
        <x:v>崔林</x:v>
      </x:c>
      <x:c r="C336" s="2" t="str">
        <x:v>平原(-)</x:v>
      </x:c>
      <x:c r="D336" s="2" t="str">
        <x:v>平原(-)</x:v>
      </x:c>
      <x:c r="E336" s="2" t="str">
        <x:v>平原(-)</x:v>
      </x:c>
      <x:c r="F336" s="2" t="str">
        <x:v>平原(未)</x:v>
      </x:c>
      <x:c r="G336" s="2" t="str">
        <x:v>曹操</x:v>
      </x:c>
      <x:c r="H336" s="2" t="str">
        <x:v>曹操</x:v>
      </x:c>
      <x:c r="I336" s="2" t="str">
        <x:v>曹丕</x:v>
      </x:c>
      <x:c r="J336" s="2" t="str">
        <x:v>曹叡</x:v>
      </x:c>
      <x:c r="K336" s="2" t="str">
        <x:v>x</x:v>
      </x:c>
      <x:c r="L336" s="2" t="str">
        <x:v>平原(未)</x:v>
      </x:c>
    </x:row>
    <x:row r="337" ht="23" customHeight="1">
      <x:c r="A337" s="12" t="n">
        <x:v>329</x:v>
      </x:c>
      <x:c r="B337" s="2" t="str">
        <x:v>左奕</x:v>
      </x:c>
      <x:c r="C337" s="2" t="str">
        <x:v>武陵(-)</x:v>
      </x:c>
      <x:c r="D337" s="2" t="str">
        <x:v>武陵(-)</x:v>
      </x:c>
      <x:c r="E337" s="2" t="str">
        <x:v>武陵(-)</x:v>
      </x:c>
      <x:c r="F337" s="2" t="str">
        <x:v>武陵(-)</x:v>
      </x:c>
      <x:c r="G337" s="2" t="str">
        <x:v>武陵(-)</x:v>
      </x:c>
      <x:c r="H337" s="2" t="str">
        <x:v>武陵(-)</x:v>
      </x:c>
      <x:c r="I337" s="2" t="str">
        <x:v>武陵(-)</x:v>
      </x:c>
      <x:c r="J337" s="2" t="str">
        <x:v>武陵(-)</x:v>
      </x:c>
      <x:c r="K337" s="2" t="str">
        <x:v>武陵(-)</x:v>
      </x:c>
      <x:c r="L337" s="2" t="str">
        <x:v>武陵(未)</x:v>
      </x:c>
    </x:row>
    <x:row r="338" ht="23" customHeight="1">
      <x:c r="A338" s="12" t="n">
        <x:v>330</x:v>
      </x:c>
      <x:c r="B338" s="2" t="str">
        <x:v>笮融</x:v>
      </x:c>
      <x:c r="C338" s="2" t="str">
        <x:v>下邳(野)</x:v>
      </x:c>
      <x:c r="D338" s="2" t="str">
        <x:v>陶謙</x:v>
      </x:c>
      <x:c r="E338" s="2" t="str">
        <x:v>劉繇</x:v>
      </x:c>
      <x:c r="F338" s="2" t="str">
        <x:v>x</x:v>
      </x:c>
      <x:c r="G338" s="2" t="str">
        <x:v>x</x:v>
      </x:c>
      <x:c r="H338" s="2" t="str">
        <x:v>x</x:v>
      </x:c>
      <x:c r="I338" s="2" t="str">
        <x:v>x</x:v>
      </x:c>
      <x:c r="J338" s="2" t="str">
        <x:v>x</x:v>
      </x:c>
      <x:c r="K338" s="2" t="str">
        <x:v>x</x:v>
      </x:c>
      <x:c r="L338" s="2" t="str">
        <x:v>劉繇</x:v>
      </x:c>
    </x:row>
    <x:row r="339" ht="23" customHeight="1">
      <x:c r="A339" s="12" t="n">
        <x:v>331</x:v>
      </x:c>
      <x:c r="B339" s="2" t="str">
        <x:v>左灵</x:v>
      </x:c>
      <x:c r="C339" s="2" t="str">
        <x:v>天水(未)</x:v>
      </x:c>
      <x:c r="D339" s="2" t="str">
        <x:v>董卓</x:v>
      </x:c>
      <x:c r="E339" s="2" t="str">
        <x:v>李傕</x:v>
      </x:c>
      <x:c r="F339" s="2" t="str">
        <x:v>x</x:v>
      </x:c>
      <x:c r="G339" s="2" t="str">
        <x:v>x</x:v>
      </x:c>
      <x:c r="H339" s="2" t="str">
        <x:v>x</x:v>
      </x:c>
      <x:c r="I339" s="2" t="str">
        <x:v>x</x:v>
      </x:c>
      <x:c r="J339" s="2" t="str">
        <x:v>x</x:v>
      </x:c>
      <x:c r="K339" s="2" t="str">
        <x:v>x</x:v>
      </x:c>
      <x:c r="L339" s="2" t="str">
        <x:v>董卓</x:v>
      </x:c>
    </x:row>
    <x:row r="340" ht="23" customHeight="1">
      <x:c r="A340" s="12" t="n">
        <x:v>332</x:v>
      </x:c>
      <x:c r="B340" s="2" t="str">
        <x:v>士壹</x:v>
      </x:c>
      <x:c r="C340" s="2" t="str">
        <x:v>士燮</x:v>
      </x:c>
      <x:c r="D340" s="2" t="str">
        <x:v>士燮</x:v>
      </x:c>
      <x:c r="E340" s="2" t="str">
        <x:v>士燮</x:v>
      </x:c>
      <x:c r="F340" s="2" t="str">
        <x:v>士燮</x:v>
      </x:c>
      <x:c r="G340" s="2" t="str">
        <x:v>士燮</x:v>
      </x:c>
      <x:c r="H340" s="2" t="str">
        <x:v>士燮</x:v>
      </x:c>
      <x:c r="I340" s="2" t="str">
        <x:v>士燮</x:v>
      </x:c>
      <x:c r="J340" s="2" t="str">
        <x:v>交趾(野)</x:v>
      </x:c>
      <x:c r="K340" s="2" t="str">
        <x:v>x</x:v>
      </x:c>
      <x:c r="L340" s="2" t="str">
        <x:v>士燮</x:v>
      </x:c>
    </x:row>
    <x:row r="341" ht="23" customHeight="1">
      <x:c r="A341" s="12" t="n">
        <x:v>333</x:v>
      </x:c>
      <x:c r="B341" s="2" t="str">
        <x:v>史涣</x:v>
      </x:c>
      <x:c r="C341" s="2" t="str">
        <x:v>小沛(-)</x:v>
      </x:c>
      <x:c r="D341" s="2" t="str">
        <x:v>曹操</x:v>
      </x:c>
      <x:c r="E341" s="2" t="str">
        <x:v>曹操</x:v>
      </x:c>
      <x:c r="F341" s="2" t="str">
        <x:v>曹操</x:v>
      </x:c>
      <x:c r="G341" s="2" t="str">
        <x:v>x</x:v>
      </x:c>
      <x:c r="H341" s="2" t="str">
        <x:v>x</x:v>
      </x:c>
      <x:c r="I341" s="2" t="str">
        <x:v>x</x:v>
      </x:c>
      <x:c r="J341" s="2" t="str">
        <x:v>x</x:v>
      </x:c>
      <x:c r="K341" s="2" t="str">
        <x:v>x</x:v>
      </x:c>
      <x:c r="L341" s="2" t="str">
        <x:v>小沛(未)</x:v>
      </x:c>
    </x:row>
    <x:row r="342" ht="23" customHeight="1">
      <x:c r="A342" s="12" t="n">
        <x:v>334</x:v>
      </x:c>
      <x:c r="B342" s="2" t="str">
        <x:v>士徽</x:v>
      </x:c>
      <x:c r="C342" s="2" t="str">
        <x:v>士燮</x:v>
      </x:c>
      <x:c r="D342" s="2" t="str">
        <x:v>士燮</x:v>
      </x:c>
      <x:c r="E342" s="2" t="str">
        <x:v>士燮</x:v>
      </x:c>
      <x:c r="F342" s="2" t="str">
        <x:v>士燮</x:v>
      </x:c>
      <x:c r="G342" s="2" t="str">
        <x:v>士燮</x:v>
      </x:c>
      <x:c r="H342" s="2" t="str">
        <x:v>士燮</x:v>
      </x:c>
      <x:c r="I342" s="2" t="str">
        <x:v>士燮</x:v>
      </x:c>
      <x:c r="J342" s="2" t="str">
        <x:v>x</x:v>
      </x:c>
      <x:c r="K342" s="2" t="str">
        <x:v>x</x:v>
      </x:c>
      <x:c r="L342" s="2" t="str">
        <x:v>士燮</x:v>
      </x:c>
    </x:row>
    <x:row r="343" ht="23" customHeight="1">
      <x:c r="A343" s="12" t="n">
        <x:v>335</x:v>
      </x:c>
      <x:c r="B343" s="2" t="str">
        <x:v>是仪</x:v>
      </x:c>
      <x:c r="C343" s="2" t="str">
        <x:v>北海(未)</x:v>
      </x:c>
      <x:c r="D343" s="2" t="str">
        <x:v>孔融</x:v>
      </x:c>
      <x:c r="E343" s="2" t="str">
        <x:v>劉繇</x:v>
      </x:c>
      <x:c r="F343" s="2" t="str">
        <x:v>會稽(野)</x:v>
      </x:c>
      <x:c r="G343" s="2" t="str">
        <x:v>孫權</x:v>
      </x:c>
      <x:c r="H343" s="2" t="str">
        <x:v>孫權</x:v>
      </x:c>
      <x:c r="I343" s="2" t="str">
        <x:v>孫權</x:v>
      </x:c>
      <x:c r="J343" s="2" t="str">
        <x:v>孫權</x:v>
      </x:c>
      <x:c r="K343" s="2" t="str">
        <x:v>x</x:v>
      </x:c>
      <x:c r="L343" s="2" t="str">
        <x:v>孔融</x:v>
      </x:c>
    </x:row>
    <x:row r="344" ht="23" customHeight="1">
      <x:c r="A344" s="12" t="n">
        <x:v>336</x:v>
      </x:c>
      <x:c r="B344" s="2" t="str">
        <x:v>士匡</x:v>
      </x:c>
      <x:c r="C344" s="2" t="str">
        <x:v>交趾(-)</x:v>
      </x:c>
      <x:c r="D344" s="2" t="str">
        <x:v>南海(-)</x:v>
      </x:c>
      <x:c r="E344" s="2" t="str">
        <x:v>士燮</x:v>
      </x:c>
      <x:c r="F344" s="2" t="str">
        <x:v>士燮</x:v>
      </x:c>
      <x:c r="G344" s="2" t="str">
        <x:v>士燮</x:v>
      </x:c>
      <x:c r="H344" s="2" t="str">
        <x:v>士燮</x:v>
      </x:c>
      <x:c r="I344" s="2" t="str">
        <x:v>士燮</x:v>
      </x:c>
      <x:c r="J344" s="2" t="str">
        <x:v>交趾(野)</x:v>
      </x:c>
      <x:c r="K344" s="2" t="str">
        <x:v>x</x:v>
      </x:c>
      <x:c r="L344" s="2" t="str">
        <x:v>士燮</x:v>
      </x:c>
    </x:row>
    <x:row r="345" ht="23" customHeight="1">
      <x:c r="A345" s="12" t="n">
        <x:v>337</x:v>
      </x:c>
      <x:c r="B345" s="2" t="str">
        <x:v>士𫷷</x:v>
      </x:c>
      <x:c r="C345" s="2" t="str">
        <x:v>士燮</x:v>
      </x:c>
      <x:c r="D345" s="2" t="str">
        <x:v>士燮</x:v>
      </x:c>
      <x:c r="E345" s="2" t="str">
        <x:v>士燮</x:v>
      </x:c>
      <x:c r="F345" s="2" t="str">
        <x:v>士燮</x:v>
      </x:c>
      <x:c r="G345" s="2" t="str">
        <x:v>士燮</x:v>
      </x:c>
      <x:c r="H345" s="2" t="str">
        <x:v>士燮</x:v>
      </x:c>
      <x:c r="I345" s="2" t="str">
        <x:v>士燮</x:v>
      </x:c>
      <x:c r="J345" s="2" t="str">
        <x:v>交趾(野)</x:v>
      </x:c>
      <x:c r="K345" s="2" t="str">
        <x:v>x</x:v>
      </x:c>
      <x:c r="L345" s="2" t="str">
        <x:v>士燮</x:v>
      </x:c>
    </x:row>
    <x:row r="346" ht="23" customHeight="1">
      <x:c r="A346" s="12" t="n">
        <x:v>338</x:v>
      </x:c>
      <x:c r="B346" s="2" t="str">
        <x:v>施朔</x:v>
      </x:c>
      <x:c r="C346" s="2" t="str">
        <x:v>建業(-)</x:v>
      </x:c>
      <x:c r="D346" s="2" t="str">
        <x:v>建業(-)</x:v>
      </x:c>
      <x:c r="E346" s="2" t="str">
        <x:v>建業(-)</x:v>
      </x:c>
      <x:c r="F346" s="2" t="str">
        <x:v>建業(-)</x:v>
      </x:c>
      <x:c r="G346" s="2" t="str">
        <x:v>建業(-)</x:v>
      </x:c>
      <x:c r="H346" s="2" t="str">
        <x:v>建業(-)</x:v>
      </x:c>
      <x:c r="I346" s="2" t="str">
        <x:v>建業(-)</x:v>
      </x:c>
      <x:c r="J346" s="2" t="str">
        <x:v>建業(-)</x:v>
      </x:c>
      <x:c r="K346" s="2" t="str">
        <x:v>建業(未)</x:v>
      </x:c>
      <x:c r="L346" s="2" t="str">
        <x:v>建業(未)</x:v>
      </x:c>
    </x:row>
    <x:row r="347" ht="23" customHeight="1">
      <x:c r="A347" s="12" t="n">
        <x:v>339</x:v>
      </x:c>
      <x:c r="B347" s="2" t="str">
        <x:v>师纂</x:v>
      </x:c>
      <x:c r="C347" s="2" t="str">
        <x:v>新野(-)</x:v>
      </x:c>
      <x:c r="D347" s="2" t="str">
        <x:v>新野(-)</x:v>
      </x:c>
      <x:c r="E347" s="2" t="str">
        <x:v>新野(-)</x:v>
      </x:c>
      <x:c r="F347" s="2" t="str">
        <x:v>新野(-)</x:v>
      </x:c>
      <x:c r="G347" s="2" t="str">
        <x:v>新野(-)</x:v>
      </x:c>
      <x:c r="H347" s="2" t="str">
        <x:v>新野(-)</x:v>
      </x:c>
      <x:c r="I347" s="2" t="str">
        <x:v>新野(-)</x:v>
      </x:c>
      <x:c r="J347" s="2" t="str">
        <x:v>新野(-)</x:v>
      </x:c>
      <x:c r="K347" s="2" t="str">
        <x:v>曹芳</x:v>
      </x:c>
      <x:c r="L347" s="2" t="str">
        <x:v>鄧艾</x:v>
      </x:c>
    </x:row>
    <x:row r="348" ht="23" customHeight="1">
      <x:c r="A348" s="12" t="n">
        <x:v>340</x:v>
      </x:c>
      <x:c r="B348" s="2" t="str">
        <x:v>士祗</x:v>
      </x:c>
      <x:c r="C348" s="2" t="str">
        <x:v>士燮</x:v>
      </x:c>
      <x:c r="D348" s="2" t="str">
        <x:v>士燮</x:v>
      </x:c>
      <x:c r="E348" s="2" t="str">
        <x:v>士燮</x:v>
      </x:c>
      <x:c r="F348" s="2" t="str">
        <x:v>士燮</x:v>
      </x:c>
      <x:c r="G348" s="2" t="str">
        <x:v>士燮</x:v>
      </x:c>
      <x:c r="H348" s="2" t="str">
        <x:v>士燮</x:v>
      </x:c>
      <x:c r="I348" s="2" t="str">
        <x:v>士燮</x:v>
      </x:c>
      <x:c r="J348" s="2" t="str">
        <x:v>x</x:v>
      </x:c>
      <x:c r="K348" s="2" t="str">
        <x:v>x</x:v>
      </x:c>
      <x:c r="L348" s="2" t="str">
        <x:v>士燮</x:v>
      </x:c>
    </x:row>
    <x:row r="349" ht="23" customHeight="1">
      <x:c r="A349" s="12" t="n">
        <x:v>341</x:v>
      </x:c>
      <x:c r="B349" s="2" t="str">
        <x:v>士燮</x:v>
      </x:c>
      <x:c r="C349" s="2" t="str">
        <x:v>士燮</x:v>
      </x:c>
      <x:c r="D349" s="2" t="str">
        <x:v>士燮</x:v>
      </x:c>
      <x:c r="E349" s="2" t="str">
        <x:v>士燮</x:v>
      </x:c>
      <x:c r="F349" s="2" t="str">
        <x:v>士燮</x:v>
      </x:c>
      <x:c r="G349" s="2" t="str">
        <x:v>士燮</x:v>
      </x:c>
      <x:c r="H349" s="2" t="str">
        <x:v>士燮</x:v>
      </x:c>
      <x:c r="I349" s="2" t="str">
        <x:v>士燮</x:v>
      </x:c>
      <x:c r="J349" s="2" t="str">
        <x:v>x</x:v>
      </x:c>
      <x:c r="K349" s="2" t="str">
        <x:v>x</x:v>
      </x:c>
      <x:c r="L349" s="2" t="str">
        <x:v>士燮</x:v>
      </x:c>
    </x:row>
    <x:row r="350" ht="23" customHeight="1">
      <x:c r="A350" s="12" t="n">
        <x:v>342</x:v>
      </x:c>
      <x:c r="B350" s="2" t="str">
        <x:v>史迹</x:v>
      </x:c>
      <x:c r="C350" s="2" t="str">
        <x:v>廬江(-)</x:v>
      </x:c>
      <x:c r="D350" s="2" t="str">
        <x:v>廬江(-)</x:v>
      </x:c>
      <x:c r="E350" s="2" t="str">
        <x:v>廬江(-)</x:v>
      </x:c>
      <x:c r="F350" s="2" t="str">
        <x:v>廬江(未)</x:v>
      </x:c>
      <x:c r="G350" s="2" t="str">
        <x:v>孫權</x:v>
      </x:c>
      <x:c r="H350" s="2" t="str">
        <x:v>孫權</x:v>
      </x:c>
      <x:c r="I350" s="2" t="str">
        <x:v>孫權</x:v>
      </x:c>
      <x:c r="J350" s="2" t="str">
        <x:v>x</x:v>
      </x:c>
      <x:c r="K350" s="2" t="str">
        <x:v>x</x:v>
      </x:c>
      <x:c r="L350" s="2" t="str">
        <x:v>廬江(未)</x:v>
      </x:c>
    </x:row>
    <x:row r="351" ht="23" customHeight="1">
      <x:c r="A351" s="12" t="n">
        <x:v>343</x:v>
      </x:c>
      <x:c r="B351" s="2" t="str">
        <x:v>士孙瑞</x:v>
      </x:c>
      <x:c r="C351" s="2" t="str">
        <x:v>何進</x:v>
      </x:c>
      <x:c r="D351" s="2" t="str">
        <x:v>董卓</x:v>
      </x:c>
      <x:c r="E351" s="2" t="str">
        <x:v>李傕</x:v>
      </x:c>
      <x:c r="F351" s="2" t="str">
        <x:v>x</x:v>
      </x:c>
      <x:c r="G351" s="2" t="str">
        <x:v>x</x:v>
      </x:c>
      <x:c r="H351" s="2" t="str">
        <x:v>x</x:v>
      </x:c>
      <x:c r="I351" s="2" t="str">
        <x:v>x</x:v>
      </x:c>
      <x:c r="J351" s="2" t="str">
        <x:v>x</x:v>
      </x:c>
      <x:c r="K351" s="2" t="str">
        <x:v>x</x:v>
      </x:c>
      <x:c r="L351" s="2" t="str">
        <x:v>何進</x:v>
      </x:c>
    </x:row>
    <x:row r="352" ht="23" customHeight="1">
      <x:c r="A352" s="12" t="n">
        <x:v>344</x:v>
      </x:c>
      <x:c r="B352" s="2" t="str">
        <x:v>司马懿</x:v>
      </x:c>
      <x:c r="C352" s="2" t="str">
        <x:v>洛陽(-)</x:v>
      </x:c>
      <x:c r="D352" s="2" t="str">
        <x:v>洛陽(-)</x:v>
      </x:c>
      <x:c r="E352" s="2" t="str">
        <x:v>洛陽(-)</x:v>
      </x:c>
      <x:c r="F352" s="2" t="str">
        <x:v>洛陽(未)</x:v>
      </x:c>
      <x:c r="G352" s="2" t="str">
        <x:v>洛陽(未)</x:v>
      </x:c>
      <x:c r="H352" s="2" t="str">
        <x:v>曹操</x:v>
      </x:c>
      <x:c r="I352" s="2" t="str">
        <x:v>曹丕</x:v>
      </x:c>
      <x:c r="J352" s="2" t="str">
        <x:v>曹叡</x:v>
      </x:c>
      <x:c r="K352" s="2" t="str">
        <x:v>司馬懿</x:v>
      </x:c>
      <x:c r="L352" s="2" t="str">
        <x:v>司馬懿</x:v>
      </x:c>
    </x:row>
    <x:row r="353" ht="23" customHeight="1">
      <x:c r="A353" s="12" t="n">
        <x:v>345</x:v>
      </x:c>
      <x:c r="B353" s="2" t="str">
        <x:v>司马炎</x:v>
      </x:c>
      <x:c r="C353" s="2" t="str">
        <x:v>洛陽(-)</x:v>
      </x:c>
      <x:c r="D353" s="2" t="str">
        <x:v>洛陽(-)</x:v>
      </x:c>
      <x:c r="E353" s="2" t="str">
        <x:v>洛陽(-)</x:v>
      </x:c>
      <x:c r="F353" s="2" t="str">
        <x:v>洛陽(-)</x:v>
      </x:c>
      <x:c r="G353" s="2" t="str">
        <x:v>洛陽(-)</x:v>
      </x:c>
      <x:c r="H353" s="2" t="str">
        <x:v>洛陽(-)</x:v>
      </x:c>
      <x:c r="I353" s="2" t="str">
        <x:v>洛陽(-)</x:v>
      </x:c>
      <x:c r="J353" s="2" t="str">
        <x:v>洛陽(-)</x:v>
      </x:c>
      <x:c r="K353" s="2" t="str">
        <x:v>洛陽(-)</x:v>
      </x:c>
      <x:c r="L353" s="2" t="str">
        <x:v>司馬懿</x:v>
      </x:c>
    </x:row>
    <x:row r="354" ht="23" customHeight="1">
      <x:c r="A354" s="12" t="n">
        <x:v>346</x:v>
      </x:c>
      <x:c r="B354" s="2" t="str">
        <x:v>司马师</x:v>
      </x:c>
      <x:c r="C354" s="2" t="str">
        <x:v>洛陽(-)</x:v>
      </x:c>
      <x:c r="D354" s="2" t="str">
        <x:v>洛陽(-)</x:v>
      </x:c>
      <x:c r="E354" s="2" t="str">
        <x:v>洛陽(-)</x:v>
      </x:c>
      <x:c r="F354" s="2" t="str">
        <x:v>洛陽(-)</x:v>
      </x:c>
      <x:c r="G354" s="2" t="str">
        <x:v>洛陽(-)</x:v>
      </x:c>
      <x:c r="H354" s="2" t="str">
        <x:v>洛陽(-)</x:v>
      </x:c>
      <x:c r="I354" s="2" t="str">
        <x:v>洛陽(-)</x:v>
      </x:c>
      <x:c r="J354" s="2" t="str">
        <x:v>曹叡</x:v>
      </x:c>
      <x:c r="K354" s="2" t="str">
        <x:v>司馬懿</x:v>
      </x:c>
      <x:c r="L354" s="2" t="str">
        <x:v>司馬懿</x:v>
      </x:c>
    </x:row>
    <x:row r="355" ht="23" customHeight="1">
      <x:c r="A355" s="12" t="n">
        <x:v>347</x:v>
      </x:c>
      <x:c r="B355" s="2" t="str">
        <x:v>司马芝</x:v>
      </x:c>
      <x:c r="C355" s="2" t="str">
        <x:v>洛陽(-)</x:v>
      </x:c>
      <x:c r="D355" s="2" t="str">
        <x:v>洛陽(-)</x:v>
      </x:c>
      <x:c r="E355" s="2" t="str">
        <x:v>襄陽(未)</x:v>
      </x:c>
      <x:c r="F355" s="2" t="str">
        <x:v>襄陽(未)</x:v>
      </x:c>
      <x:c r="G355" s="2" t="str">
        <x:v>襄陽(未)</x:v>
      </x:c>
      <x:c r="H355" s="2" t="str">
        <x:v>曹操</x:v>
      </x:c>
      <x:c r="I355" s="2" t="str">
        <x:v>曹丕</x:v>
      </x:c>
      <x:c r="J355" s="2" t="str">
        <x:v>曹叡</x:v>
      </x:c>
      <x:c r="K355" s="2" t="str">
        <x:v>x</x:v>
      </x:c>
      <x:c r="L355" s="2" t="str">
        <x:v>司馬懿</x:v>
      </x:c>
    </x:row>
    <x:row r="356" ht="23" customHeight="1">
      <x:c r="A356" s="12" t="n">
        <x:v>348</x:v>
      </x:c>
      <x:c r="B356" s="2" t="str">
        <x:v>司马昭</x:v>
      </x:c>
      <x:c r="C356" s="2" t="str">
        <x:v>洛陽(-)</x:v>
      </x:c>
      <x:c r="D356" s="2" t="str">
        <x:v>洛陽(-)</x:v>
      </x:c>
      <x:c r="E356" s="2" t="str">
        <x:v>洛陽(-)</x:v>
      </x:c>
      <x:c r="F356" s="2" t="str">
        <x:v>洛陽(-)</x:v>
      </x:c>
      <x:c r="G356" s="2" t="str">
        <x:v>洛陽(-)</x:v>
      </x:c>
      <x:c r="H356" s="2" t="str">
        <x:v>洛陽(-)</x:v>
      </x:c>
      <x:c r="I356" s="2" t="str">
        <x:v>洛陽(-)</x:v>
      </x:c>
      <x:c r="J356" s="2" t="str">
        <x:v>曹叡</x:v>
      </x:c>
      <x:c r="K356" s="2" t="str">
        <x:v>司馬懿</x:v>
      </x:c>
      <x:c r="L356" s="2" t="str">
        <x:v>司馬懿</x:v>
      </x:c>
    </x:row>
    <x:row r="357" ht="23" customHeight="1">
      <x:c r="A357" s="12" t="n">
        <x:v>349</x:v>
      </x:c>
      <x:c r="B357" s="2" t="str">
        <x:v>司马伷</x:v>
      </x:c>
      <x:c r="C357" s="2" t="str">
        <x:v>洛陽(-)</x:v>
      </x:c>
      <x:c r="D357" s="2" t="str">
        <x:v>洛陽(-)</x:v>
      </x:c>
      <x:c r="E357" s="2" t="str">
        <x:v>洛陽(-)</x:v>
      </x:c>
      <x:c r="F357" s="2" t="str">
        <x:v>洛陽(-)</x:v>
      </x:c>
      <x:c r="G357" s="2" t="str">
        <x:v>洛陽(-)</x:v>
      </x:c>
      <x:c r="H357" s="2" t="str">
        <x:v>洛陽(-)</x:v>
      </x:c>
      <x:c r="I357" s="2" t="str">
        <x:v>洛陽(-)</x:v>
      </x:c>
      <x:c r="J357" s="2" t="str">
        <x:v>洛陽(-)</x:v>
      </x:c>
      <x:c r="K357" s="2" t="str">
        <x:v>司馬懿</x:v>
      </x:c>
      <x:c r="L357" s="2" t="str">
        <x:v>司馬懿</x:v>
      </x:c>
    </x:row>
    <x:row r="358" ht="23" customHeight="1">
      <x:c r="A358" s="12" t="n">
        <x:v>350</x:v>
      </x:c>
      <x:c r="B358" s="2" t="str">
        <x:v>司马孚</x:v>
      </x:c>
      <x:c r="C358" s="2" t="str">
        <x:v>洛陽(-)</x:v>
      </x:c>
      <x:c r="D358" s="2" t="str">
        <x:v>洛陽(-)</x:v>
      </x:c>
      <x:c r="E358" s="2" t="str">
        <x:v>洛陽(-)</x:v>
      </x:c>
      <x:c r="F358" s="2" t="str">
        <x:v>洛陽(未)</x:v>
      </x:c>
      <x:c r="G358" s="2" t="str">
        <x:v>洛陽(未)</x:v>
      </x:c>
      <x:c r="H358" s="2" t="str">
        <x:v>曹操</x:v>
      </x:c>
      <x:c r="I358" s="2" t="str">
        <x:v>曹丕</x:v>
      </x:c>
      <x:c r="J358" s="2" t="str">
        <x:v>曹叡</x:v>
      </x:c>
      <x:c r="K358" s="2" t="str">
        <x:v>曹芳</x:v>
      </x:c>
      <x:c r="L358" s="2" t="str">
        <x:v>司馬懿</x:v>
      </x:c>
    </x:row>
    <x:row r="359" ht="23" customHeight="1">
      <x:c r="A359" s="12" t="n">
        <x:v>351</x:v>
      </x:c>
      <x:c r="B359" s="2" t="str">
        <x:v>司马望</x:v>
      </x:c>
      <x:c r="C359" s="2" t="str">
        <x:v>洛陽(-)</x:v>
      </x:c>
      <x:c r="D359" s="2" t="str">
        <x:v>洛陽(-)</x:v>
      </x:c>
      <x:c r="E359" s="2" t="str">
        <x:v>洛陽(-)</x:v>
      </x:c>
      <x:c r="F359" s="2" t="str">
        <x:v>洛陽(-)</x:v>
      </x:c>
      <x:c r="G359" s="2" t="str">
        <x:v>洛陽(-)</x:v>
      </x:c>
      <x:c r="H359" s="2" t="str">
        <x:v>洛陽(-)</x:v>
      </x:c>
      <x:c r="I359" s="2" t="str">
        <x:v>曹丕</x:v>
      </x:c>
      <x:c r="J359" s="2" t="str">
        <x:v>曹叡</x:v>
      </x:c>
      <x:c r="K359" s="2" t="str">
        <x:v>司馬懿</x:v>
      </x:c>
      <x:c r="L359" s="2" t="str">
        <x:v>司馬懿</x:v>
      </x:c>
    </x:row>
    <x:row r="360" ht="23" customHeight="1">
      <x:c r="A360" s="12" t="n">
        <x:v>352</x:v>
      </x:c>
      <x:c r="B360" s="2" t="str">
        <x:v>司马攸</x:v>
      </x:c>
      <x:c r="C360" s="2" t="str">
        <x:v>洛陽(-)</x:v>
      </x:c>
      <x:c r="D360" s="2" t="str">
        <x:v>洛陽(-)</x:v>
      </x:c>
      <x:c r="E360" s="2" t="str">
        <x:v>洛陽(-)</x:v>
      </x:c>
      <x:c r="F360" s="2" t="str">
        <x:v>洛陽(-)</x:v>
      </x:c>
      <x:c r="G360" s="2" t="str">
        <x:v>洛陽(-)</x:v>
      </x:c>
      <x:c r="H360" s="2" t="str">
        <x:v>洛陽(-)</x:v>
      </x:c>
      <x:c r="I360" s="2" t="str">
        <x:v>洛陽(-)</x:v>
      </x:c>
      <x:c r="J360" s="2" t="str">
        <x:v>洛陽(-)</x:v>
      </x:c>
      <x:c r="K360" s="2" t="str">
        <x:v>洛陽(-)</x:v>
      </x:c>
      <x:c r="L360" s="2" t="str">
        <x:v>司馬懿</x:v>
      </x:c>
    </x:row>
    <x:row r="361" ht="23" customHeight="1">
      <x:c r="A361" s="12" t="n">
        <x:v>353</x:v>
      </x:c>
      <x:c r="B361" s="2" t="str">
        <x:v>司马朗</x:v>
      </x:c>
      <x:c r="C361" s="2" t="str">
        <x:v>洛陽(-)</x:v>
      </x:c>
      <x:c r="D361" s="2" t="str">
        <x:v>洛陽(未)</x:v>
      </x:c>
      <x:c r="E361" s="2" t="str">
        <x:v>曹操</x:v>
      </x:c>
      <x:c r="F361" s="2" t="str">
        <x:v>曹操</x:v>
      </x:c>
      <x:c r="G361" s="2" t="str">
        <x:v>曹操</x:v>
      </x:c>
      <x:c r="H361" s="2" t="str">
        <x:v>x</x:v>
      </x:c>
      <x:c r="I361" s="2" t="str">
        <x:v>x</x:v>
      </x:c>
      <x:c r="J361" s="2" t="str">
        <x:v>x</x:v>
      </x:c>
      <x:c r="K361" s="2" t="str">
        <x:v>x</x:v>
      </x:c>
      <x:c r="L361" s="2" t="str">
        <x:v>司馬懿</x:v>
      </x:c>
    </x:row>
    <x:row r="362" ht="23" customHeight="1">
      <x:c r="A362" s="12" t="n">
        <x:v>354</x:v>
      </x:c>
      <x:c r="B362" s="2" t="str">
        <x:v>士武</x:v>
      </x:c>
      <x:c r="C362" s="2" t="str">
        <x:v>士燮</x:v>
      </x:c>
      <x:c r="D362" s="2" t="str">
        <x:v>士燮</x:v>
      </x:c>
      <x:c r="E362" s="2" t="str">
        <x:v>x</x:v>
      </x:c>
      <x:c r="F362" s="2" t="str">
        <x:v>x</x:v>
      </x:c>
      <x:c r="G362" s="2" t="str">
        <x:v>x</x:v>
      </x:c>
      <x:c r="H362" s="2" t="str">
        <x:v>x</x:v>
      </x:c>
      <x:c r="I362" s="2" t="str">
        <x:v>x</x:v>
      </x:c>
      <x:c r="J362" s="2" t="str">
        <x:v>x</x:v>
      </x:c>
      <x:c r="K362" s="2" t="str">
        <x:v>x</x:v>
      </x:c>
      <x:c r="L362" s="2" t="str">
        <x:v>士燮</x:v>
      </x:c>
    </x:row>
    <x:row r="363" ht="23" customHeight="1">
      <x:c r="A363" s="12" t="n">
        <x:v>355</x:v>
      </x:c>
      <x:c r="B363" s="2" t="str">
        <x:v>射援</x:v>
      </x:c>
      <x:c r="C363" s="2" t="str">
        <x:v>長安(-)</x:v>
      </x:c>
      <x:c r="D363" s="2" t="str">
        <x:v>長安(未)</x:v>
      </x:c>
      <x:c r="E363" s="2" t="str">
        <x:v>劉璋</x:v>
      </x:c>
      <x:c r="F363" s="2" t="str">
        <x:v>劉璋</x:v>
      </x:c>
      <x:c r="G363" s="2" t="str">
        <x:v>劉璋</x:v>
      </x:c>
      <x:c r="H363" s="2" t="str">
        <x:v>劉備</x:v>
      </x:c>
      <x:c r="I363" s="2" t="str">
        <x:v>劉備</x:v>
      </x:c>
      <x:c r="J363" s="2" t="str">
        <x:v>劉禪</x:v>
      </x:c>
      <x:c r="K363" s="2" t="str">
        <x:v>x</x:v>
      </x:c>
      <x:c r="L363" s="2" t="str">
        <x:v>長安(未)</x:v>
      </x:c>
    </x:row>
    <x:row r="364" ht="23" customHeight="1">
      <x:c r="A364" s="12" t="n">
        <x:v>356</x:v>
      </x:c>
      <x:c r="B364" s="2" t="str">
        <x:v>谢景</x:v>
      </x:c>
      <x:c r="C364" s="2" t="str">
        <x:v>宛(-)</x:v>
      </x:c>
      <x:c r="D364" s="2" t="str">
        <x:v>宛(-)</x:v>
      </x:c>
      <x:c r="E364" s="2" t="str">
        <x:v>宛(-)</x:v>
      </x:c>
      <x:c r="F364" s="2" t="str">
        <x:v>宛(-)</x:v>
      </x:c>
      <x:c r="G364" s="2" t="str">
        <x:v>宛(-)</x:v>
      </x:c>
      <x:c r="H364" s="2" t="str">
        <x:v>宛(-)</x:v>
      </x:c>
      <x:c r="I364" s="2" t="str">
        <x:v>宛(未)</x:v>
      </x:c>
      <x:c r="J364" s="2" t="str">
        <x:v>宛(未)</x:v>
      </x:c>
      <x:c r="K364" s="2" t="str">
        <x:v>x</x:v>
      </x:c>
      <x:c r="L364" s="2" t="str">
        <x:v>宛(未)</x:v>
      </x:c>
    </x:row>
    <x:row r="365" ht="23" customHeight="1">
      <x:c r="A365" s="12" t="n">
        <x:v>357</x:v>
      </x:c>
      <x:c r="B365" s="2" t="str">
        <x:v>射坚</x:v>
      </x:c>
      <x:c r="C365" s="2" t="str">
        <x:v>長安(未)</x:v>
      </x:c>
      <x:c r="D365" s="2" t="str">
        <x:v>長安(未)</x:v>
      </x:c>
      <x:c r="E365" s="2" t="str">
        <x:v>劉璋</x:v>
      </x:c>
      <x:c r="F365" s="2" t="str">
        <x:v>劉璋</x:v>
      </x:c>
      <x:c r="G365" s="2" t="str">
        <x:v>劉璋</x:v>
      </x:c>
      <x:c r="H365" s="2" t="str">
        <x:v>劉備</x:v>
      </x:c>
      <x:c r="I365" s="2" t="str">
        <x:v>劉備</x:v>
      </x:c>
      <x:c r="J365" s="2" t="str">
        <x:v>x</x:v>
      </x:c>
      <x:c r="K365" s="2" t="str">
        <x:v>x</x:v>
      </x:c>
      <x:c r="L365" s="2" t="str">
        <x:v>長安(未)</x:v>
      </x:c>
    </x:row>
    <x:row r="366" ht="23" customHeight="1">
      <x:c r="A366" s="12" t="n">
        <x:v>358</x:v>
      </x:c>
      <x:c r="B366" s="2" t="str">
        <x:v>谢旌</x:v>
      </x:c>
      <x:c r="C366" s="2" t="str">
        <x:v>建業(-)</x:v>
      </x:c>
      <x:c r="D366" s="2" t="str">
        <x:v>建業(-)</x:v>
      </x:c>
      <x:c r="E366" s="2" t="str">
        <x:v>建業(-)</x:v>
      </x:c>
      <x:c r="F366" s="2" t="str">
        <x:v>建業(未)</x:v>
      </x:c>
      <x:c r="G366" s="2" t="str">
        <x:v>建業(未)</x:v>
      </x:c>
      <x:c r="H366" s="2" t="str">
        <x:v>孫權</x:v>
      </x:c>
      <x:c r="I366" s="2" t="str">
        <x:v>孫權</x:v>
      </x:c>
      <x:c r="J366" s="2" t="str">
        <x:v>x</x:v>
      </x:c>
      <x:c r="K366" s="2" t="str">
        <x:v>x</x:v>
      </x:c>
      <x:c r="L366" s="2" t="str">
        <x:v>建業(未)</x:v>
      </x:c>
    </x:row>
    <x:row r="367" ht="23" customHeight="1">
      <x:c r="A367" s="12" t="n">
        <x:v>359</x:v>
      </x:c>
      <x:c r="B367" s="2" t="str">
        <x:v>车胄</x:v>
      </x:c>
      <x:c r="C367" s="2" t="str">
        <x:v>下邳(未)</x:v>
      </x:c>
      <x:c r="D367" s="2" t="str">
        <x:v>下邳(未)</x:v>
      </x:c>
      <x:c r="E367" s="2" t="str">
        <x:v>下邳(未)</x:v>
      </x:c>
      <x:c r="F367" s="2" t="str">
        <x:v>x</x:v>
      </x:c>
      <x:c r="G367" s="2" t="str">
        <x:v>x</x:v>
      </x:c>
      <x:c r="H367" s="2" t="str">
        <x:v>x</x:v>
      </x:c>
      <x:c r="I367" s="2" t="str">
        <x:v>x</x:v>
      </x:c>
      <x:c r="J367" s="2" t="str">
        <x:v>x</x:v>
      </x:c>
      <x:c r="K367" s="2" t="str">
        <x:v>x</x:v>
      </x:c>
      <x:c r="L367" s="2" t="str">
        <x:v>下邳(未)</x:v>
      </x:c>
    </x:row>
    <x:row r="368" ht="23" customHeight="1">
      <x:c r="A368" s="12" t="n">
        <x:v>360</x:v>
      </x:c>
      <x:c r="B368" s="2" t="str">
        <x:v>沙摩柯</x:v>
      </x:c>
      <x:c r="C368" s="2" t="str">
        <x:v>武陵(-)</x:v>
      </x:c>
      <x:c r="D368" s="2" t="str">
        <x:v>武陵(-)</x:v>
      </x:c>
      <x:c r="E368" s="2" t="str">
        <x:v>武陵(-)</x:v>
      </x:c>
      <x:c r="F368" s="2" t="str">
        <x:v>武陵(-)</x:v>
      </x:c>
      <x:c r="G368" s="2" t="str">
        <x:v>武陵(未)</x:v>
      </x:c>
      <x:c r="H368" s="2" t="str">
        <x:v>武陵(未)</x:v>
      </x:c>
      <x:c r="I368" s="2" t="str">
        <x:v>劉備</x:v>
      </x:c>
      <x:c r="J368" s="2" t="str">
        <x:v>x</x:v>
      </x:c>
      <x:c r="K368" s="2" t="str">
        <x:v>x</x:v>
      </x:c>
      <x:c r="L368" s="2" t="str">
        <x:v>武陵(未)</x:v>
      </x:c>
    </x:row>
    <x:row r="369" ht="23" customHeight="1">
      <x:c r="A369" s="12" t="n">
        <x:v>361</x:v>
      </x:c>
      <x:c r="B369" s="2" t="str">
        <x:v>朱异</x:v>
      </x:c>
      <x:c r="C369" s="2" t="str">
        <x:v>吳(-)</x:v>
      </x:c>
      <x:c r="D369" s="2" t="str">
        <x:v>吳(-)</x:v>
      </x:c>
      <x:c r="E369" s="2" t="str">
        <x:v>吳(-)</x:v>
      </x:c>
      <x:c r="F369" s="2" t="str">
        <x:v>吳(-)</x:v>
      </x:c>
      <x:c r="G369" s="2" t="str">
        <x:v>吳(-)</x:v>
      </x:c>
      <x:c r="H369" s="2" t="str">
        <x:v>孫權</x:v>
      </x:c>
      <x:c r="I369" s="2" t="str">
        <x:v>孫權</x:v>
      </x:c>
      <x:c r="J369" s="2" t="str">
        <x:v>孫權</x:v>
      </x:c>
      <x:c r="K369" s="2" t="str">
        <x:v>孫權</x:v>
      </x:c>
      <x:c r="L369" s="2" t="str">
        <x:v>吳(未)</x:v>
      </x:c>
    </x:row>
    <x:row r="370" ht="23" customHeight="1">
      <x:c r="A370" s="12" t="n">
        <x:v>362</x:v>
      </x:c>
      <x:c r="B370" s="2" t="str">
        <x:v>修允</x:v>
      </x:c>
      <x:c r="C370" s="2" t="str">
        <x:v>建安(-)</x:v>
      </x:c>
      <x:c r="D370" s="2" t="str">
        <x:v>建安(-)</x:v>
      </x:c>
      <x:c r="E370" s="2" t="str">
        <x:v>建安(-)</x:v>
      </x:c>
      <x:c r="F370" s="2" t="str">
        <x:v>建安(-)</x:v>
      </x:c>
      <x:c r="G370" s="2" t="str">
        <x:v>建安(-)</x:v>
      </x:c>
      <x:c r="H370" s="2" t="str">
        <x:v>建安(-)</x:v>
      </x:c>
      <x:c r="I370" s="2" t="str">
        <x:v>建安(-)</x:v>
      </x:c>
      <x:c r="J370" s="2" t="str">
        <x:v>建安(-)</x:v>
      </x:c>
      <x:c r="K370" s="2" t="str">
        <x:v>建安(-)</x:v>
      </x:c>
      <x:c r="L370" s="2" t="str">
        <x:v>建安(未)</x:v>
      </x:c>
    </x:row>
    <x:row r="371" ht="23" customHeight="1">
      <x:c r="A371" s="12" t="n">
        <x:v>363</x:v>
      </x:c>
      <x:c r="B371" s="2" t="str">
        <x:v>周胤</x:v>
      </x:c>
      <x:c r="C371" s="2" t="str">
        <x:v>廬江(-)</x:v>
      </x:c>
      <x:c r="D371" s="2" t="str">
        <x:v>廬江(-)</x:v>
      </x:c>
      <x:c r="E371" s="2" t="str">
        <x:v>廬江(-)</x:v>
      </x:c>
      <x:c r="F371" s="2" t="str">
        <x:v>建業(-)</x:v>
      </x:c>
      <x:c r="G371" s="2" t="str">
        <x:v>柴桑(-)</x:v>
      </x:c>
      <x:c r="H371" s="2" t="str">
        <x:v>柴桑(-)</x:v>
      </x:c>
      <x:c r="I371" s="2" t="str">
        <x:v>孫權</x:v>
      </x:c>
      <x:c r="J371" s="2" t="str">
        <x:v>孫權</x:v>
      </x:c>
      <x:c r="K371" s="2" t="str">
        <x:v>x</x:v>
      </x:c>
      <x:c r="L371" s="2" t="str">
        <x:v>孫堅</x:v>
      </x:c>
    </x:row>
    <x:row r="372" ht="23" customHeight="1">
      <x:c r="A372" s="12" t="n">
        <x:v>364</x:v>
      </x:c>
      <x:c r="B372" s="2" t="str">
        <x:v>周昕</x:v>
      </x:c>
      <x:c r="C372" s="2" t="str">
        <x:v>會稽(未)</x:v>
      </x:c>
      <x:c r="D372" s="2" t="str">
        <x:v>建業(野)</x:v>
      </x:c>
      <x:c r="E372" s="2" t="str">
        <x:v>王朗</x:v>
      </x:c>
      <x:c r="F372" s="2" t="str">
        <x:v>x</x:v>
      </x:c>
      <x:c r="G372" s="2" t="str">
        <x:v>x</x:v>
      </x:c>
      <x:c r="H372" s="2" t="str">
        <x:v>x</x:v>
      </x:c>
      <x:c r="I372" s="2" t="str">
        <x:v>x</x:v>
      </x:c>
      <x:c r="J372" s="2" t="str">
        <x:v>x</x:v>
      </x:c>
      <x:c r="K372" s="2" t="str">
        <x:v>x</x:v>
      </x:c>
      <x:c r="L372" s="2" t="str">
        <x:v>王朗</x:v>
      </x:c>
    </x:row>
    <x:row r="373" ht="23" customHeight="1">
      <x:c r="A373" s="12" t="n">
        <x:v>365</x:v>
      </x:c>
      <x:c r="B373" s="2" t="str">
        <x:v>周喁</x:v>
      </x:c>
      <x:c r="C373" s="2" t="str">
        <x:v>會稽(未)</x:v>
      </x:c>
      <x:c r="D373" s="2" t="str">
        <x:v>曹操</x:v>
      </x:c>
      <x:c r="E373" s="2" t="str">
        <x:v>袁紹</x:v>
      </x:c>
      <x:c r="F373" s="2" t="str">
        <x:v>x</x:v>
      </x:c>
      <x:c r="G373" s="2" t="str">
        <x:v>x</x:v>
      </x:c>
      <x:c r="H373" s="2" t="str">
        <x:v>x</x:v>
      </x:c>
      <x:c r="I373" s="2" t="str">
        <x:v>x</x:v>
      </x:c>
      <x:c r="J373" s="2" t="str">
        <x:v>x</x:v>
      </x:c>
      <x:c r="K373" s="2" t="str">
        <x:v>x</x:v>
      </x:c>
      <x:c r="L373" s="2" t="str">
        <x:v>會稽(未)</x:v>
      </x:c>
    </x:row>
    <x:row r="374" ht="23" customHeight="1">
      <x:c r="A374" s="12" t="n">
        <x:v>366</x:v>
      </x:c>
      <x:c r="B374" s="2" t="str">
        <x:v>周群</x:v>
      </x:c>
      <x:c r="C374" s="2" t="str">
        <x:v>梓潼(未)</x:v>
      </x:c>
      <x:c r="D374" s="2" t="str">
        <x:v>梓潼(未)</x:v>
      </x:c>
      <x:c r="E374" s="2" t="str">
        <x:v>梓潼(未)</x:v>
      </x:c>
      <x:c r="F374" s="2" t="str">
        <x:v>劉璋</x:v>
      </x:c>
      <x:c r="G374" s="2" t="str">
        <x:v>劉璋</x:v>
      </x:c>
      <x:c r="H374" s="2" t="str">
        <x:v>劉備</x:v>
      </x:c>
      <x:c r="I374" s="2" t="str">
        <x:v>x</x:v>
      </x:c>
      <x:c r="J374" s="2" t="str">
        <x:v>x</x:v>
      </x:c>
      <x:c r="K374" s="2" t="str">
        <x:v>x</x:v>
      </x:c>
      <x:c r="L374" s="2" t="str">
        <x:v>梓潼(未)</x:v>
      </x:c>
    </x:row>
    <x:row r="375" ht="23" customHeight="1">
      <x:c r="A375" s="12" t="n">
        <x:v>367</x:v>
      </x:c>
      <x:c r="B375" s="2" t="str">
        <x:v>周昂</x:v>
      </x:c>
      <x:c r="C375" s="2" t="str">
        <x:v>會稽(未)</x:v>
      </x:c>
      <x:c r="D375" s="2" t="str">
        <x:v>袁紹</x:v>
      </x:c>
      <x:c r="E375" s="2" t="str">
        <x:v>袁紹</x:v>
      </x:c>
      <x:c r="F375" s="2" t="str">
        <x:v>x</x:v>
      </x:c>
      <x:c r="G375" s="2" t="str">
        <x:v>x</x:v>
      </x:c>
      <x:c r="H375" s="2" t="str">
        <x:v>x</x:v>
      </x:c>
      <x:c r="I375" s="2" t="str">
        <x:v>x</x:v>
      </x:c>
      <x:c r="J375" s="2" t="str">
        <x:v>x</x:v>
      </x:c>
      <x:c r="K375" s="2" t="str">
        <x:v>x</x:v>
      </x:c>
      <x:c r="L375" s="2" t="str">
        <x:v>會稽(未)</x:v>
      </x:c>
    </x:row>
    <x:row r="376" ht="23" customHeight="1">
      <x:c r="A376" s="12" t="n">
        <x:v>368</x:v>
      </x:c>
      <x:c r="B376" s="2" t="str">
        <x:v>周旨</x:v>
      </x:c>
      <x:c r="C376" s="2" t="str">
        <x:v>襄陽(-)</x:v>
      </x:c>
      <x:c r="D376" s="2" t="str">
        <x:v>襄陽(-)</x:v>
      </x:c>
      <x:c r="E376" s="2" t="str">
        <x:v>襄陽(-)</x:v>
      </x:c>
      <x:c r="F376" s="2" t="str">
        <x:v>襄陽(-)</x:v>
      </x:c>
      <x:c r="G376" s="2" t="str">
        <x:v>襄陽(-)</x:v>
      </x:c>
      <x:c r="H376" s="2" t="str">
        <x:v>襄陽(-)</x:v>
      </x:c>
      <x:c r="I376" s="2" t="str">
        <x:v>襄陽(-)</x:v>
      </x:c>
      <x:c r="J376" s="2" t="str">
        <x:v>襄陽(-)</x:v>
      </x:c>
      <x:c r="K376" s="2" t="str">
        <x:v>襄陽(-)</x:v>
      </x:c>
      <x:c r="L376" s="2" t="str">
        <x:v>襄陽(未)</x:v>
      </x:c>
    </x:row>
    <x:row r="377" ht="23" customHeight="1">
      <x:c r="A377" s="12" t="n">
        <x:v>369</x:v>
      </x:c>
      <x:c r="B377" s="2" t="str">
        <x:v>周邵</x:v>
      </x:c>
      <x:c r="C377" s="2" t="str">
        <x:v>廬江(-)</x:v>
      </x:c>
      <x:c r="D377" s="2" t="str">
        <x:v>廬江(-)</x:v>
      </x:c>
      <x:c r="E377" s="2" t="str">
        <x:v>廬江(-)</x:v>
      </x:c>
      <x:c r="F377" s="2" t="str">
        <x:v>廬江(-)</x:v>
      </x:c>
      <x:c r="G377" s="2" t="str">
        <x:v>廬江(-)</x:v>
      </x:c>
      <x:c r="H377" s="2" t="str">
        <x:v>孫權</x:v>
      </x:c>
      <x:c r="I377" s="2" t="str">
        <x:v>孫權</x:v>
      </x:c>
      <x:c r="J377" s="2" t="str">
        <x:v>孫權</x:v>
      </x:c>
      <x:c r="K377" s="2" t="str">
        <x:v>x</x:v>
      </x:c>
      <x:c r="L377" s="2" t="str">
        <x:v>孫堅</x:v>
      </x:c>
    </x:row>
    <x:row r="378" ht="23" customHeight="1">
      <x:c r="A378" s="12" t="n">
        <x:v>370</x:v>
      </x:c>
      <x:c r="B378" s="2" t="str">
        <x:v>周善</x:v>
      </x:c>
      <x:c r="C378" s="2" t="str">
        <x:v>廬江(-)</x:v>
      </x:c>
      <x:c r="D378" s="2" t="str">
        <x:v>廬江(-)</x:v>
      </x:c>
      <x:c r="E378" s="2" t="str">
        <x:v>廬江(-)</x:v>
      </x:c>
      <x:c r="F378" s="2" t="str">
        <x:v>廬江(未)</x:v>
      </x:c>
      <x:c r="G378" s="2" t="str">
        <x:v>孫權</x:v>
      </x:c>
      <x:c r="H378" s="2" t="str">
        <x:v>x</x:v>
      </x:c>
      <x:c r="I378" s="2" t="str">
        <x:v>x</x:v>
      </x:c>
      <x:c r="J378" s="2" t="str">
        <x:v>x</x:v>
      </x:c>
      <x:c r="K378" s="2" t="str">
        <x:v>x</x:v>
      </x:c>
      <x:c r="L378" s="2" t="str">
        <x:v>廬江(未)</x:v>
      </x:c>
    </x:row>
    <x:row r="379" ht="23" customHeight="1">
      <x:c r="A379" s="12" t="n">
        <x:v>371</x:v>
      </x:c>
      <x:c r="B379" s="2" t="str">
        <x:v>周仓</x:v>
      </x:c>
      <x:c r="C379" s="2" t="str">
        <x:v>張角</x:v>
      </x:c>
      <x:c r="D379" s="2" t="str">
        <x:v>汝南(野)</x:v>
      </x:c>
      <x:c r="E379" s="2" t="str">
        <x:v>汝南(野)</x:v>
      </x:c>
      <x:c r="F379" s="2" t="str">
        <x:v>汝南(野)</x:v>
      </x:c>
      <x:c r="G379" s="2" t="str">
        <x:v>劉備</x:v>
      </x:c>
      <x:c r="H379" s="2" t="str">
        <x:v>劉備</x:v>
      </x:c>
      <x:c r="I379" s="2" t="str">
        <x:v>x</x:v>
      </x:c>
      <x:c r="J379" s="2" t="str">
        <x:v>x</x:v>
      </x:c>
      <x:c r="K379" s="2" t="str">
        <x:v>x</x:v>
      </x:c>
      <x:c r="L379" s="2" t="str">
        <x:v>劉備</x:v>
      </x:c>
    </x:row>
    <x:row r="380" ht="23" customHeight="1">
      <x:c r="A380" s="12" t="n">
        <x:v>372</x:v>
      </x:c>
      <x:c r="B380" s="2" t="str">
        <x:v>修则</x:v>
      </x:c>
      <x:c r="C380" s="2" t="str">
        <x:v>建安(-)</x:v>
      </x:c>
      <x:c r="D380" s="2" t="str">
        <x:v>建安(-)</x:v>
      </x:c>
      <x:c r="E380" s="2" t="str">
        <x:v>建安(-)</x:v>
      </x:c>
      <x:c r="F380" s="2" t="str">
        <x:v>建安(-)</x:v>
      </x:c>
      <x:c r="G380" s="2" t="str">
        <x:v>建安(-)</x:v>
      </x:c>
      <x:c r="H380" s="2" t="str">
        <x:v>建安(-)</x:v>
      </x:c>
      <x:c r="I380" s="2" t="str">
        <x:v>建安(-)</x:v>
      </x:c>
      <x:c r="J380" s="2" t="str">
        <x:v>建安(-)</x:v>
      </x:c>
      <x:c r="K380" s="2" t="str">
        <x:v>建安(未)</x:v>
      </x:c>
      <x:c r="L380" s="2" t="str">
        <x:v>建安(未)</x:v>
      </x:c>
    </x:row>
    <x:row r="381" ht="23" customHeight="1">
      <x:c r="A381" s="12" t="n">
        <x:v>373</x:v>
      </x:c>
      <x:c r="B381" s="2" t="str">
        <x:v>周泰</x:v>
      </x:c>
      <x:c r="C381" s="2" t="str">
        <x:v>廬江(-)</x:v>
      </x:c>
      <x:c r="D381" s="2" t="str">
        <x:v>廬江(未)</x:v>
      </x:c>
      <x:c r="E381" s="2" t="str">
        <x:v>廬江(未)</x:v>
      </x:c>
      <x:c r="F381" s="2" t="str">
        <x:v>孫策</x:v>
      </x:c>
      <x:c r="G381" s="2" t="str">
        <x:v>孫權</x:v>
      </x:c>
      <x:c r="H381" s="2" t="str">
        <x:v>孫權</x:v>
      </x:c>
      <x:c r="I381" s="2" t="str">
        <x:v>孫權</x:v>
      </x:c>
      <x:c r="J381" s="2" t="str">
        <x:v>x</x:v>
      </x:c>
      <x:c r="K381" s="2" t="str">
        <x:v>x</x:v>
      </x:c>
      <x:c r="L381" s="2" t="str">
        <x:v>孫堅</x:v>
      </x:c>
    </x:row>
    <x:row r="382" ht="23" customHeight="1">
      <x:c r="A382" s="12" t="n">
        <x:v>374</x:v>
      </x:c>
      <x:c r="B382" s="2" t="str">
        <x:v>州泰</x:v>
      </x:c>
      <x:c r="C382" s="2" t="str">
        <x:v>新野(-)</x:v>
      </x:c>
      <x:c r="D382" s="2" t="str">
        <x:v>新野(-)</x:v>
      </x:c>
      <x:c r="E382" s="2" t="str">
        <x:v>新野(-)</x:v>
      </x:c>
      <x:c r="F382" s="2" t="str">
        <x:v>新野(-)</x:v>
      </x:c>
      <x:c r="G382" s="2" t="str">
        <x:v>新野(-)</x:v>
      </x:c>
      <x:c r="H382" s="2" t="str">
        <x:v>新野(-)</x:v>
      </x:c>
      <x:c r="I382" s="2" t="str">
        <x:v>新野(-)</x:v>
      </x:c>
      <x:c r="J382" s="2" t="str">
        <x:v>曹叡</x:v>
      </x:c>
      <x:c r="K382" s="2" t="str">
        <x:v>曹芳</x:v>
      </x:c>
      <x:c r="L382" s="2" t="str">
        <x:v>司馬懿</x:v>
      </x:c>
    </x:row>
    <x:row r="383" ht="23" customHeight="1">
      <x:c r="A383" s="12" t="n">
        <x:v>375</x:v>
      </x:c>
      <x:c r="B383" s="2" t="str">
        <x:v>周朝</x:v>
      </x:c>
      <x:c r="C383" s="2" t="str">
        <x:v>零陵(野)</x:v>
      </x:c>
      <x:c r="D383" s="2" t="str">
        <x:v>x</x:v>
      </x:c>
      <x:c r="E383" s="2" t="str">
        <x:v>x</x:v>
      </x:c>
      <x:c r="F383" s="2" t="str">
        <x:v>x</x:v>
      </x:c>
      <x:c r="G383" s="2" t="str">
        <x:v>x</x:v>
      </x:c>
      <x:c r="H383" s="2" t="str">
        <x:v>x</x:v>
      </x:c>
      <x:c r="I383" s="2" t="str">
        <x:v>x</x:v>
      </x:c>
      <x:c r="J383" s="2" t="str">
        <x:v>x</x:v>
      </x:c>
      <x:c r="K383" s="2" t="str">
        <x:v>x</x:v>
      </x:c>
      <x:c r="L383" s="2" t="str">
        <x:v>零陵(未)</x:v>
      </x:c>
    </x:row>
    <x:row r="384" ht="23" customHeight="1">
      <x:c r="A384" s="12" t="n">
        <x:v>376</x:v>
      </x:c>
      <x:c r="B384" s="2" t="str">
        <x:v>习珍</x:v>
      </x:c>
      <x:c r="C384" s="2" t="str">
        <x:v>襄陽(-)</x:v>
      </x:c>
      <x:c r="D384" s="2" t="str">
        <x:v>襄陽(-)</x:v>
      </x:c>
      <x:c r="E384" s="2" t="str">
        <x:v>襄陽(-)</x:v>
      </x:c>
      <x:c r="F384" s="2" t="str">
        <x:v>襄陽(-)</x:v>
      </x:c>
      <x:c r="G384" s="2" t="str">
        <x:v>襄陽(-)</x:v>
      </x:c>
      <x:c r="H384" s="2" t="str">
        <x:v>劉備</x:v>
      </x:c>
      <x:c r="I384" s="2" t="str">
        <x:v>劉備</x:v>
      </x:c>
      <x:c r="J384" s="2" t="str">
        <x:v>x</x:v>
      </x:c>
      <x:c r="K384" s="2" t="str">
        <x:v>x</x:v>
      </x:c>
      <x:c r="L384" s="2" t="str">
        <x:v>襄陽(未)</x:v>
      </x:c>
    </x:row>
    <x:row r="385" ht="23" customHeight="1">
      <x:c r="A385" s="12" t="n">
        <x:v>377</x:v>
      </x:c>
      <x:c r="B385" s="2" t="str">
        <x:v>习祯</x:v>
      </x:c>
      <x:c r="C385" s="2" t="str">
        <x:v>襄陽(-)</x:v>
      </x:c>
      <x:c r="D385" s="2" t="str">
        <x:v>襄陽(-)</x:v>
      </x:c>
      <x:c r="E385" s="2" t="str">
        <x:v>襄陽(-)</x:v>
      </x:c>
      <x:c r="F385" s="2" t="str">
        <x:v>襄陽(-)</x:v>
      </x:c>
      <x:c r="G385" s="2" t="str">
        <x:v>襄陽(-)</x:v>
      </x:c>
      <x:c r="H385" s="2" t="str">
        <x:v>劉備</x:v>
      </x:c>
      <x:c r="I385" s="2" t="str">
        <x:v>x</x:v>
      </x:c>
      <x:c r="J385" s="2" t="str">
        <x:v>x</x:v>
      </x:c>
      <x:c r="K385" s="2" t="str">
        <x:v>x</x:v>
      </x:c>
      <x:c r="L385" s="2" t="str">
        <x:v>襄陽(未)</x:v>
      </x:c>
    </x:row>
    <x:row r="386" ht="23" customHeight="1">
      <x:c r="A386" s="12" t="n">
        <x:v>378</x:v>
      </x:c>
      <x:c r="B386" s="2" t="str">
        <x:v>周鲂</x:v>
      </x:c>
      <x:c r="C386" s="2" t="str">
        <x:v>吳(-)</x:v>
      </x:c>
      <x:c r="D386" s="2" t="str">
        <x:v>吳(-)</x:v>
      </x:c>
      <x:c r="E386" s="2" t="str">
        <x:v>吳(-)</x:v>
      </x:c>
      <x:c r="F386" s="2" t="str">
        <x:v>吳(-)</x:v>
      </x:c>
      <x:c r="G386" s="2" t="str">
        <x:v>吳(-)</x:v>
      </x:c>
      <x:c r="H386" s="2" t="str">
        <x:v>吳(未)</x:v>
      </x:c>
      <x:c r="I386" s="2" t="str">
        <x:v>孫權</x:v>
      </x:c>
      <x:c r="J386" s="2" t="str">
        <x:v>孫權</x:v>
      </x:c>
      <x:c r="K386" s="2" t="str">
        <x:v>x</x:v>
      </x:c>
      <x:c r="L386" s="2" t="str">
        <x:v>吳(未)</x:v>
      </x:c>
    </x:row>
    <x:row r="387" ht="23" customHeight="1">
      <x:c r="A387" s="12" t="n">
        <x:v>379</x:v>
      </x:c>
      <x:c r="B387" s="2" t="str">
        <x:v>周瑜</x:v>
      </x:c>
      <x:c r="C387" s="2" t="str">
        <x:v>廬江(-)</x:v>
      </x:c>
      <x:c r="D387" s="2" t="str">
        <x:v>孫堅</x:v>
      </x:c>
      <x:c r="E387" s="2" t="str">
        <x:v>孫策</x:v>
      </x:c>
      <x:c r="F387" s="2" t="str">
        <x:v>孫策</x:v>
      </x:c>
      <x:c r="G387" s="2" t="str">
        <x:v>孫權</x:v>
      </x:c>
      <x:c r="H387" s="2" t="str">
        <x:v>x</x:v>
      </x:c>
      <x:c r="I387" s="2" t="str">
        <x:v>x</x:v>
      </x:c>
      <x:c r="J387" s="2" t="str">
        <x:v>x</x:v>
      </x:c>
      <x:c r="K387" s="2" t="str">
        <x:v>x</x:v>
      </x:c>
      <x:c r="L387" s="2" t="str">
        <x:v>孫堅</x:v>
      </x:c>
    </x:row>
    <x:row r="388" ht="23" customHeight="1">
      <x:c r="A388" s="12" t="n">
        <x:v>380</x:v>
      </x:c>
      <x:c r="B388" s="2" t="str">
        <x:v>朱盖</x:v>
      </x:c>
      <x:c r="C388" s="2" t="str">
        <x:v>許昌(-)</x:v>
      </x:c>
      <x:c r="D388" s="2" t="str">
        <x:v>許昌(-)</x:v>
      </x:c>
      <x:c r="E388" s="2" t="str">
        <x:v>許昌(-)</x:v>
      </x:c>
      <x:c r="F388" s="2" t="str">
        <x:v>許昌(未)</x:v>
      </x:c>
      <x:c r="G388" s="2" t="str">
        <x:v>曹操</x:v>
      </x:c>
      <x:c r="H388" s="2" t="str">
        <x:v>曹操</x:v>
      </x:c>
      <x:c r="I388" s="2" t="str">
        <x:v>曹丕</x:v>
      </x:c>
      <x:c r="J388" s="2" t="str">
        <x:v>x</x:v>
      </x:c>
      <x:c r="K388" s="2" t="str">
        <x:v>x</x:v>
      </x:c>
      <x:c r="L388" s="2" t="str">
        <x:v>許昌(未)</x:v>
      </x:c>
    </x:row>
    <x:row r="389" ht="23" customHeight="1">
      <x:c r="A389" s="12" t="n">
        <x:v>381</x:v>
      </x:c>
      <x:c r="B389" s="2" t="str">
        <x:v>朱桓</x:v>
      </x:c>
      <x:c r="C389" s="2" t="str">
        <x:v>吳(-)</x:v>
      </x:c>
      <x:c r="D389" s="2" t="str">
        <x:v>吳(-)</x:v>
      </x:c>
      <x:c r="E389" s="2" t="str">
        <x:v>吳(-)</x:v>
      </x:c>
      <x:c r="F389" s="2" t="str">
        <x:v>吳(未)</x:v>
      </x:c>
      <x:c r="G389" s="2" t="str">
        <x:v>孫權</x:v>
      </x:c>
      <x:c r="H389" s="2" t="str">
        <x:v>孫權</x:v>
      </x:c>
      <x:c r="I389" s="2" t="str">
        <x:v>孫權</x:v>
      </x:c>
      <x:c r="J389" s="2" t="str">
        <x:v>孫權</x:v>
      </x:c>
      <x:c r="K389" s="2" t="str">
        <x:v>x</x:v>
      </x:c>
      <x:c r="L389" s="2" t="str">
        <x:v>吳(未)</x:v>
      </x:c>
    </x:row>
    <x:row r="390" ht="23" customHeight="1">
      <x:c r="A390" s="12" t="n">
        <x:v>382</x:v>
      </x:c>
      <x:c r="B390" s="2" t="str">
        <x:v>朱据</x:v>
      </x:c>
      <x:c r="C390" s="2" t="str">
        <x:v>吳(-)</x:v>
      </x:c>
      <x:c r="D390" s="2" t="str">
        <x:v>吳(-)</x:v>
      </x:c>
      <x:c r="E390" s="2" t="str">
        <x:v>吳(-)</x:v>
      </x:c>
      <x:c r="F390" s="2" t="str">
        <x:v>吳(-)</x:v>
      </x:c>
      <x:c r="G390" s="2" t="str">
        <x:v>吳(-)</x:v>
      </x:c>
      <x:c r="H390" s="2" t="str">
        <x:v>孫權</x:v>
      </x:c>
      <x:c r="I390" s="2" t="str">
        <x:v>孫權</x:v>
      </x:c>
      <x:c r="J390" s="2" t="str">
        <x:v>孫權</x:v>
      </x:c>
      <x:c r="K390" s="2" t="str">
        <x:v>孫權</x:v>
      </x:c>
      <x:c r="L390" s="2" t="str">
        <x:v>孫堅</x:v>
      </x:c>
    </x:row>
    <x:row r="391" ht="23" customHeight="1">
      <x:c r="A391" s="12" t="n">
        <x:v>383</x:v>
      </x:c>
      <x:c r="B391" s="2" t="str">
        <x:v>祝融</x:v>
      </x:c>
      <x:c r="C391" s="2" t="str">
        <x:v>雲南(-)</x:v>
      </x:c>
      <x:c r="D391" s="2" t="str">
        <x:v>雲南(-)</x:v>
      </x:c>
      <x:c r="E391" s="2" t="str">
        <x:v>雲南(-)</x:v>
      </x:c>
      <x:c r="F391" s="2" t="str">
        <x:v>雲南(-)</x:v>
      </x:c>
      <x:c r="G391" s="2" t="str">
        <x:v>雲南(-)</x:v>
      </x:c>
      <x:c r="H391" s="2" t="str">
        <x:v>孟獲</x:v>
      </x:c>
      <x:c r="I391" s="2" t="str">
        <x:v>孟獲</x:v>
      </x:c>
      <x:c r="J391" s="2" t="str">
        <x:v>劉禪</x:v>
      </x:c>
      <x:c r="K391" s="2" t="str">
        <x:v>x</x:v>
      </x:c>
      <x:c r="L391" s="2" t="str">
        <x:v>孟獲</x:v>
      </x:c>
    </x:row>
    <x:row r="392" ht="23" customHeight="1">
      <x:c r="A392" s="12" t="n">
        <x:v>384</x:v>
      </x:c>
      <x:c r="B392" s="2" t="str">
        <x:v>朱光</x:v>
      </x:c>
      <x:c r="C392" s="2" t="str">
        <x:v>壽春(-)</x:v>
      </x:c>
      <x:c r="D392" s="2" t="str">
        <x:v>壽春(-)</x:v>
      </x:c>
      <x:c r="E392" s="2" t="str">
        <x:v>壽春(-)</x:v>
      </x:c>
      <x:c r="F392" s="2" t="str">
        <x:v>壽春(未)</x:v>
      </x:c>
      <x:c r="G392" s="2" t="str">
        <x:v>曹操</x:v>
      </x:c>
      <x:c r="H392" s="2" t="str">
        <x:v>x</x:v>
      </x:c>
      <x:c r="I392" s="2" t="str">
        <x:v>x</x:v>
      </x:c>
      <x:c r="J392" s="2" t="str">
        <x:v>x</x:v>
      </x:c>
      <x:c r="K392" s="2" t="str">
        <x:v>x</x:v>
      </x:c>
      <x:c r="L392" s="2" t="str">
        <x:v>壽春(未)</x:v>
      </x:c>
    </x:row>
    <x:row r="393" ht="23" customHeight="1">
      <x:c r="A393" s="12" t="n">
        <x:v>385</x:v>
      </x:c>
      <x:c r="B393" s="2" t="str">
        <x:v>朱赞</x:v>
      </x:c>
      <x:c r="C393" s="2" t="str">
        <x:v>許昌(-)</x:v>
      </x:c>
      <x:c r="D393" s="2" t="str">
        <x:v>許昌(-)</x:v>
      </x:c>
      <x:c r="E393" s="2" t="str">
        <x:v>許昌(-)</x:v>
      </x:c>
      <x:c r="F393" s="2" t="str">
        <x:v>許昌(-)</x:v>
      </x:c>
      <x:c r="G393" s="2" t="str">
        <x:v>許昌(-)</x:v>
      </x:c>
      <x:c r="H393" s="2" t="str">
        <x:v>曹操</x:v>
      </x:c>
      <x:c r="I393" s="2" t="str">
        <x:v>曹丕</x:v>
      </x:c>
      <x:c r="J393" s="2" t="str">
        <x:v>曹叡</x:v>
      </x:c>
      <x:c r="K393" s="2" t="str">
        <x:v>x</x:v>
      </x:c>
      <x:c r="L393" s="2" t="str">
        <x:v>許昌(未)</x:v>
      </x:c>
    </x:row>
    <x:row r="394" ht="23" customHeight="1">
      <x:c r="A394" s="12" t="n">
        <x:v>386</x:v>
      </x:c>
      <x:c r="B394" s="2" t="str">
        <x:v>朱铄</x:v>
      </x:c>
      <x:c r="C394" s="2" t="str">
        <x:v>洛陽(-)</x:v>
      </x:c>
      <x:c r="D394" s="2" t="str">
        <x:v>洛陽(-)</x:v>
      </x:c>
      <x:c r="E394" s="2" t="str">
        <x:v>洛陽(-)</x:v>
      </x:c>
      <x:c r="F394" s="2" t="str">
        <x:v>洛陽(未)</x:v>
      </x:c>
      <x:c r="G394" s="2" t="str">
        <x:v>曹操</x:v>
      </x:c>
      <x:c r="H394" s="2" t="str">
        <x:v>曹操</x:v>
      </x:c>
      <x:c r="I394" s="2" t="str">
        <x:v>曹丕</x:v>
      </x:c>
      <x:c r="J394" s="2" t="str">
        <x:v>曹叡</x:v>
      </x:c>
      <x:c r="K394" s="2" t="str">
        <x:v>曹芳</x:v>
      </x:c>
      <x:c r="L394" s="2" t="str">
        <x:v>洛陽(未)</x:v>
      </x:c>
    </x:row>
    <x:row r="395" ht="23" customHeight="1">
      <x:c r="A395" s="12" t="n">
        <x:v>387</x:v>
      </x:c>
      <x:c r="B395" s="2" t="str">
        <x:v>朱俊</x:v>
      </x:c>
      <x:c r="C395" s="2" t="str">
        <x:v>何進</x:v>
      </x:c>
      <x:c r="D395" s="2" t="str">
        <x:v>董卓</x:v>
      </x:c>
      <x:c r="E395" s="2" t="str">
        <x:v>李傕</x:v>
      </x:c>
      <x:c r="F395" s="2" t="str">
        <x:v>x</x:v>
      </x:c>
      <x:c r="G395" s="2" t="str">
        <x:v>x</x:v>
      </x:c>
      <x:c r="H395" s="2" t="str">
        <x:v>x</x:v>
      </x:c>
      <x:c r="I395" s="2" t="str">
        <x:v>x</x:v>
      </x:c>
      <x:c r="J395" s="2" t="str">
        <x:v>x</x:v>
      </x:c>
      <x:c r="K395" s="2" t="str">
        <x:v>x</x:v>
      </x:c>
      <x:c r="L395" s="2" t="str">
        <x:v>何進</x:v>
      </x:c>
    </x:row>
    <x:row r="396" ht="23" customHeight="1">
      <x:c r="A396" s="12" t="n">
        <x:v>388</x:v>
      </x:c>
      <x:c r="B396" s="2" t="str">
        <x:v>朱绩</x:v>
      </x:c>
      <x:c r="C396" s="2" t="str">
        <x:v>建業(-)</x:v>
      </x:c>
      <x:c r="D396" s="2" t="str">
        <x:v>建業(-)</x:v>
      </x:c>
      <x:c r="E396" s="2" t="str">
        <x:v>建業(-)</x:v>
      </x:c>
      <x:c r="F396" s="2" t="str">
        <x:v>吳(-)</x:v>
      </x:c>
      <x:c r="G396" s="2" t="str">
        <x:v>吳(-)</x:v>
      </x:c>
      <x:c r="H396" s="2" t="str">
        <x:v>吳(-)</x:v>
      </x:c>
      <x:c r="I396" s="2" t="str">
        <x:v>孫權</x:v>
      </x:c>
      <x:c r="J396" s="2" t="str">
        <x:v>孫權</x:v>
      </x:c>
      <x:c r="K396" s="2" t="str">
        <x:v>孫權</x:v>
      </x:c>
      <x:c r="L396" s="2" t="str">
        <x:v>孫堅</x:v>
      </x:c>
    </x:row>
    <x:row r="397" ht="23" customHeight="1">
      <x:c r="A397" s="12" t="n">
        <x:v>389</x:v>
      </x:c>
      <x:c r="B397" s="2" t="str">
        <x:v>朱然</x:v>
      </x:c>
      <x:c r="C397" s="2" t="str">
        <x:v>建業(-)</x:v>
      </x:c>
      <x:c r="D397" s="2" t="str">
        <x:v>建業(-)</x:v>
      </x:c>
      <x:c r="E397" s="2" t="str">
        <x:v>建業(-)</x:v>
      </x:c>
      <x:c r="F397" s="2" t="str">
        <x:v>孫策</x:v>
      </x:c>
      <x:c r="G397" s="2" t="str">
        <x:v>孫權</x:v>
      </x:c>
      <x:c r="H397" s="2" t="str">
        <x:v>孫權</x:v>
      </x:c>
      <x:c r="I397" s="2" t="str">
        <x:v>孫權</x:v>
      </x:c>
      <x:c r="J397" s="2" t="str">
        <x:v>孫權</x:v>
      </x:c>
      <x:c r="K397" s="2" t="str">
        <x:v>孫權</x:v>
      </x:c>
      <x:c r="L397" s="2" t="str">
        <x:v>孫堅</x:v>
      </x:c>
    </x:row>
    <x:row r="398" ht="23" customHeight="1">
      <x:c r="A398" s="12" t="n">
        <x:v>390</x:v>
      </x:c>
      <x:c r="B398" s="2" t="str">
        <x:v>朱治</x:v>
      </x:c>
      <x:c r="C398" s="2" t="str">
        <x:v>孫堅</x:v>
      </x:c>
      <x:c r="D398" s="2" t="str">
        <x:v>孫堅</x:v>
      </x:c>
      <x:c r="E398" s="2" t="str">
        <x:v>孫策</x:v>
      </x:c>
      <x:c r="F398" s="2" t="str">
        <x:v>孫策</x:v>
      </x:c>
      <x:c r="G398" s="2" t="str">
        <x:v>孫權</x:v>
      </x:c>
      <x:c r="H398" s="2" t="str">
        <x:v>孫權</x:v>
      </x:c>
      <x:c r="I398" s="2" t="str">
        <x:v>孫權</x:v>
      </x:c>
      <x:c r="J398" s="2" t="str">
        <x:v>x</x:v>
      </x:c>
      <x:c r="K398" s="2" t="str">
        <x:v>x</x:v>
      </x:c>
      <x:c r="L398" s="2" t="str">
        <x:v>孫堅</x:v>
      </x:c>
    </x:row>
    <x:row r="399" ht="23" customHeight="1">
      <x:c r="A399" s="12" t="n">
        <x:v>391</x:v>
      </x:c>
      <x:c r="B399" s="2" t="str">
        <x:v>朱褒</x:v>
      </x:c>
      <x:c r="C399" s="2" t="str">
        <x:v>建寧(-)</x:v>
      </x:c>
      <x:c r="D399" s="2" t="str">
        <x:v>建寧(-)</x:v>
      </x:c>
      <x:c r="E399" s="2" t="str">
        <x:v>建寧(-)</x:v>
      </x:c>
      <x:c r="F399" s="2" t="str">
        <x:v>建寧(-)</x:v>
      </x:c>
      <x:c r="G399" s="2" t="str">
        <x:v>建寧(未)</x:v>
      </x:c>
      <x:c r="H399" s="2" t="str">
        <x:v>建寧(野)</x:v>
      </x:c>
      <x:c r="I399" s="2" t="str">
        <x:v>劉備</x:v>
      </x:c>
      <x:c r="J399" s="2" t="str">
        <x:v>x</x:v>
      </x:c>
      <x:c r="K399" s="2" t="str">
        <x:v>x</x:v>
      </x:c>
      <x:c r="L399" s="2" t="str">
        <x:v>雍闓</x:v>
      </x:c>
    </x:row>
    <x:row r="400" ht="23" customHeight="1">
      <x:c r="A400" s="12" t="n">
        <x:v>392</x:v>
      </x:c>
      <x:c r="B400" s="2" t="str">
        <x:v>朱灵</x:v>
      </x:c>
      <x:c r="C400" s="2" t="str">
        <x:v>平原(-)</x:v>
      </x:c>
      <x:c r="D400" s="2" t="str">
        <x:v>袁紹</x:v>
      </x:c>
      <x:c r="E400" s="2" t="str">
        <x:v>曹操</x:v>
      </x:c>
      <x:c r="F400" s="2" t="str">
        <x:v>曹操</x:v>
      </x:c>
      <x:c r="G400" s="2" t="str">
        <x:v>曹操</x:v>
      </x:c>
      <x:c r="H400" s="2" t="str">
        <x:v>曹操</x:v>
      </x:c>
      <x:c r="I400" s="2" t="str">
        <x:v>曹丕</x:v>
      </x:c>
      <x:c r="J400" s="2" t="str">
        <x:v>曹叡</x:v>
      </x:c>
      <x:c r="K400" s="2" t="str">
        <x:v>x</x:v>
      </x:c>
      <x:c r="L400" s="2" t="str">
        <x:v>平原(未)</x:v>
      </x:c>
    </x:row>
    <x:row r="401" ht="23" customHeight="1">
      <x:c r="A401" s="12" t="n">
        <x:v>393</x:v>
      </x:c>
      <x:c r="B401" s="2" t="str">
        <x:v>荀彧</x:v>
      </x:c>
      <x:c r="C401" s="2" t="str">
        <x:v>許昌(未)</x:v>
      </x:c>
      <x:c r="D401" s="2" t="str">
        <x:v>許昌(未)</x:v>
      </x:c>
      <x:c r="E401" s="2" t="str">
        <x:v>曹操</x:v>
      </x:c>
      <x:c r="F401" s="2" t="str">
        <x:v>曹操</x:v>
      </x:c>
      <x:c r="G401" s="2" t="str">
        <x:v>曹操</x:v>
      </x:c>
      <x:c r="H401" s="2" t="str">
        <x:v>x</x:v>
      </x:c>
      <x:c r="I401" s="2" t="str">
        <x:v>x</x:v>
      </x:c>
      <x:c r="J401" s="2" t="str">
        <x:v>x</x:v>
      </x:c>
      <x:c r="K401" s="2" t="str">
        <x:v>x</x:v>
      </x:c>
      <x:c r="L401" s="2" t="str">
        <x:v>曹操</x:v>
      </x:c>
    </x:row>
    <x:row r="402" ht="23" customHeight="1">
      <x:c r="A402" s="12" t="n">
        <x:v>394</x:v>
      </x:c>
      <x:c r="B402" s="2" t="str">
        <x:v>荀恽</x:v>
      </x:c>
      <x:c r="C402" s="2" t="str">
        <x:v>許昌(-)</x:v>
      </x:c>
      <x:c r="D402" s="2" t="str">
        <x:v>許昌(-)</x:v>
      </x:c>
      <x:c r="E402" s="2" t="str">
        <x:v>許昌(-)</x:v>
      </x:c>
      <x:c r="F402" s="2" t="str">
        <x:v>許昌(-)</x:v>
      </x:c>
      <x:c r="G402" s="2" t="str">
        <x:v>曹操</x:v>
      </x:c>
      <x:c r="H402" s="2" t="str">
        <x:v>曹操</x:v>
      </x:c>
      <x:c r="I402" s="2" t="str">
        <x:v>曹丕</x:v>
      </x:c>
      <x:c r="J402" s="2" t="str">
        <x:v>曹叡</x:v>
      </x:c>
      <x:c r="K402" s="2" t="str">
        <x:v>x</x:v>
      </x:c>
      <x:c r="L402" s="2" t="str">
        <x:v>許昌(未)</x:v>
      </x:c>
    </x:row>
    <x:row r="403" ht="23" customHeight="1">
      <x:c r="A403" s="12" t="n">
        <x:v>395</x:v>
      </x:c>
      <x:c r="B403" s="2" t="str">
        <x:v>淳于琼</x:v>
      </x:c>
      <x:c r="C403" s="2" t="str">
        <x:v>何進</x:v>
      </x:c>
      <x:c r="D403" s="2" t="str">
        <x:v>袁紹</x:v>
      </x:c>
      <x:c r="E403" s="2" t="str">
        <x:v>袁紹</x:v>
      </x:c>
      <x:c r="F403" s="2" t="str">
        <x:v>袁紹</x:v>
      </x:c>
      <x:c r="G403" s="2" t="str">
        <x:v>x</x:v>
      </x:c>
      <x:c r="H403" s="2" t="str">
        <x:v>x</x:v>
      </x:c>
      <x:c r="I403" s="2" t="str">
        <x:v>x</x:v>
      </x:c>
      <x:c r="J403" s="2" t="str">
        <x:v>x</x:v>
      </x:c>
      <x:c r="K403" s="2" t="str">
        <x:v>x</x:v>
      </x:c>
      <x:c r="L403" s="2" t="str">
        <x:v>袁紹</x:v>
      </x:c>
    </x:row>
    <x:row r="404" ht="23" customHeight="1">
      <x:c r="A404" s="12" t="n">
        <x:v>396</x:v>
      </x:c>
      <x:c r="B404" s="2" t="str">
        <x:v>荀𫖮</x:v>
      </x:c>
      <x:c r="C404" s="2" t="str">
        <x:v>許昌(-)</x:v>
      </x:c>
      <x:c r="D404" s="2" t="str">
        <x:v>許昌(-)</x:v>
      </x:c>
      <x:c r="E404" s="2" t="str">
        <x:v>許昌(-)</x:v>
      </x:c>
      <x:c r="F404" s="2" t="str">
        <x:v>許昌(-)</x:v>
      </x:c>
      <x:c r="G404" s="2" t="str">
        <x:v>許昌(-)</x:v>
      </x:c>
      <x:c r="H404" s="2" t="str">
        <x:v>許昌(-)</x:v>
      </x:c>
      <x:c r="I404" s="2" t="str">
        <x:v>許昌(-)</x:v>
      </x:c>
      <x:c r="J404" s="2" t="str">
        <x:v>曹叡</x:v>
      </x:c>
      <x:c r="K404" s="2" t="str">
        <x:v>曹芳</x:v>
      </x:c>
      <x:c r="L404" s="2" t="str">
        <x:v>司馬懿</x:v>
      </x:c>
    </x:row>
    <x:row r="405" ht="23" customHeight="1">
      <x:c r="A405" s="12" t="n">
        <x:v>397</x:v>
      </x:c>
      <x:c r="B405" s="2" t="str">
        <x:v>荀勗</x:v>
      </x:c>
      <x:c r="C405" s="2" t="str">
        <x:v>許昌(-)</x:v>
      </x:c>
      <x:c r="D405" s="2" t="str">
        <x:v>許昌(-)</x:v>
      </x:c>
      <x:c r="E405" s="2" t="str">
        <x:v>許昌(-)</x:v>
      </x:c>
      <x:c r="F405" s="2" t="str">
        <x:v>許昌(-)</x:v>
      </x:c>
      <x:c r="G405" s="2" t="str">
        <x:v>許昌(-)</x:v>
      </x:c>
      <x:c r="H405" s="2" t="str">
        <x:v>許昌(-)</x:v>
      </x:c>
      <x:c r="I405" s="2" t="str">
        <x:v>許昌(-)</x:v>
      </x:c>
      <x:c r="J405" s="2" t="str">
        <x:v>許昌(-)</x:v>
      </x:c>
      <x:c r="K405" s="2" t="str">
        <x:v>曹爽</x:v>
      </x:c>
      <x:c r="L405" s="2" t="str">
        <x:v>司馬懿</x:v>
      </x:c>
    </x:row>
    <x:row r="406" ht="23" customHeight="1">
      <x:c r="A406" s="12" t="n">
        <x:v>398</x:v>
      </x:c>
      <x:c r="B406" s="2" t="str">
        <x:v>荀粲</x:v>
      </x:c>
      <x:c r="C406" s="2" t="str">
        <x:v>許昌(-)</x:v>
      </x:c>
      <x:c r="D406" s="2" t="str">
        <x:v>許昌(-)</x:v>
      </x:c>
      <x:c r="E406" s="2" t="str">
        <x:v>許昌(-)</x:v>
      </x:c>
      <x:c r="F406" s="2" t="str">
        <x:v>許昌(-)</x:v>
      </x:c>
      <x:c r="G406" s="2" t="str">
        <x:v>許昌(-)</x:v>
      </x:c>
      <x:c r="H406" s="2" t="str">
        <x:v>許昌(-)</x:v>
      </x:c>
      <x:c r="I406" s="2" t="str">
        <x:v>許昌(-)</x:v>
      </x:c>
      <x:c r="J406" s="2" t="str">
        <x:v>許昌(-)</x:v>
      </x:c>
      <x:c r="K406" s="2" t="str">
        <x:v>x</x:v>
      </x:c>
      <x:c r="L406" s="2" t="str">
        <x:v>許昌(未)</x:v>
      </x:c>
    </x:row>
    <x:row r="407" ht="23" customHeight="1">
      <x:c r="A407" s="12" t="n">
        <x:v>399</x:v>
      </x:c>
      <x:c r="B407" s="2" t="str">
        <x:v>荀谌</x:v>
      </x:c>
      <x:c r="C407" s="2" t="str">
        <x:v>許昌(未)</x:v>
      </x:c>
      <x:c r="D407" s="2" t="str">
        <x:v>韓馥</x:v>
      </x:c>
      <x:c r="E407" s="2" t="str">
        <x:v>袁紹</x:v>
      </x:c>
      <x:c r="F407" s="2" t="str">
        <x:v>袁紹</x:v>
      </x:c>
      <x:c r="G407" s="2" t="str">
        <x:v>襄平(野)</x:v>
      </x:c>
      <x:c r="H407" s="2" t="str">
        <x:v>x</x:v>
      </x:c>
      <x:c r="I407" s="2" t="str">
        <x:v>x</x:v>
      </x:c>
      <x:c r="J407" s="2" t="str">
        <x:v>x</x:v>
      </x:c>
      <x:c r="K407" s="2" t="str">
        <x:v>x</x:v>
      </x:c>
      <x:c r="L407" s="2" t="str">
        <x:v>韓馥</x:v>
      </x:c>
    </x:row>
    <x:row r="408" ht="23" customHeight="1">
      <x:c r="A408" s="12" t="n">
        <x:v>400</x:v>
      </x:c>
      <x:c r="B408" s="2" t="str">
        <x:v>荀正</x:v>
      </x:c>
      <x:c r="C408" s="2" t="str">
        <x:v>宛(-)</x:v>
      </x:c>
      <x:c r="D408" s="2" t="str">
        <x:v>袁術</x:v>
      </x:c>
      <x:c r="E408" s="2" t="str">
        <x:v>袁術</x:v>
      </x:c>
      <x:c r="F408" s="2" t="str">
        <x:v>x</x:v>
      </x:c>
      <x:c r="G408" s="2" t="str">
        <x:v>x</x:v>
      </x:c>
      <x:c r="H408" s="2" t="str">
        <x:v>x</x:v>
      </x:c>
      <x:c r="I408" s="2" t="str">
        <x:v>x</x:v>
      </x:c>
      <x:c r="J408" s="2" t="str">
        <x:v>x</x:v>
      </x:c>
      <x:c r="K408" s="2" t="str">
        <x:v>x</x:v>
      </x:c>
      <x:c r="L408" s="2" t="str">
        <x:v>袁術</x:v>
      </x:c>
    </x:row>
    <x:row r="409" ht="23" customHeight="1">
      <x:c r="A409" s="12" t="n">
        <x:v>401</x:v>
      </x:c>
      <x:c r="B409" s="2" t="str">
        <x:v>荀爽</x:v>
      </x:c>
      <x:c r="C409" s="2" t="str">
        <x:v>何進</x:v>
      </x:c>
      <x:c r="D409" s="2" t="str">
        <x:v>董卓</x:v>
      </x:c>
      <x:c r="E409" s="2" t="str">
        <x:v>x</x:v>
      </x:c>
      <x:c r="F409" s="2" t="str">
        <x:v>x</x:v>
      </x:c>
      <x:c r="G409" s="2" t="str">
        <x:v>x</x:v>
      </x:c>
      <x:c r="H409" s="2" t="str">
        <x:v>x</x:v>
      </x:c>
      <x:c r="I409" s="2" t="str">
        <x:v>x</x:v>
      </x:c>
      <x:c r="J409" s="2" t="str">
        <x:v>x</x:v>
      </x:c>
      <x:c r="K409" s="2" t="str">
        <x:v>x</x:v>
      </x:c>
      <x:c r="L409" s="2" t="str">
        <x:v>何進</x:v>
      </x:c>
    </x:row>
    <x:row r="410" ht="23" customHeight="1">
      <x:c r="A410" s="12" t="n">
        <x:v>402</x:v>
      </x:c>
      <x:c r="B410" s="2" t="str">
        <x:v>荀攸</x:v>
      </x:c>
      <x:c r="C410" s="2" t="str">
        <x:v>何進</x:v>
      </x:c>
      <x:c r="D410" s="2" t="str">
        <x:v>董卓</x:v>
      </x:c>
      <x:c r="E410" s="2" t="str">
        <x:v>曹操</x:v>
      </x:c>
      <x:c r="F410" s="2" t="str">
        <x:v>曹操</x:v>
      </x:c>
      <x:c r="G410" s="2" t="str">
        <x:v>曹操</x:v>
      </x:c>
      <x:c r="H410" s="2" t="str">
        <x:v>x</x:v>
      </x:c>
      <x:c r="I410" s="2" t="str">
        <x:v>x</x:v>
      </x:c>
      <x:c r="J410" s="2" t="str">
        <x:v>x</x:v>
      </x:c>
      <x:c r="K410" s="2" t="str">
        <x:v>x</x:v>
      </x:c>
      <x:c r="L410" s="2" t="str">
        <x:v>曹操</x:v>
      </x:c>
    </x:row>
    <x:row r="411" ht="23" customHeight="1">
      <x:c r="A411" s="12" t="n">
        <x:v>403</x:v>
      </x:c>
      <x:c r="B411" s="2" t="str">
        <x:v>焦彝</x:v>
      </x:c>
      <x:c r="C411" s="2" t="str">
        <x:v>壽春(-)</x:v>
      </x:c>
      <x:c r="D411" s="2" t="str">
        <x:v>壽春(-)</x:v>
      </x:c>
      <x:c r="E411" s="2" t="str">
        <x:v>壽春(-)</x:v>
      </x:c>
      <x:c r="F411" s="2" t="str">
        <x:v>壽春(-)</x:v>
      </x:c>
      <x:c r="G411" s="2" t="str">
        <x:v>壽春(-)</x:v>
      </x:c>
      <x:c r="H411" s="2" t="str">
        <x:v>壽春(-)</x:v>
      </x:c>
      <x:c r="I411" s="2" t="str">
        <x:v>壽春(-)</x:v>
      </x:c>
      <x:c r="J411" s="2" t="str">
        <x:v>壽春(-)</x:v>
      </x:c>
      <x:c r="K411" s="2" t="str">
        <x:v>曹芳</x:v>
      </x:c>
      <x:c r="L411" s="2" t="str">
        <x:v>毌丘儉</x:v>
      </x:c>
    </x:row>
    <x:row r="412" ht="23" customHeight="1">
      <x:c r="A412" s="12" t="n">
        <x:v>404</x:v>
      </x:c>
      <x:c r="B412" s="2" t="str">
        <x:v>钟毓</x:v>
      </x:c>
      <x:c r="C412" s="2" t="str">
        <x:v>許昌(-)</x:v>
      </x:c>
      <x:c r="D412" s="2" t="str">
        <x:v>許昌(-)</x:v>
      </x:c>
      <x:c r="E412" s="2" t="str">
        <x:v>許昌(-)</x:v>
      </x:c>
      <x:c r="F412" s="2" t="str">
        <x:v>許昌(-)</x:v>
      </x:c>
      <x:c r="G412" s="2" t="str">
        <x:v>許昌(-)</x:v>
      </x:c>
      <x:c r="H412" s="2" t="str">
        <x:v>許昌(-)</x:v>
      </x:c>
      <x:c r="I412" s="2" t="str">
        <x:v>許昌(-)</x:v>
      </x:c>
      <x:c r="J412" s="2" t="str">
        <x:v>許昌(-)</x:v>
      </x:c>
      <x:c r="K412" s="2" t="str">
        <x:v>曹芳</x:v>
      </x:c>
      <x:c r="L412" s="2" t="str">
        <x:v>鍾會</x:v>
      </x:c>
    </x:row>
    <x:row r="413" ht="23" customHeight="1">
      <x:c r="A413" s="12" t="n">
        <x:v>405</x:v>
      </x:c>
      <x:c r="B413" s="2" t="str">
        <x:v>蒋琬</x:v>
      </x:c>
      <x:c r="C413" s="2" t="str">
        <x:v>零陵(-)</x:v>
      </x:c>
      <x:c r="D413" s="2" t="str">
        <x:v>零陵(-)</x:v>
      </x:c>
      <x:c r="E413" s="2" t="str">
        <x:v>零陵(-)</x:v>
      </x:c>
      <x:c r="F413" s="2" t="str">
        <x:v>零陵(-)</x:v>
      </x:c>
      <x:c r="G413" s="2" t="str">
        <x:v>零陵(未)</x:v>
      </x:c>
      <x:c r="H413" s="2" t="str">
        <x:v>劉備</x:v>
      </x:c>
      <x:c r="I413" s="2" t="str">
        <x:v>劉備</x:v>
      </x:c>
      <x:c r="J413" s="2" t="str">
        <x:v>劉禪</x:v>
      </x:c>
      <x:c r="K413" s="2" t="str">
        <x:v>x</x:v>
      </x:c>
      <x:c r="L413" s="2" t="str">
        <x:v>零陵(未)</x:v>
      </x:c>
    </x:row>
    <x:row r="414" ht="23" customHeight="1">
      <x:c r="A414" s="12" t="n">
        <x:v>406</x:v>
      </x:c>
      <x:c r="B414" s="2" t="str">
        <x:v>钟会</x:v>
      </x:c>
      <x:c r="C414" s="2" t="str">
        <x:v>許昌(-)</x:v>
      </x:c>
      <x:c r="D414" s="2" t="str">
        <x:v>許昌(-)</x:v>
      </x:c>
      <x:c r="E414" s="2" t="str">
        <x:v>許昌(-)</x:v>
      </x:c>
      <x:c r="F414" s="2" t="str">
        <x:v>許昌(-)</x:v>
      </x:c>
      <x:c r="G414" s="2" t="str">
        <x:v>許昌(-)</x:v>
      </x:c>
      <x:c r="H414" s="2" t="str">
        <x:v>許昌(-)</x:v>
      </x:c>
      <x:c r="I414" s="2" t="str">
        <x:v>許昌(-)</x:v>
      </x:c>
      <x:c r="J414" s="2" t="str">
        <x:v>許昌(-)</x:v>
      </x:c>
      <x:c r="K414" s="2" t="str">
        <x:v>曹芳</x:v>
      </x:c>
      <x:c r="L414" s="2" t="str">
        <x:v>鍾會</x:v>
      </x:c>
    </x:row>
    <x:row r="415" ht="23" customHeight="1">
      <x:c r="A415" s="12" t="n">
        <x:v>407</x:v>
      </x:c>
      <x:c r="B415" s="2" t="str">
        <x:v>蒋干</x:v>
      </x:c>
      <x:c r="C415" s="2" t="str">
        <x:v>柴桑(-)</x:v>
      </x:c>
      <x:c r="D415" s="2" t="str">
        <x:v>柴桑(-)</x:v>
      </x:c>
      <x:c r="E415" s="2" t="str">
        <x:v>柴桑(未)</x:v>
      </x:c>
      <x:c r="F415" s="2" t="str">
        <x:v>曹操</x:v>
      </x:c>
      <x:c r="G415" s="2" t="str">
        <x:v>曹操</x:v>
      </x:c>
      <x:c r="H415" s="2" t="str">
        <x:v>曹操</x:v>
      </x:c>
      <x:c r="I415" s="2" t="str">
        <x:v>曹丕</x:v>
      </x:c>
      <x:c r="J415" s="2" t="str">
        <x:v>曹叡</x:v>
      </x:c>
      <x:c r="K415" s="2" t="str">
        <x:v>x</x:v>
      </x:c>
      <x:c r="L415" s="2" t="str">
        <x:v>柴桑(未)</x:v>
      </x:c>
    </x:row>
    <x:row r="416" ht="23" customHeight="1">
      <x:c r="A416" s="12" t="n">
        <x:v>408</x:v>
      </x:c>
      <x:c r="B416" s="2" t="str">
        <x:v>上官子修</x:v>
      </x:c>
      <x:c r="C416" s="2" t="str">
        <x:v>天水(-)</x:v>
      </x:c>
      <x:c r="D416" s="2" t="str">
        <x:v>天水(-)</x:v>
      </x:c>
      <x:c r="E416" s="2" t="str">
        <x:v>天水(-)</x:v>
      </x:c>
      <x:c r="F416" s="2" t="str">
        <x:v>天水(-)</x:v>
      </x:c>
      <x:c r="G416" s="2" t="str">
        <x:v>天水(-)</x:v>
      </x:c>
      <x:c r="H416" s="2" t="str">
        <x:v>天水(未)</x:v>
      </x:c>
      <x:c r="I416" s="2" t="str">
        <x:v>天水(未)</x:v>
      </x:c>
      <x:c r="J416" s="2" t="str">
        <x:v>曹叡</x:v>
      </x:c>
      <x:c r="K416" s="2" t="str">
        <x:v>劉禪</x:v>
      </x:c>
      <x:c r="L416" s="2" t="str">
        <x:v>天水(未)</x:v>
      </x:c>
    </x:row>
    <x:row r="417" ht="23" customHeight="1">
      <x:c r="A417" s="12" t="n">
        <x:v>409</x:v>
      </x:c>
      <x:c r="B417" s="2" t="str">
        <x:v>昌豨</x:v>
      </x:c>
      <x:c r="C417" s="2" t="str">
        <x:v>濮陽(未)</x:v>
      </x:c>
      <x:c r="D417" s="2" t="str">
        <x:v>濮陽(未)</x:v>
      </x:c>
      <x:c r="E417" s="2" t="str">
        <x:v>陶謙</x:v>
      </x:c>
      <x:c r="F417" s="2" t="str">
        <x:v>下邳(野)</x:v>
      </x:c>
      <x:c r="G417" s="2" t="str">
        <x:v>x</x:v>
      </x:c>
      <x:c r="H417" s="2" t="str">
        <x:v>x</x:v>
      </x:c>
      <x:c r="I417" s="2" t="str">
        <x:v>x</x:v>
      </x:c>
      <x:c r="J417" s="2" t="str">
        <x:v>x</x:v>
      </x:c>
      <x:c r="K417" s="2" t="str">
        <x:v>x</x:v>
      </x:c>
      <x:c r="L417" s="2" t="str">
        <x:v>陶謙</x:v>
      </x:c>
    </x:row>
    <x:row r="418" ht="23" customHeight="1">
      <x:c r="A418" s="12" t="n">
        <x:v>410</x:v>
      </x:c>
      <x:c r="B418" s="2" t="str">
        <x:v>蒋义渠</x:v>
      </x:c>
      <x:c r="C418" s="2" t="str">
        <x:v>薊(未)</x:v>
      </x:c>
      <x:c r="D418" s="2" t="str">
        <x:v>袁紹</x:v>
      </x:c>
      <x:c r="E418" s="2" t="str">
        <x:v>袁紹</x:v>
      </x:c>
      <x:c r="F418" s="2" t="str">
        <x:v>袁紹</x:v>
      </x:c>
      <x:c r="G418" s="2" t="str">
        <x:v>x</x:v>
      </x:c>
      <x:c r="H418" s="2" t="str">
        <x:v>x</x:v>
      </x:c>
      <x:c r="I418" s="2" t="str">
        <x:v>x</x:v>
      </x:c>
      <x:c r="J418" s="2" t="str">
        <x:v>x</x:v>
      </x:c>
      <x:c r="K418" s="2" t="str">
        <x:v>x</x:v>
      </x:c>
      <x:c r="L418" s="2" t="str">
        <x:v>袁紹</x:v>
      </x:c>
    </x:row>
    <x:row r="419" ht="23" customHeight="1">
      <x:c r="A419" s="12" t="n">
        <x:v>411</x:v>
      </x:c>
      <x:c r="B419" s="2" t="str">
        <x:v>小乔</x:v>
      </x:c>
      <x:c r="C419" s="2" t="str">
        <x:v>廬江(-)</x:v>
      </x:c>
      <x:c r="D419" s="2" t="str">
        <x:v>廬江(-)</x:v>
      </x:c>
      <x:c r="E419" s="2" t="str">
        <x:v>廬江(未)</x:v>
      </x:c>
      <x:c r="F419" s="2" t="str">
        <x:v>孫策</x:v>
      </x:c>
      <x:c r="G419" s="2" t="str">
        <x:v>孫權</x:v>
      </x:c>
      <x:c r="H419" s="2" t="str">
        <x:v>x</x:v>
      </x:c>
      <x:c r="I419" s="2" t="str">
        <x:v>x</x:v>
      </x:c>
      <x:c r="J419" s="2" t="str">
        <x:v>x</x:v>
      </x:c>
      <x:c r="K419" s="2" t="str">
        <x:v>x</x:v>
      </x:c>
      <x:c r="L419" s="2" t="str">
        <x:v>孫堅</x:v>
      </x:c>
    </x:row>
    <x:row r="420" ht="23" customHeight="1">
      <x:c r="A420" s="12" t="n">
        <x:v>412</x:v>
      </x:c>
      <x:c r="B420" s="2" t="str">
        <x:v>蒋钦</x:v>
      </x:c>
      <x:c r="C420" s="2" t="str">
        <x:v>壽春(-)</x:v>
      </x:c>
      <x:c r="D420" s="2" t="str">
        <x:v>壽春(未)</x:v>
      </x:c>
      <x:c r="E420" s="2" t="str">
        <x:v>壽春(未)</x:v>
      </x:c>
      <x:c r="F420" s="2" t="str">
        <x:v>孫策</x:v>
      </x:c>
      <x:c r="G420" s="2" t="str">
        <x:v>孫權</x:v>
      </x:c>
      <x:c r="H420" s="2" t="str">
        <x:v>孫權</x:v>
      </x:c>
      <x:c r="I420" s="2" t="str">
        <x:v>x</x:v>
      </x:c>
      <x:c r="J420" s="2" t="str">
        <x:v>x</x:v>
      </x:c>
      <x:c r="K420" s="2" t="str">
        <x:v>x</x:v>
      </x:c>
      <x:c r="L420" s="2" t="str">
        <x:v>孫堅</x:v>
      </x:c>
    </x:row>
    <x:row r="421" ht="23" customHeight="1">
      <x:c r="A421" s="12" t="n">
        <x:v>413</x:v>
      </x:c>
      <x:c r="B421" s="2" t="str">
        <x:v>蒋显</x:v>
      </x:c>
      <x:c r="C421" s="2" t="str">
        <x:v>零陵(-)</x:v>
      </x:c>
      <x:c r="D421" s="2" t="str">
        <x:v>零陵(-)</x:v>
      </x:c>
      <x:c r="E421" s="2" t="str">
        <x:v>零陵(-)</x:v>
      </x:c>
      <x:c r="F421" s="2" t="str">
        <x:v>零陵(-)</x:v>
      </x:c>
      <x:c r="G421" s="2" t="str">
        <x:v>零陵(-)</x:v>
      </x:c>
      <x:c r="H421" s="2" t="str">
        <x:v>成都(-)</x:v>
      </x:c>
      <x:c r="I421" s="2" t="str">
        <x:v>成都(-)</x:v>
      </x:c>
      <x:c r="J421" s="2" t="str">
        <x:v>成都(-)</x:v>
      </x:c>
      <x:c r="K421" s="2" t="str">
        <x:v>劉禪</x:v>
      </x:c>
      <x:c r="L421" s="2" t="str">
        <x:v>零陵(未)</x:v>
      </x:c>
    </x:row>
    <x:row r="422" ht="23" customHeight="1">
      <x:c r="A422" s="12" t="n">
        <x:v>414</x:v>
      </x:c>
      <x:c r="B422" s="2" t="str">
        <x:v>谯周</x:v>
      </x:c>
      <x:c r="C422" s="2" t="str">
        <x:v>成都(-)</x:v>
      </x:c>
      <x:c r="D422" s="2" t="str">
        <x:v>成都(-)</x:v>
      </x:c>
      <x:c r="E422" s="2" t="str">
        <x:v>成都(-)</x:v>
      </x:c>
      <x:c r="F422" s="2" t="str">
        <x:v>成都(-)</x:v>
      </x:c>
      <x:c r="G422" s="2" t="str">
        <x:v>成都(-)</x:v>
      </x:c>
      <x:c r="H422" s="2" t="str">
        <x:v>成都(-)</x:v>
      </x:c>
      <x:c r="I422" s="2" t="str">
        <x:v>劉備</x:v>
      </x:c>
      <x:c r="J422" s="2" t="str">
        <x:v>劉禪</x:v>
      </x:c>
      <x:c r="K422" s="2" t="str">
        <x:v>劉禪</x:v>
      </x:c>
      <x:c r="L422" s="2" t="str">
        <x:v>成都(未)</x:v>
      </x:c>
    </x:row>
    <x:row r="423" ht="23" customHeight="1">
      <x:c r="A423" s="12" t="n">
        <x:v>415</x:v>
      </x:c>
      <x:c r="B423" s="2" t="str">
        <x:v>蒋舒</x:v>
      </x:c>
      <x:c r="C423" s="2" t="str">
        <x:v>梓潼(-)</x:v>
      </x:c>
      <x:c r="D423" s="2" t="str">
        <x:v>梓潼(-)</x:v>
      </x:c>
      <x:c r="E423" s="2" t="str">
        <x:v>梓潼(-)</x:v>
      </x:c>
      <x:c r="F423" s="2" t="str">
        <x:v>梓潼(-)</x:v>
      </x:c>
      <x:c r="G423" s="2" t="str">
        <x:v>梓潼(-)</x:v>
      </x:c>
      <x:c r="H423" s="2" t="str">
        <x:v>梓潼(-)</x:v>
      </x:c>
      <x:c r="I423" s="2" t="str">
        <x:v>梓潼(-)</x:v>
      </x:c>
      <x:c r="J423" s="2" t="str">
        <x:v>梓潼(-)</x:v>
      </x:c>
      <x:c r="K423" s="2" t="str">
        <x:v>劉禪</x:v>
      </x:c>
      <x:c r="L423" s="2" t="str">
        <x:v>梓潼(未)</x:v>
      </x:c>
    </x:row>
    <x:row r="424" ht="23" customHeight="1">
      <x:c r="A424" s="12" t="n">
        <x:v>416</x:v>
      </x:c>
      <x:c r="B424" s="2" t="str">
        <x:v>焦触</x:v>
      </x:c>
      <x:c r="C424" s="2" t="str">
        <x:v>南皮(未)</x:v>
      </x:c>
      <x:c r="D424" s="2" t="str">
        <x:v>南皮(未)</x:v>
      </x:c>
      <x:c r="E424" s="2" t="str">
        <x:v>袁紹</x:v>
      </x:c>
      <x:c r="F424" s="2" t="str">
        <x:v>袁紹</x:v>
      </x:c>
      <x:c r="G424" s="2" t="str">
        <x:v>曹操</x:v>
      </x:c>
      <x:c r="H424" s="2" t="str">
        <x:v>x</x:v>
      </x:c>
      <x:c r="I424" s="2" t="str">
        <x:v>x</x:v>
      </x:c>
      <x:c r="J424" s="2" t="str">
        <x:v>x</x:v>
      </x:c>
      <x:c r="K424" s="2" t="str">
        <x:v>x</x:v>
      </x:c>
      <x:c r="L424" s="2" t="str">
        <x:v>袁紹</x:v>
      </x:c>
    </x:row>
    <x:row r="425" ht="23" customHeight="1">
      <x:c r="A425" s="12" t="n">
        <x:v>417</x:v>
      </x:c>
      <x:c r="B425" s="2" t="str">
        <x:v>钟进</x:v>
      </x:c>
      <x:c r="C425" s="2" t="str">
        <x:v>許昌(-)</x:v>
      </x:c>
      <x:c r="D425" s="2" t="str">
        <x:v>許昌(-)</x:v>
      </x:c>
      <x:c r="E425" s="2" t="str">
        <x:v>許昌(-)</x:v>
      </x:c>
      <x:c r="F425" s="2" t="str">
        <x:v>許昌(未)</x:v>
      </x:c>
      <x:c r="G425" s="2" t="str">
        <x:v>曹操</x:v>
      </x:c>
      <x:c r="H425" s="2" t="str">
        <x:v>x</x:v>
      </x:c>
      <x:c r="I425" s="2" t="str">
        <x:v>x</x:v>
      </x:c>
      <x:c r="J425" s="2" t="str">
        <x:v>x</x:v>
      </x:c>
      <x:c r="K425" s="2" t="str">
        <x:v>x</x:v>
      </x:c>
      <x:c r="L425" s="2" t="str">
        <x:v>鍾會</x:v>
      </x:c>
    </x:row>
    <x:row r="426" ht="23" customHeight="1">
      <x:c r="A426" s="12" t="n">
        <x:v>418</x:v>
      </x:c>
      <x:c r="B426" s="2" t="str">
        <x:v>蒋济</x:v>
      </x:c>
      <x:c r="C426" s="2" t="str">
        <x:v>廣陵(-)</x:v>
      </x:c>
      <x:c r="D426" s="2" t="str">
        <x:v>廣陵(-)</x:v>
      </x:c>
      <x:c r="E426" s="2" t="str">
        <x:v>廣陵(-)</x:v>
      </x:c>
      <x:c r="F426" s="2" t="str">
        <x:v>廣陵(-)</x:v>
      </x:c>
      <x:c r="G426" s="2" t="str">
        <x:v>曹操</x:v>
      </x:c>
      <x:c r="H426" s="2" t="str">
        <x:v>曹操</x:v>
      </x:c>
      <x:c r="I426" s="2" t="str">
        <x:v>曹丕</x:v>
      </x:c>
      <x:c r="J426" s="2" t="str">
        <x:v>曹叡</x:v>
      </x:c>
      <x:c r="K426" s="2" t="str">
        <x:v>司馬懿</x:v>
      </x:c>
      <x:c r="L426" s="2" t="str">
        <x:v>司馬懿</x:v>
      </x:c>
    </x:row>
    <x:row r="427" ht="23" customHeight="1">
      <x:c r="A427" s="12" t="n">
        <x:v>419</x:v>
      </x:c>
      <x:c r="B427" s="2" t="str">
        <x:v>向宠</x:v>
      </x:c>
      <x:c r="C427" s="2" t="str">
        <x:v>襄陽(-)</x:v>
      </x:c>
      <x:c r="D427" s="2" t="str">
        <x:v>襄陽(-)</x:v>
      </x:c>
      <x:c r="E427" s="2" t="str">
        <x:v>襄陽(-)</x:v>
      </x:c>
      <x:c r="F427" s="2" t="str">
        <x:v>襄陽(-)</x:v>
      </x:c>
      <x:c r="G427" s="2" t="str">
        <x:v>襄陽(-)</x:v>
      </x:c>
      <x:c r="H427" s="2" t="str">
        <x:v>劉備</x:v>
      </x:c>
      <x:c r="I427" s="2" t="str">
        <x:v>劉備</x:v>
      </x:c>
      <x:c r="J427" s="2" t="str">
        <x:v>劉禪</x:v>
      </x:c>
      <x:c r="K427" s="2" t="str">
        <x:v>x</x:v>
      </x:c>
      <x:c r="L427" s="2" t="str">
        <x:v>襄陽(未)</x:v>
      </x:c>
    </x:row>
    <x:row r="428" ht="23" customHeight="1">
      <x:c r="A428" s="12" t="n">
        <x:v>420</x:v>
      </x:c>
      <x:c r="B428" s="2" t="str">
        <x:v>邵悌</x:v>
      </x:c>
      <x:c r="C428" s="2" t="str">
        <x:v>平原(-)</x:v>
      </x:c>
      <x:c r="D428" s="2" t="str">
        <x:v>平原(-)</x:v>
      </x:c>
      <x:c r="E428" s="2" t="str">
        <x:v>平原(-)</x:v>
      </x:c>
      <x:c r="F428" s="2" t="str">
        <x:v>平原(-)</x:v>
      </x:c>
      <x:c r="G428" s="2" t="str">
        <x:v>平原(-)</x:v>
      </x:c>
      <x:c r="H428" s="2" t="str">
        <x:v>平原(-)</x:v>
      </x:c>
      <x:c r="I428" s="2" t="str">
        <x:v>平原(-)</x:v>
      </x:c>
      <x:c r="J428" s="2" t="str">
        <x:v>平原(-)</x:v>
      </x:c>
      <x:c r="K428" s="2" t="str">
        <x:v>平原(未)</x:v>
      </x:c>
      <x:c r="L428" s="2" t="str">
        <x:v>平原(未)</x:v>
      </x:c>
    </x:row>
    <x:row r="429" ht="23" customHeight="1">
      <x:c r="A429" s="12" t="n">
        <x:v>421</x:v>
      </x:c>
      <x:c r="B429" s="2" t="str">
        <x:v>蒋班</x:v>
      </x:c>
      <x:c r="C429" s="2" t="str">
        <x:v>壽春(-)</x:v>
      </x:c>
      <x:c r="D429" s="2" t="str">
        <x:v>壽春(-)</x:v>
      </x:c>
      <x:c r="E429" s="2" t="str">
        <x:v>壽春(-)</x:v>
      </x:c>
      <x:c r="F429" s="2" t="str">
        <x:v>壽春(-)</x:v>
      </x:c>
      <x:c r="G429" s="2" t="str">
        <x:v>壽春(-)</x:v>
      </x:c>
      <x:c r="H429" s="2" t="str">
        <x:v>壽春(-)</x:v>
      </x:c>
      <x:c r="I429" s="2" t="str">
        <x:v>壽春(-)</x:v>
      </x:c>
      <x:c r="J429" s="2" t="str">
        <x:v>壽春(-)</x:v>
      </x:c>
      <x:c r="K429" s="2" t="str">
        <x:v>曹芳</x:v>
      </x:c>
      <x:c r="L429" s="2" t="str">
        <x:v>毌丘儉</x:v>
      </x:c>
    </x:row>
    <x:row r="430" ht="23" customHeight="1">
      <x:c r="A430" s="12" t="n">
        <x:v>422</x:v>
      </x:c>
      <x:c r="B430" s="2" t="str">
        <x:v>蒋斌</x:v>
      </x:c>
      <x:c r="C430" s="2" t="str">
        <x:v>零陵(-)</x:v>
      </x:c>
      <x:c r="D430" s="2" t="str">
        <x:v>零陵(-)</x:v>
      </x:c>
      <x:c r="E430" s="2" t="str">
        <x:v>零陵(-)</x:v>
      </x:c>
      <x:c r="F430" s="2" t="str">
        <x:v>零陵(-)</x:v>
      </x:c>
      <x:c r="G430" s="2" t="str">
        <x:v>零陵(-)</x:v>
      </x:c>
      <x:c r="H430" s="2" t="str">
        <x:v>成都(-)</x:v>
      </x:c>
      <x:c r="I430" s="2" t="str">
        <x:v>成都(-)</x:v>
      </x:c>
      <x:c r="J430" s="2" t="str">
        <x:v>成都(-)</x:v>
      </x:c>
      <x:c r="K430" s="2" t="str">
        <x:v>劉禪</x:v>
      </x:c>
      <x:c r="L430" s="2" t="str">
        <x:v>鍾會</x:v>
      </x:c>
    </x:row>
    <x:row r="431" ht="23" customHeight="1">
      <x:c r="A431" s="12" t="n">
        <x:v>423</x:v>
      </x:c>
      <x:c r="B431" s="2" t="str">
        <x:v>聂友</x:v>
      </x:c>
      <x:c r="C431" s="2" t="str">
        <x:v>柴桑(-)</x:v>
      </x:c>
      <x:c r="D431" s="2" t="str">
        <x:v>柴桑(-)</x:v>
      </x:c>
      <x:c r="E431" s="2" t="str">
        <x:v>柴桑(-)</x:v>
      </x:c>
      <x:c r="F431" s="2" t="str">
        <x:v>柴桑(-)</x:v>
      </x:c>
      <x:c r="G431" s="2" t="str">
        <x:v>柴桑(-)</x:v>
      </x:c>
      <x:c r="H431" s="2" t="str">
        <x:v>柴桑(-)</x:v>
      </x:c>
      <x:c r="I431" s="2" t="str">
        <x:v>孫權</x:v>
      </x:c>
      <x:c r="J431" s="2" t="str">
        <x:v>孫權</x:v>
      </x:c>
      <x:c r="K431" s="2" t="str">
        <x:v>孫權</x:v>
      </x:c>
      <x:c r="L431" s="2" t="str">
        <x:v>柴桑(未)</x:v>
      </x:c>
    </x:row>
    <x:row r="432" ht="23" customHeight="1">
      <x:c r="A432" s="12" t="n">
        <x:v>424</x:v>
      </x:c>
      <x:c r="B432" s="2" t="str">
        <x:v>锺繇</x:v>
      </x:c>
      <x:c r="C432" s="2" t="str">
        <x:v>許昌(未)</x:v>
      </x:c>
      <x:c r="D432" s="2" t="str">
        <x:v>許昌(未)</x:v>
      </x:c>
      <x:c r="E432" s="2" t="str">
        <x:v>李傕</x:v>
      </x:c>
      <x:c r="F432" s="2" t="str">
        <x:v>曹操</x:v>
      </x:c>
      <x:c r="G432" s="2" t="str">
        <x:v>曹操</x:v>
      </x:c>
      <x:c r="H432" s="2" t="str">
        <x:v>曹操</x:v>
      </x:c>
      <x:c r="I432" s="2" t="str">
        <x:v>曹丕</x:v>
      </x:c>
      <x:c r="J432" s="2" t="str">
        <x:v>曹叡</x:v>
      </x:c>
      <x:c r="K432" s="2" t="str">
        <x:v>x</x:v>
      </x:c>
      <x:c r="L432" s="2" t="str">
        <x:v>鍾會</x:v>
      </x:c>
    </x:row>
    <x:row r="433" ht="23" customHeight="1">
      <x:c r="A433" s="12" t="n">
        <x:v>425</x:v>
      </x:c>
      <x:c r="B433" s="2" t="str">
        <x:v>钟离牧</x:v>
      </x:c>
      <x:c r="C433" s="2" t="str">
        <x:v>廬江(-)</x:v>
      </x:c>
      <x:c r="D433" s="2" t="str">
        <x:v>廬江(-)</x:v>
      </x:c>
      <x:c r="E433" s="2" t="str">
        <x:v>廬江(-)</x:v>
      </x:c>
      <x:c r="F433" s="2" t="str">
        <x:v>廬江(-)</x:v>
      </x:c>
      <x:c r="G433" s="2" t="str">
        <x:v>廬江(-)</x:v>
      </x:c>
      <x:c r="H433" s="2" t="str">
        <x:v>廬江(-)</x:v>
      </x:c>
      <x:c r="I433" s="2" t="str">
        <x:v>廬江(-)</x:v>
      </x:c>
      <x:c r="J433" s="2" t="str">
        <x:v>廬江(-)</x:v>
      </x:c>
      <x:c r="K433" s="2" t="str">
        <x:v>孫權</x:v>
      </x:c>
      <x:c r="L433" s="2" t="str">
        <x:v>廬江(未)</x:v>
      </x:c>
    </x:row>
    <x:row r="434" ht="23" customHeight="1">
      <x:c r="A434" s="12" t="n">
        <x:v>426</x:v>
      </x:c>
      <x:c r="B434" s="2" t="str">
        <x:v>常林</x:v>
      </x:c>
      <x:c r="C434" s="2" t="str">
        <x:v>晉陽(未)</x:v>
      </x:c>
      <x:c r="D434" s="2" t="str">
        <x:v>晉陽(未)</x:v>
      </x:c>
      <x:c r="E434" s="2" t="str">
        <x:v>晉陽(未)</x:v>
      </x:c>
      <x:c r="F434" s="2" t="str">
        <x:v>晉陽(未)</x:v>
      </x:c>
      <x:c r="G434" s="2" t="str">
        <x:v>曹操</x:v>
      </x:c>
      <x:c r="H434" s="2" t="str">
        <x:v>曹操</x:v>
      </x:c>
      <x:c r="I434" s="2" t="str">
        <x:v>曹丕</x:v>
      </x:c>
      <x:c r="J434" s="2" t="str">
        <x:v>曹叡</x:v>
      </x:c>
      <x:c r="K434" s="2" t="str">
        <x:v>x</x:v>
      </x:c>
      <x:c r="L434" s="2" t="str">
        <x:v>晉陽(未)</x:v>
      </x:c>
    </x:row>
    <x:row r="435" ht="23" customHeight="1">
      <x:c r="A435" s="12" t="n">
        <x:v>427</x:v>
      </x:c>
      <x:c r="B435" s="2" t="str">
        <x:v>向朗</x:v>
      </x:c>
      <x:c r="C435" s="2" t="str">
        <x:v>襄陽(-)</x:v>
      </x:c>
      <x:c r="D435" s="2" t="str">
        <x:v>襄陽(-)</x:v>
      </x:c>
      <x:c r="E435" s="2" t="str">
        <x:v>襄陽(-)</x:v>
      </x:c>
      <x:c r="F435" s="2" t="str">
        <x:v>劉表</x:v>
      </x:c>
      <x:c r="G435" s="2" t="str">
        <x:v>劉表</x:v>
      </x:c>
      <x:c r="H435" s="2" t="str">
        <x:v>劉備</x:v>
      </x:c>
      <x:c r="I435" s="2" t="str">
        <x:v>劉備</x:v>
      </x:c>
      <x:c r="J435" s="2" t="str">
        <x:v>劉禪</x:v>
      </x:c>
      <x:c r="K435" s="2" t="str">
        <x:v>x</x:v>
      </x:c>
      <x:c r="L435" s="2" t="str">
        <x:v>襄陽(未)</x:v>
      </x:c>
    </x:row>
    <x:row r="436" ht="23" customHeight="1">
      <x:c r="A436" s="12" t="n">
        <x:v>428</x:v>
      </x:c>
      <x:c r="B436" s="2" t="str">
        <x:v>徐荣</x:v>
      </x:c>
      <x:c r="C436" s="2" t="str">
        <x:v>襄平(-)</x:v>
      </x:c>
      <x:c r="D436" s="2" t="str">
        <x:v>董卓</x:v>
      </x:c>
      <x:c r="E436" s="2" t="str">
        <x:v>x</x:v>
      </x:c>
      <x:c r="F436" s="2" t="str">
        <x:v>x</x:v>
      </x:c>
      <x:c r="G436" s="2" t="str">
        <x:v>x</x:v>
      </x:c>
      <x:c r="H436" s="2" t="str">
        <x:v>x</x:v>
      </x:c>
      <x:c r="I436" s="2" t="str">
        <x:v>x</x:v>
      </x:c>
      <x:c r="J436" s="2" t="str">
        <x:v>x</x:v>
      </x:c>
      <x:c r="K436" s="2" t="str">
        <x:v>x</x:v>
      </x:c>
      <x:c r="L436" s="2" t="str">
        <x:v>董卓</x:v>
      </x:c>
    </x:row>
    <x:row r="437" ht="23" customHeight="1">
      <x:c r="A437" s="12" t="n">
        <x:v>429</x:v>
      </x:c>
      <x:c r="B437" s="2" t="str">
        <x:v>徐奕</x:v>
      </x:c>
      <x:c r="C437" s="2" t="str">
        <x:v>下邳(-)</x:v>
      </x:c>
      <x:c r="D437" s="2" t="str">
        <x:v>下邳(-)</x:v>
      </x:c>
      <x:c r="E437" s="2" t="str">
        <x:v>建業(未)</x:v>
      </x:c>
      <x:c r="F437" s="2" t="str">
        <x:v>曹操</x:v>
      </x:c>
      <x:c r="G437" s="2" t="str">
        <x:v>曹操</x:v>
      </x:c>
      <x:c r="H437" s="2" t="str">
        <x:v>曹操</x:v>
      </x:c>
      <x:c r="I437" s="2" t="str">
        <x:v>x</x:v>
      </x:c>
      <x:c r="J437" s="2" t="str">
        <x:v>x</x:v>
      </x:c>
      <x:c r="K437" s="2" t="str">
        <x:v>x</x:v>
      </x:c>
      <x:c r="L437" s="2" t="str">
        <x:v>下邳(未)</x:v>
      </x:c>
    </x:row>
    <x:row r="438" ht="23" customHeight="1">
      <x:c r="A438" s="12" t="n">
        <x:v>430</x:v>
      </x:c>
      <x:c r="B438" s="2" t="str">
        <x:v>诸葛恪</x:v>
      </x:c>
      <x:c r="C438" s="2" t="str">
        <x:v>下邳(-)</x:v>
      </x:c>
      <x:c r="D438" s="2" t="str">
        <x:v>下邳(-)</x:v>
      </x:c>
      <x:c r="E438" s="2" t="str">
        <x:v>吳(-)</x:v>
      </x:c>
      <x:c r="F438" s="2" t="str">
        <x:v>吳(-)</x:v>
      </x:c>
      <x:c r="G438" s="2" t="str">
        <x:v>吳(-)</x:v>
      </x:c>
      <x:c r="H438" s="2" t="str">
        <x:v>孫權</x:v>
      </x:c>
      <x:c r="I438" s="2" t="str">
        <x:v>孫權</x:v>
      </x:c>
      <x:c r="J438" s="2" t="str">
        <x:v>孫權</x:v>
      </x:c>
      <x:c r="K438" s="2" t="str">
        <x:v>孫權</x:v>
      </x:c>
      <x:c r="L438" s="2" t="str">
        <x:v>孫堅</x:v>
      </x:c>
    </x:row>
    <x:row r="439" ht="23" customHeight="1">
      <x:c r="A439" s="12" t="n">
        <x:v>431</x:v>
      </x:c>
      <x:c r="B439" s="2" t="str">
        <x:v>诸葛乔</x:v>
      </x:c>
      <x:c r="C439" s="2" t="str">
        <x:v>下邳(-)</x:v>
      </x:c>
      <x:c r="D439" s="2" t="str">
        <x:v>下邳(-)</x:v>
      </x:c>
      <x:c r="E439" s="2" t="str">
        <x:v>吳(-)</x:v>
      </x:c>
      <x:c r="F439" s="2" t="str">
        <x:v>吳(-)</x:v>
      </x:c>
      <x:c r="G439" s="2" t="str">
        <x:v>吳(-)</x:v>
      </x:c>
      <x:c r="H439" s="2" t="str">
        <x:v>成都(-)</x:v>
      </x:c>
      <x:c r="I439" s="2" t="str">
        <x:v>劉備</x:v>
      </x:c>
      <x:c r="J439" s="2" t="str">
        <x:v>劉禪</x:v>
      </x:c>
      <x:c r="K439" s="2" t="str">
        <x:v>x</x:v>
      </x:c>
      <x:c r="L439" s="2" t="str">
        <x:v>劉備</x:v>
      </x:c>
    </x:row>
    <x:row r="440" ht="23" customHeight="1">
      <x:c r="A440" s="12" t="n">
        <x:v>432</x:v>
      </x:c>
      <x:c r="B440" s="2" t="str">
        <x:v>诸葛瑾</x:v>
      </x:c>
      <x:c r="C440" s="2" t="str">
        <x:v>下邳(-)</x:v>
      </x:c>
      <x:c r="D440" s="2" t="str">
        <x:v>下邳(-)</x:v>
      </x:c>
      <x:c r="E440" s="2" t="str">
        <x:v>吳(-)</x:v>
      </x:c>
      <x:c r="F440" s="2" t="str">
        <x:v>吳(未)</x:v>
      </x:c>
      <x:c r="G440" s="2" t="str">
        <x:v>孫權</x:v>
      </x:c>
      <x:c r="H440" s="2" t="str">
        <x:v>孫權</x:v>
      </x:c>
      <x:c r="I440" s="2" t="str">
        <x:v>孫權</x:v>
      </x:c>
      <x:c r="J440" s="2" t="str">
        <x:v>孫權</x:v>
      </x:c>
      <x:c r="K440" s="2" t="str">
        <x:v>x</x:v>
      </x:c>
      <x:c r="L440" s="2" t="str">
        <x:v>孫堅</x:v>
      </x:c>
    </x:row>
    <x:row r="441" ht="23" customHeight="1">
      <x:c r="A441" s="12" t="n">
        <x:v>433</x:v>
      </x:c>
      <x:c r="B441" s="2" t="str">
        <x:v>诸葛均</x:v>
      </x:c>
      <x:c r="C441" s="2" t="str">
        <x:v>下邳(-)</x:v>
      </x:c>
      <x:c r="D441" s="2" t="str">
        <x:v>下邳(-)</x:v>
      </x:c>
      <x:c r="E441" s="2" t="str">
        <x:v>柴桑(-)</x:v>
      </x:c>
      <x:c r="F441" s="2" t="str">
        <x:v>襄陽(-)</x:v>
      </x:c>
      <x:c r="G441" s="2" t="str">
        <x:v>襄陽(-)</x:v>
      </x:c>
      <x:c r="H441" s="2" t="str">
        <x:v>劉備</x:v>
      </x:c>
      <x:c r="I441" s="2" t="str">
        <x:v>劉備</x:v>
      </x:c>
      <x:c r="J441" s="2" t="str">
        <x:v>劉禪</x:v>
      </x:c>
      <x:c r="K441" s="2" t="str">
        <x:v>劉禪</x:v>
      </x:c>
      <x:c r="L441" s="2" t="str">
        <x:v>劉備</x:v>
      </x:c>
    </x:row>
    <x:row r="442" ht="23" customHeight="1">
      <x:c r="A442" s="12" t="n">
        <x:v>434</x:v>
      </x:c>
      <x:c r="B442" s="2" t="str">
        <x:v>诸葛绪</x:v>
      </x:c>
      <x:c r="C442" s="2" t="str">
        <x:v>下邳(-)</x:v>
      </x:c>
      <x:c r="D442" s="2" t="str">
        <x:v>下邳(-)</x:v>
      </x:c>
      <x:c r="E442" s="2" t="str">
        <x:v>下邳(-)</x:v>
      </x:c>
      <x:c r="F442" s="2" t="str">
        <x:v>下邳(-)</x:v>
      </x:c>
      <x:c r="G442" s="2" t="str">
        <x:v>下邳(-)</x:v>
      </x:c>
      <x:c r="H442" s="2" t="str">
        <x:v>下邳(-)</x:v>
      </x:c>
      <x:c r="I442" s="2" t="str">
        <x:v>下邳(-)</x:v>
      </x:c>
      <x:c r="J442" s="2" t="str">
        <x:v>下邳(-)</x:v>
      </x:c>
      <x:c r="K442" s="2" t="str">
        <x:v>曹芳</x:v>
      </x:c>
      <x:c r="L442" s="2" t="str">
        <x:v>鍾會</x:v>
      </x:c>
    </x:row>
    <x:row r="443" ht="23" customHeight="1">
      <x:c r="A443" s="12" t="n">
        <x:v>435</x:v>
      </x:c>
      <x:c r="B443" s="2" t="str">
        <x:v>诸葛尚</x:v>
      </x:c>
      <x:c r="C443" s="2" t="str">
        <x:v>下邳(-)</x:v>
      </x:c>
      <x:c r="D443" s="2" t="str">
        <x:v>下邳(-)</x:v>
      </x:c>
      <x:c r="E443" s="2" t="str">
        <x:v>柴桑(-)</x:v>
      </x:c>
      <x:c r="F443" s="2" t="str">
        <x:v>襄陽(-)</x:v>
      </x:c>
      <x:c r="G443" s="2" t="str">
        <x:v>襄陽(-)</x:v>
      </x:c>
      <x:c r="H443" s="2" t="str">
        <x:v>成都(-)</x:v>
      </x:c>
      <x:c r="I443" s="2" t="str">
        <x:v>成都(-)</x:v>
      </x:c>
      <x:c r="J443" s="2" t="str">
        <x:v>成都(-)</x:v>
      </x:c>
      <x:c r="K443" s="2" t="str">
        <x:v>成都(-)</x:v>
      </x:c>
      <x:c r="L443" s="2" t="str">
        <x:v>劉備</x:v>
      </x:c>
    </x:row>
    <x:row r="444" ht="23" customHeight="1">
      <x:c r="A444" s="12" t="n">
        <x:v>436</x:v>
      </x:c>
      <x:c r="B444" s="2" t="str">
        <x:v>诸葛靓</x:v>
      </x:c>
      <x:c r="C444" s="2" t="str">
        <x:v>下邳(-)</x:v>
      </x:c>
      <x:c r="D444" s="2" t="str">
        <x:v>下邳(-)</x:v>
      </x:c>
      <x:c r="E444" s="2" t="str">
        <x:v>下邳(-)</x:v>
      </x:c>
      <x:c r="F444" s="2" t="str">
        <x:v>下邳(-)</x:v>
      </x:c>
      <x:c r="G444" s="2" t="str">
        <x:v>下邳(-)</x:v>
      </x:c>
      <x:c r="H444" s="2" t="str">
        <x:v>下邳(-)</x:v>
      </x:c>
      <x:c r="I444" s="2" t="str">
        <x:v>下邳(-)</x:v>
      </x:c>
      <x:c r="J444" s="2" t="str">
        <x:v>下邳(-)</x:v>
      </x:c>
      <x:c r="K444" s="2" t="str">
        <x:v>下邳(-)</x:v>
      </x:c>
      <x:c r="L444" s="2" t="str">
        <x:v>毌丘儉</x:v>
      </x:c>
    </x:row>
    <x:row r="445" ht="23" customHeight="1">
      <x:c r="A445" s="12" t="n">
        <x:v>437</x:v>
      </x:c>
      <x:c r="B445" s="2" t="str">
        <x:v>诸葛瞻</x:v>
      </x:c>
      <x:c r="C445" s="2" t="str">
        <x:v>下邳(-)</x:v>
      </x:c>
      <x:c r="D445" s="2" t="str">
        <x:v>下邳(-)</x:v>
      </x:c>
      <x:c r="E445" s="2" t="str">
        <x:v>柴桑(-)</x:v>
      </x:c>
      <x:c r="F445" s="2" t="str">
        <x:v>襄陽(-)</x:v>
      </x:c>
      <x:c r="G445" s="2" t="str">
        <x:v>襄陽(-)</x:v>
      </x:c>
      <x:c r="H445" s="2" t="str">
        <x:v>成都(-)</x:v>
      </x:c>
      <x:c r="I445" s="2" t="str">
        <x:v>成都(-)</x:v>
      </x:c>
      <x:c r="J445" s="2" t="str">
        <x:v>成都(-)</x:v>
      </x:c>
      <x:c r="K445" s="2" t="str">
        <x:v>劉禪</x:v>
      </x:c>
      <x:c r="L445" s="2" t="str">
        <x:v>劉備</x:v>
      </x:c>
    </x:row>
    <x:row r="446" ht="23" customHeight="1">
      <x:c r="A446" s="12" t="n">
        <x:v>438</x:v>
      </x:c>
      <x:c r="B446" s="2" t="str">
        <x:v>诸葛诞</x:v>
      </x:c>
      <x:c r="C446" s="2" t="str">
        <x:v>下邳(-)</x:v>
      </x:c>
      <x:c r="D446" s="2" t="str">
        <x:v>下邳(-)</x:v>
      </x:c>
      <x:c r="E446" s="2" t="str">
        <x:v>下邳(-)</x:v>
      </x:c>
      <x:c r="F446" s="2" t="str">
        <x:v>下邳(-)</x:v>
      </x:c>
      <x:c r="G446" s="2" t="str">
        <x:v>下邳(-)</x:v>
      </x:c>
      <x:c r="H446" s="2" t="str">
        <x:v>下邳(-)</x:v>
      </x:c>
      <x:c r="I446" s="2" t="str">
        <x:v>下邳(-)</x:v>
      </x:c>
      <x:c r="J446" s="2" t="str">
        <x:v>曹叡</x:v>
      </x:c>
      <x:c r="K446" s="2" t="str">
        <x:v>曹芳</x:v>
      </x:c>
      <x:c r="L446" s="2" t="str">
        <x:v>毌丘儉</x:v>
      </x:c>
    </x:row>
    <x:row r="447" ht="23" customHeight="1">
      <x:c r="A447" s="12" t="n">
        <x:v>439</x:v>
      </x:c>
      <x:c r="B447" s="2" t="str">
        <x:v>诸葛融</x:v>
      </x:c>
      <x:c r="C447" s="2" t="str">
        <x:v>下邳(-)</x:v>
      </x:c>
      <x:c r="D447" s="2" t="str">
        <x:v>下邳(-)</x:v>
      </x:c>
      <x:c r="E447" s="2" t="str">
        <x:v>吳(-)</x:v>
      </x:c>
      <x:c r="F447" s="2" t="str">
        <x:v>吳(-)</x:v>
      </x:c>
      <x:c r="G447" s="2" t="str">
        <x:v>吳(-)</x:v>
      </x:c>
      <x:c r="H447" s="2" t="str">
        <x:v>吳(-)</x:v>
      </x:c>
      <x:c r="I447" s="2" t="str">
        <x:v>孫權</x:v>
      </x:c>
      <x:c r="J447" s="2" t="str">
        <x:v>孫權</x:v>
      </x:c>
      <x:c r="K447" s="2" t="str">
        <x:v>孫權</x:v>
      </x:c>
      <x:c r="L447" s="2" t="str">
        <x:v>孫堅</x:v>
      </x:c>
    </x:row>
    <x:row r="448" ht="23" customHeight="1">
      <x:c r="A448" s="12" t="n">
        <x:v>440</x:v>
      </x:c>
      <x:c r="B448" s="2" t="str">
        <x:v>诸葛亮</x:v>
      </x:c>
      <x:c r="C448" s="2" t="str">
        <x:v>下邳(-)</x:v>
      </x:c>
      <x:c r="D448" s="2" t="str">
        <x:v>下邳(-)</x:v>
      </x:c>
      <x:c r="E448" s="2" t="str">
        <x:v>柴桑(-)</x:v>
      </x:c>
      <x:c r="F448" s="2" t="str">
        <x:v>襄陽(-)</x:v>
      </x:c>
      <x:c r="G448" s="2" t="str">
        <x:v>襄陽(-)</x:v>
      </x:c>
      <x:c r="H448" s="2" t="str">
        <x:v>劉備</x:v>
      </x:c>
      <x:c r="I448" s="2" t="str">
        <x:v>劉備</x:v>
      </x:c>
      <x:c r="J448" s="2" t="str">
        <x:v>劉禪</x:v>
      </x:c>
      <x:c r="K448" s="2" t="str">
        <x:v>x</x:v>
      </x:c>
      <x:c r="L448" s="2" t="str">
        <x:v>劉備</x:v>
      </x:c>
    </x:row>
    <x:row r="449" ht="23" customHeight="1">
      <x:c r="A449" s="12" t="n">
        <x:v>441</x:v>
      </x:c>
      <x:c r="B449" s="2" t="str">
        <x:v>徐璆</x:v>
      </x:c>
      <x:c r="C449" s="2" t="str">
        <x:v>何進</x:v>
      </x:c>
      <x:c r="D449" s="2" t="str">
        <x:v>孔伷</x:v>
      </x:c>
      <x:c r="E449" s="2" t="str">
        <x:v>汝南(野)</x:v>
      </x:c>
      <x:c r="F449" s="2" t="str">
        <x:v>曹操</x:v>
      </x:c>
      <x:c r="G449" s="2" t="str">
        <x:v>曹操</x:v>
      </x:c>
      <x:c r="H449" s="2" t="str">
        <x:v>x</x:v>
      </x:c>
      <x:c r="I449" s="2" t="str">
        <x:v>x</x:v>
      </x:c>
      <x:c r="J449" s="2" t="str">
        <x:v>x</x:v>
      </x:c>
      <x:c r="K449" s="2" t="str">
        <x:v>x</x:v>
      </x:c>
      <x:c r="L449" s="2" t="str">
        <x:v>孔伷</x:v>
      </x:c>
    </x:row>
    <x:row r="450" ht="23" customHeight="1">
      <x:c r="A450" s="12" t="n">
        <x:v>442</x:v>
      </x:c>
      <x:c r="B450" s="2" t="str">
        <x:v>徐晃</x:v>
      </x:c>
      <x:c r="C450" s="2" t="str">
        <x:v>洛陽(-)</x:v>
      </x:c>
      <x:c r="D450" s="2" t="str">
        <x:v>洛陽(未)</x:v>
      </x:c>
      <x:c r="E450" s="2" t="str">
        <x:v>洛陽(未)</x:v>
      </x:c>
      <x:c r="F450" s="2" t="str">
        <x:v>曹操</x:v>
      </x:c>
      <x:c r="G450" s="2" t="str">
        <x:v>曹操</x:v>
      </x:c>
      <x:c r="H450" s="2" t="str">
        <x:v>曹操</x:v>
      </x:c>
      <x:c r="I450" s="2" t="str">
        <x:v>曹丕</x:v>
      </x:c>
      <x:c r="J450" s="2" t="str">
        <x:v>曹叡</x:v>
      </x:c>
      <x:c r="K450" s="2" t="str">
        <x:v>x</x:v>
      </x:c>
      <x:c r="L450" s="2" t="str">
        <x:v>曹操</x:v>
      </x:c>
    </x:row>
    <x:row r="451" ht="23" customHeight="1">
      <x:c r="A451" s="12" t="n">
        <x:v>443</x:v>
      </x:c>
      <x:c r="B451" s="2" t="str">
        <x:v>徐琨</x:v>
      </x:c>
      <x:c r="C451" s="2" t="str">
        <x:v>吳(-)</x:v>
      </x:c>
      <x:c r="D451" s="2" t="str">
        <x:v>孫堅</x:v>
      </x:c>
      <x:c r="E451" s="2" t="str">
        <x:v>孫策</x:v>
      </x:c>
      <x:c r="F451" s="2" t="str">
        <x:v>孫策</x:v>
      </x:c>
      <x:c r="G451" s="2" t="str">
        <x:v>x</x:v>
      </x:c>
      <x:c r="H451" s="2" t="str">
        <x:v>x</x:v>
      </x:c>
      <x:c r="I451" s="2" t="str">
        <x:v>x</x:v>
      </x:c>
      <x:c r="J451" s="2" t="str">
        <x:v>x</x:v>
      </x:c>
      <x:c r="K451" s="2" t="str">
        <x:v>x</x:v>
      </x:c>
      <x:c r="L451" s="2" t="str">
        <x:v>孫堅</x:v>
      </x:c>
    </x:row>
    <x:row r="452" ht="23" customHeight="1">
      <x:c r="A452" s="12" t="n">
        <x:v>444</x:v>
      </x:c>
      <x:c r="B452" s="2" t="str">
        <x:v>徐氏</x:v>
      </x:c>
      <x:c r="C452" s="2" t="str">
        <x:v>吳(-)</x:v>
      </x:c>
      <x:c r="D452" s="2" t="str">
        <x:v>吳(-)</x:v>
      </x:c>
      <x:c r="E452" s="2" t="str">
        <x:v>吳(-)</x:v>
      </x:c>
      <x:c r="F452" s="2" t="str">
        <x:v>孫策</x:v>
      </x:c>
      <x:c r="G452" s="2" t="str">
        <x:v>孫權</x:v>
      </x:c>
      <x:c r="H452" s="2" t="str">
        <x:v>孫權</x:v>
      </x:c>
      <x:c r="I452" s="2" t="str">
        <x:v>孫權</x:v>
      </x:c>
      <x:c r="J452" s="2" t="str">
        <x:v>孫權</x:v>
      </x:c>
      <x:c r="K452" s="2" t="str">
        <x:v>x</x:v>
      </x:c>
      <x:c r="L452" s="2" t="str">
        <x:v>孫堅</x:v>
      </x:c>
    </x:row>
    <x:row r="453" ht="23" customHeight="1">
      <x:c r="A453" s="12" t="n">
        <x:v>445</x:v>
      </x:c>
      <x:c r="B453" s="2" t="str">
        <x:v>徐质</x:v>
      </x:c>
      <x:c r="C453" s="2" t="str">
        <x:v>安定(-)</x:v>
      </x:c>
      <x:c r="D453" s="2" t="str">
        <x:v>安定(-)</x:v>
      </x:c>
      <x:c r="E453" s="2" t="str">
        <x:v>安定(-)</x:v>
      </x:c>
      <x:c r="F453" s="2" t="str">
        <x:v>安定(-)</x:v>
      </x:c>
      <x:c r="G453" s="2" t="str">
        <x:v>安定(-)</x:v>
      </x:c>
      <x:c r="H453" s="2" t="str">
        <x:v>安定(-)</x:v>
      </x:c>
      <x:c r="I453" s="2" t="str">
        <x:v>安定(-)</x:v>
      </x:c>
      <x:c r="J453" s="2" t="str">
        <x:v>安定(未)</x:v>
      </x:c>
      <x:c r="K453" s="2" t="str">
        <x:v>曹芳</x:v>
      </x:c>
      <x:c r="L453" s="2" t="str">
        <x:v>安定(未)</x:v>
      </x:c>
    </x:row>
    <x:row r="454" ht="23" customHeight="1">
      <x:c r="A454" s="12" t="n">
        <x:v>446</x:v>
      </x:c>
      <x:c r="B454" s="2" t="str">
        <x:v>徐庶</x:v>
      </x:c>
      <x:c r="C454" s="2" t="str">
        <x:v>許昌(-)</x:v>
      </x:c>
      <x:c r="D454" s="2" t="str">
        <x:v>許昌(-)</x:v>
      </x:c>
      <x:c r="E454" s="2" t="str">
        <x:v>新野(-)</x:v>
      </x:c>
      <x:c r="F454" s="2" t="str">
        <x:v>襄陽(-)</x:v>
      </x:c>
      <x:c r="G454" s="2" t="str">
        <x:v>劉備</x:v>
      </x:c>
      <x:c r="H454" s="2" t="str">
        <x:v>曹操</x:v>
      </x:c>
      <x:c r="I454" s="2" t="str">
        <x:v>曹丕</x:v>
      </x:c>
      <x:c r="J454" s="2" t="str">
        <x:v>曹叡</x:v>
      </x:c>
      <x:c r="K454" s="2" t="str">
        <x:v>x</x:v>
      </x:c>
      <x:c r="L454" s="2" t="str">
        <x:v>劉備</x:v>
      </x:c>
    </x:row>
    <x:row r="455" ht="23" customHeight="1">
      <x:c r="A455" s="12" t="n">
        <x:v>447</x:v>
      </x:c>
      <x:c r="B455" s="2" t="str">
        <x:v>徐商</x:v>
      </x:c>
      <x:c r="C455" s="2" t="str">
        <x:v>晉陽(-)</x:v>
      </x:c>
      <x:c r="D455" s="2" t="str">
        <x:v>晉陽(-)</x:v>
      </x:c>
      <x:c r="E455" s="2" t="str">
        <x:v>晉陽(-)</x:v>
      </x:c>
      <x:c r="F455" s="2" t="str">
        <x:v>晉陽(-)</x:v>
      </x:c>
      <x:c r="G455" s="2" t="str">
        <x:v>曹操</x:v>
      </x:c>
      <x:c r="H455" s="2" t="str">
        <x:v>曹操</x:v>
      </x:c>
      <x:c r="I455" s="2" t="str">
        <x:v>曹丕</x:v>
      </x:c>
      <x:c r="J455" s="2" t="str">
        <x:v>曹叡</x:v>
      </x:c>
      <x:c r="K455" s="2" t="str">
        <x:v>x</x:v>
      </x:c>
      <x:c r="L455" s="2" t="str">
        <x:v>晉陽(未)</x:v>
      </x:c>
    </x:row>
    <x:row r="456" ht="23" customHeight="1">
      <x:c r="A456" s="12" t="n">
        <x:v>448</x:v>
      </x:c>
      <x:c r="B456" s="2" t="str">
        <x:v>徐详</x:v>
      </x:c>
      <x:c r="C456" s="2" t="str">
        <x:v>吳(-)</x:v>
      </x:c>
      <x:c r="D456" s="2" t="str">
        <x:v>吳(-)</x:v>
      </x:c>
      <x:c r="E456" s="2" t="str">
        <x:v>吳(-)</x:v>
      </x:c>
      <x:c r="F456" s="2" t="str">
        <x:v>吳(-)</x:v>
      </x:c>
      <x:c r="G456" s="2" t="str">
        <x:v>孫權</x:v>
      </x:c>
      <x:c r="H456" s="2" t="str">
        <x:v>孫權</x:v>
      </x:c>
      <x:c r="I456" s="2" t="str">
        <x:v>孫權</x:v>
      </x:c>
      <x:c r="J456" s="2" t="str">
        <x:v>孫權</x:v>
      </x:c>
      <x:c r="K456" s="2" t="str">
        <x:v>x</x:v>
      </x:c>
      <x:c r="L456" s="2" t="str">
        <x:v>吳(未)</x:v>
      </x:c>
    </x:row>
    <x:row r="457" ht="23" customHeight="1">
      <x:c r="A457" s="12" t="n">
        <x:v>449</x:v>
      </x:c>
      <x:c r="B457" s="2" t="str">
        <x:v>徐盛</x:v>
      </x:c>
      <x:c r="C457" s="2" t="str">
        <x:v>下邳(-)</x:v>
      </x:c>
      <x:c r="D457" s="2" t="str">
        <x:v>下邳(-)</x:v>
      </x:c>
      <x:c r="E457" s="2" t="str">
        <x:v>吳(-)</x:v>
      </x:c>
      <x:c r="F457" s="2" t="str">
        <x:v>吳(未)</x:v>
      </x:c>
      <x:c r="G457" s="2" t="str">
        <x:v>孫權</x:v>
      </x:c>
      <x:c r="H457" s="2" t="str">
        <x:v>孫權</x:v>
      </x:c>
      <x:c r="I457" s="2" t="str">
        <x:v>孫權</x:v>
      </x:c>
      <x:c r="J457" s="2" t="str">
        <x:v>孫權</x:v>
      </x:c>
      <x:c r="K457" s="2" t="str">
        <x:v>x</x:v>
      </x:c>
      <x:c r="L457" s="2" t="str">
        <x:v>下邳(未)</x:v>
      </x:c>
    </x:row>
    <x:row r="458" ht="23" customHeight="1">
      <x:c r="A458" s="12" t="n">
        <x:v>450</x:v>
      </x:c>
      <x:c r="B458" s="2" t="str">
        <x:v>徐宣</x:v>
      </x:c>
      <x:c r="C458" s="2" t="str">
        <x:v>廣陵(-)</x:v>
      </x:c>
      <x:c r="D458" s="2" t="str">
        <x:v>廣陵(-)</x:v>
      </x:c>
      <x:c r="E458" s="2" t="str">
        <x:v>廣陵(未)</x:v>
      </x:c>
      <x:c r="F458" s="2" t="str">
        <x:v>曹操</x:v>
      </x:c>
      <x:c r="G458" s="2" t="str">
        <x:v>曹操</x:v>
      </x:c>
      <x:c r="H458" s="2" t="str">
        <x:v>曹操</x:v>
      </x:c>
      <x:c r="I458" s="2" t="str">
        <x:v>曹丕</x:v>
      </x:c>
      <x:c r="J458" s="2" t="str">
        <x:v>曹叡</x:v>
      </x:c>
      <x:c r="K458" s="2" t="str">
        <x:v>x</x:v>
      </x:c>
      <x:c r="L458" s="2" t="str">
        <x:v>廣陵(未)</x:v>
      </x:c>
    </x:row>
    <x:row r="459" ht="23" customHeight="1">
      <x:c r="A459" s="12" t="n">
        <x:v>451</x:v>
      </x:c>
      <x:c r="B459" s="2" t="str">
        <x:v>徐邈</x:v>
      </x:c>
      <x:c r="C459" s="2" t="str">
        <x:v>薊(-)</x:v>
      </x:c>
      <x:c r="D459" s="2" t="str">
        <x:v>薊(未)</x:v>
      </x:c>
      <x:c r="E459" s="2" t="str">
        <x:v>薊(未)</x:v>
      </x:c>
      <x:c r="F459" s="2" t="str">
        <x:v>薊(未)</x:v>
      </x:c>
      <x:c r="G459" s="2" t="str">
        <x:v>曹操</x:v>
      </x:c>
      <x:c r="H459" s="2" t="str">
        <x:v>曹操</x:v>
      </x:c>
      <x:c r="I459" s="2" t="str">
        <x:v>曹丕</x:v>
      </x:c>
      <x:c r="J459" s="2" t="str">
        <x:v>曹叡</x:v>
      </x:c>
      <x:c r="K459" s="2" t="str">
        <x:v>曹芳</x:v>
      </x:c>
      <x:c r="L459" s="2" t="str">
        <x:v>薊(未)</x:v>
      </x:c>
    </x:row>
    <x:row r="460" ht="23" customHeight="1">
      <x:c r="A460" s="12" t="n">
        <x:v>452</x:v>
      </x:c>
      <x:c r="B460" s="2" t="str">
        <x:v>岑威</x:v>
      </x:c>
      <x:c r="C460" s="2" t="str">
        <x:v>宛(-)</x:v>
      </x:c>
      <x:c r="D460" s="2" t="str">
        <x:v>宛(-)</x:v>
      </x:c>
      <x:c r="E460" s="2" t="str">
        <x:v>宛(-)</x:v>
      </x:c>
      <x:c r="F460" s="2" t="str">
        <x:v>宛(-)</x:v>
      </x:c>
      <x:c r="G460" s="2" t="str">
        <x:v>宛(-)</x:v>
      </x:c>
      <x:c r="H460" s="2" t="str">
        <x:v>宛(未)</x:v>
      </x:c>
      <x:c r="I460" s="2" t="str">
        <x:v>宛(未)</x:v>
      </x:c>
      <x:c r="J460" s="2" t="str">
        <x:v>曹叡</x:v>
      </x:c>
      <x:c r="K460" s="2" t="str">
        <x:v>x</x:v>
      </x:c>
      <x:c r="L460" s="2" t="str">
        <x:v>宛(未)</x:v>
      </x:c>
    </x:row>
    <x:row r="461" ht="23" customHeight="1">
      <x:c r="A461" s="12" t="n">
        <x:v>453</x:v>
      </x:c>
      <x:c r="B461" s="2" t="str">
        <x:v>沈莹</x:v>
      </x:c>
      <x:c r="C461" s="2" t="str">
        <x:v>建業(-)</x:v>
      </x:c>
      <x:c r="D461" s="2" t="str">
        <x:v>建業(-)</x:v>
      </x:c>
      <x:c r="E461" s="2" t="str">
        <x:v>建業(-)</x:v>
      </x:c>
      <x:c r="F461" s="2" t="str">
        <x:v>建業(-)</x:v>
      </x:c>
      <x:c r="G461" s="2" t="str">
        <x:v>建業(-)</x:v>
      </x:c>
      <x:c r="H461" s="2" t="str">
        <x:v>建業(-)</x:v>
      </x:c>
      <x:c r="I461" s="2" t="str">
        <x:v>建業(-)</x:v>
      </x:c>
      <x:c r="J461" s="2" t="str">
        <x:v>建業(-)</x:v>
      </x:c>
      <x:c r="K461" s="2" t="str">
        <x:v>建業(-)</x:v>
      </x:c>
      <x:c r="L461" s="2" t="str">
        <x:v>建業(未)</x:v>
      </x:c>
    </x:row>
    <x:row r="462" ht="23" customHeight="1">
      <x:c r="A462" s="12" t="n">
        <x:v>454</x:v>
      </x:c>
      <x:c r="B462" s="2" t="str">
        <x:v>审荣</x:v>
      </x:c>
      <x:c r="C462" s="2" t="str">
        <x:v>鄴(-)</x:v>
      </x:c>
      <x:c r="D462" s="2" t="str">
        <x:v>鄴(-)</x:v>
      </x:c>
      <x:c r="E462" s="2" t="str">
        <x:v>袁紹</x:v>
      </x:c>
      <x:c r="F462" s="2" t="str">
        <x:v>袁紹</x:v>
      </x:c>
      <x:c r="G462" s="2" t="str">
        <x:v>曹操</x:v>
      </x:c>
      <x:c r="H462" s="2" t="str">
        <x:v>x</x:v>
      </x:c>
      <x:c r="I462" s="2" t="str">
        <x:v>x</x:v>
      </x:c>
      <x:c r="J462" s="2" t="str">
        <x:v>x</x:v>
      </x:c>
      <x:c r="K462" s="2" t="str">
        <x:v>x</x:v>
      </x:c>
      <x:c r="L462" s="2" t="str">
        <x:v>袁紹</x:v>
      </x:c>
    </x:row>
    <x:row r="463" ht="23" customHeight="1">
      <x:c r="A463" s="12" t="n">
        <x:v>455</x:v>
      </x:c>
      <x:c r="B463" s="2" t="str">
        <x:v>申仪</x:v>
      </x:c>
      <x:c r="C463" s="2" t="str">
        <x:v>上庸(-)</x:v>
      </x:c>
      <x:c r="D463" s="2" t="str">
        <x:v>上庸(-)</x:v>
      </x:c>
      <x:c r="E463" s="2" t="str">
        <x:v>上庸(-)</x:v>
      </x:c>
      <x:c r="F463" s="2" t="str">
        <x:v>上庸(-)</x:v>
      </x:c>
      <x:c r="G463" s="2" t="str">
        <x:v>上庸(-)</x:v>
      </x:c>
      <x:c r="H463" s="2" t="str">
        <x:v>上庸(未)</x:v>
      </x:c>
      <x:c r="I463" s="2" t="str">
        <x:v>曹丕</x:v>
      </x:c>
      <x:c r="J463" s="2" t="str">
        <x:v>曹叡</x:v>
      </x:c>
      <x:c r="K463" s="2" t="str">
        <x:v>曹芳</x:v>
      </x:c>
      <x:c r="L463" s="2" t="str">
        <x:v>孟達</x:v>
      </x:c>
    </x:row>
    <x:row r="464" ht="23" customHeight="1">
      <x:c r="A464" s="12" t="n">
        <x:v>456</x:v>
      </x:c>
      <x:c r="B464" s="2" t="str">
        <x:v>秦宜禄</x:v>
      </x:c>
      <x:c r="C464" s="2" t="str">
        <x:v>晉陽(-)</x:v>
      </x:c>
      <x:c r="D464" s="2" t="str">
        <x:v>晉陽(-)</x:v>
      </x:c>
      <x:c r="E464" s="2" t="str">
        <x:v>呂布</x:v>
      </x:c>
      <x:c r="F464" s="2" t="str">
        <x:v>x</x:v>
      </x:c>
      <x:c r="G464" s="2" t="str">
        <x:v>x</x:v>
      </x:c>
      <x:c r="H464" s="2" t="str">
        <x:v>x</x:v>
      </x:c>
      <x:c r="I464" s="2" t="str">
        <x:v>x</x:v>
      </x:c>
      <x:c r="J464" s="2" t="str">
        <x:v>x</x:v>
      </x:c>
      <x:c r="K464" s="2" t="str">
        <x:v>x</x:v>
      </x:c>
      <x:c r="L464" s="2" t="str">
        <x:v>呂布</x:v>
      </x:c>
    </x:row>
    <x:row r="465" ht="23" customHeight="1">
      <x:c r="A465" s="12" t="n">
        <x:v>457</x:v>
      </x:c>
      <x:c r="B465" s="2" t="str">
        <x:v>辛宪英</x:v>
      </x:c>
      <x:c r="C465" s="2" t="str">
        <x:v>許昌(-)</x:v>
      </x:c>
      <x:c r="D465" s="2" t="str">
        <x:v>鄴(-)</x:v>
      </x:c>
      <x:c r="E465" s="2" t="str">
        <x:v>鄴(-)</x:v>
      </x:c>
      <x:c r="F465" s="2" t="str">
        <x:v>鄴(-)</x:v>
      </x:c>
      <x:c r="G465" s="2" t="str">
        <x:v>曹操</x:v>
      </x:c>
      <x:c r="H465" s="2" t="str">
        <x:v>曹操</x:v>
      </x:c>
      <x:c r="I465" s="2" t="str">
        <x:v>曹丕</x:v>
      </x:c>
      <x:c r="J465" s="2" t="str">
        <x:v>曹叡</x:v>
      </x:c>
      <x:c r="K465" s="2" t="str">
        <x:v>曹芳</x:v>
      </x:c>
      <x:c r="L465" s="2" t="str">
        <x:v>韓馥</x:v>
      </x:c>
    </x:row>
    <x:row r="466" ht="23" customHeight="1">
      <x:c r="A466" s="12" t="n">
        <x:v>458</x:v>
      </x:c>
      <x:c r="B466" s="2" t="str">
        <x:v>岑昏</x:v>
      </x:c>
      <x:c r="C466" s="2" t="str">
        <x:v>建業(-)</x:v>
      </x:c>
      <x:c r="D466" s="2" t="str">
        <x:v>建業(-)</x:v>
      </x:c>
      <x:c r="E466" s="2" t="str">
        <x:v>建業(-)</x:v>
      </x:c>
      <x:c r="F466" s="2" t="str">
        <x:v>建業(-)</x:v>
      </x:c>
      <x:c r="G466" s="2" t="str">
        <x:v>建業(-)</x:v>
      </x:c>
      <x:c r="H466" s="2" t="str">
        <x:v>建業(-)</x:v>
      </x:c>
      <x:c r="I466" s="2" t="str">
        <x:v>建業(-)</x:v>
      </x:c>
      <x:c r="J466" s="2" t="str">
        <x:v>建業(-)</x:v>
      </x:c>
      <x:c r="K466" s="2" t="str">
        <x:v>建業(-)</x:v>
      </x:c>
      <x:c r="L466" s="2" t="str">
        <x:v>建業(未)</x:v>
      </x:c>
    </x:row>
    <x:row r="467" ht="23" customHeight="1">
      <x:c r="A467" s="12" t="n">
        <x:v>459</x:v>
      </x:c>
      <x:c r="B467" s="2" t="str">
        <x:v>甄氏</x:v>
      </x:c>
      <x:c r="C467" s="2" t="str">
        <x:v>鄴(-)</x:v>
      </x:c>
      <x:c r="D467" s="2" t="str">
        <x:v>鄴(-)</x:v>
      </x:c>
      <x:c r="E467" s="2" t="str">
        <x:v>鄴(-)</x:v>
      </x:c>
      <x:c r="F467" s="2" t="str">
        <x:v>袁紹</x:v>
      </x:c>
      <x:c r="G467" s="2" t="str">
        <x:v>曹操</x:v>
      </x:c>
      <x:c r="H467" s="2" t="str">
        <x:v>曹操</x:v>
      </x:c>
      <x:c r="I467" s="2" t="str">
        <x:v>x</x:v>
      </x:c>
      <x:c r="J467" s="2" t="str">
        <x:v>x</x:v>
      </x:c>
      <x:c r="K467" s="2" t="str">
        <x:v>x</x:v>
      </x:c>
      <x:c r="L467" s="2" t="str">
        <x:v>袁紹</x:v>
      </x:c>
    </x:row>
    <x:row r="468" ht="23" customHeight="1">
      <x:c r="A468" s="12" t="n">
        <x:v>460</x:v>
      </x:c>
      <x:c r="B468" s="2" t="str">
        <x:v>任峻</x:v>
      </x:c>
      <x:c r="C468" s="2" t="str">
        <x:v>洛陽(-)</x:v>
      </x:c>
      <x:c r="D468" s="2" t="str">
        <x:v>洛陽(野)</x:v>
      </x:c>
      <x:c r="E468" s="2" t="str">
        <x:v>曹操</x:v>
      </x:c>
      <x:c r="F468" s="2" t="str">
        <x:v>曹操</x:v>
      </x:c>
      <x:c r="G468" s="2" t="str">
        <x:v>x</x:v>
      </x:c>
      <x:c r="H468" s="2" t="str">
        <x:v>x</x:v>
      </x:c>
      <x:c r="I468" s="2" t="str">
        <x:v>x</x:v>
      </x:c>
      <x:c r="J468" s="2" t="str">
        <x:v>x</x:v>
      </x:c>
      <x:c r="K468" s="2" t="str">
        <x:v>x</x:v>
      </x:c>
      <x:c r="L468" s="2" t="str">
        <x:v>洛陽(未)</x:v>
      </x:c>
    </x:row>
    <x:row r="469" ht="23" customHeight="1">
      <x:c r="A469" s="12" t="n">
        <x:v>461</x:v>
      </x:c>
      <x:c r="B469" s="2" t="str">
        <x:v>辛敞</x:v>
      </x:c>
      <x:c r="C469" s="2" t="str">
        <x:v>許昌(-)</x:v>
      </x:c>
      <x:c r="D469" s="2" t="str">
        <x:v>鄴(-)</x:v>
      </x:c>
      <x:c r="E469" s="2" t="str">
        <x:v>鄴(-)</x:v>
      </x:c>
      <x:c r="F469" s="2" t="str">
        <x:v>鄴(-)</x:v>
      </x:c>
      <x:c r="G469" s="2" t="str">
        <x:v>鄴(-)</x:v>
      </x:c>
      <x:c r="H469" s="2" t="str">
        <x:v>鄴(-)</x:v>
      </x:c>
      <x:c r="I469" s="2" t="str">
        <x:v>鄴(-)</x:v>
      </x:c>
      <x:c r="J469" s="2" t="str">
        <x:v>曹叡</x:v>
      </x:c>
      <x:c r="K469" s="2" t="str">
        <x:v>曹芳</x:v>
      </x:c>
      <x:c r="L469" s="2" t="str">
        <x:v>韓馥</x:v>
      </x:c>
    </x:row>
    <x:row r="470" ht="23" customHeight="1">
      <x:c r="A470" s="12" t="n">
        <x:v>462</x:v>
      </x:c>
      <x:c r="B470" s="2" t="str">
        <x:v>秦松</x:v>
      </x:c>
      <x:c r="C470" s="2" t="str">
        <x:v>廣陵(-)</x:v>
      </x:c>
      <x:c r="D470" s="2" t="str">
        <x:v>廣陵(-)</x:v>
      </x:c>
      <x:c r="E470" s="2" t="str">
        <x:v>廣陵(未)</x:v>
      </x:c>
      <x:c r="F470" s="2" t="str">
        <x:v>孫策</x:v>
      </x:c>
      <x:c r="G470" s="2" t="str">
        <x:v>孫權</x:v>
      </x:c>
      <x:c r="H470" s="2" t="str">
        <x:v>x</x:v>
      </x:c>
      <x:c r="I470" s="2" t="str">
        <x:v>x</x:v>
      </x:c>
      <x:c r="J470" s="2" t="str">
        <x:v>x</x:v>
      </x:c>
      <x:c r="K470" s="2" t="str">
        <x:v>x</x:v>
      </x:c>
      <x:c r="L470" s="2" t="str">
        <x:v>廣陵(未)</x:v>
      </x:c>
    </x:row>
    <x:row r="471" ht="23" customHeight="1">
      <x:c r="A471" s="12" t="n">
        <x:v>463</x:v>
      </x:c>
      <x:c r="B471" s="2" t="str">
        <x:v>申耽</x:v>
      </x:c>
      <x:c r="C471" s="2" t="str">
        <x:v>上庸(-)</x:v>
      </x:c>
      <x:c r="D471" s="2" t="str">
        <x:v>上庸(-)</x:v>
      </x:c>
      <x:c r="E471" s="2" t="str">
        <x:v>上庸(-)</x:v>
      </x:c>
      <x:c r="F471" s="2" t="str">
        <x:v>上庸(-)</x:v>
      </x:c>
      <x:c r="G471" s="2" t="str">
        <x:v>上庸(未)</x:v>
      </x:c>
      <x:c r="H471" s="2" t="str">
        <x:v>上庸(未)</x:v>
      </x:c>
      <x:c r="I471" s="2" t="str">
        <x:v>曹丕</x:v>
      </x:c>
      <x:c r="J471" s="2" t="str">
        <x:v>曹叡</x:v>
      </x:c>
      <x:c r="K471" s="2" t="str">
        <x:v>曹芳</x:v>
      </x:c>
      <x:c r="L471" s="2" t="str">
        <x:v>孟達</x:v>
      </x:c>
    </x:row>
    <x:row r="472" ht="23" customHeight="1">
      <x:c r="A472" s="12" t="n">
        <x:v>464</x:v>
      </x:c>
      <x:c r="B472" s="2" t="str">
        <x:v>审配</x:v>
      </x:c>
      <x:c r="C472" s="2" t="str">
        <x:v>鄴(未)</x:v>
      </x:c>
      <x:c r="D472" s="2" t="str">
        <x:v>袁紹</x:v>
      </x:c>
      <x:c r="E472" s="2" t="str">
        <x:v>袁紹</x:v>
      </x:c>
      <x:c r="F472" s="2" t="str">
        <x:v>袁紹</x:v>
      </x:c>
      <x:c r="G472" s="2" t="str">
        <x:v>x</x:v>
      </x:c>
      <x:c r="H472" s="2" t="str">
        <x:v>x</x:v>
      </x:c>
      <x:c r="I472" s="2" t="str">
        <x:v>x</x:v>
      </x:c>
      <x:c r="J472" s="2" t="str">
        <x:v>x</x:v>
      </x:c>
      <x:c r="K472" s="2" t="str">
        <x:v>x</x:v>
      </x:c>
      <x:c r="L472" s="2" t="str">
        <x:v>袁紹</x:v>
      </x:c>
    </x:row>
    <x:row r="473" ht="23" customHeight="1">
      <x:c r="A473" s="12" t="n">
        <x:v>465</x:v>
      </x:c>
      <x:c r="B473" s="2" t="str">
        <x:v>辛毘</x:v>
      </x:c>
      <x:c r="C473" s="2" t="str">
        <x:v>許昌(-)</x:v>
      </x:c>
      <x:c r="D473" s="2" t="str">
        <x:v>韓馥</x:v>
      </x:c>
      <x:c r="E473" s="2" t="str">
        <x:v>袁紹</x:v>
      </x:c>
      <x:c r="F473" s="2" t="str">
        <x:v>袁紹</x:v>
      </x:c>
      <x:c r="G473" s="2" t="str">
        <x:v>曹操</x:v>
      </x:c>
      <x:c r="H473" s="2" t="str">
        <x:v>曹操</x:v>
      </x:c>
      <x:c r="I473" s="2" t="str">
        <x:v>曹丕</x:v>
      </x:c>
      <x:c r="J473" s="2" t="str">
        <x:v>曹叡</x:v>
      </x:c>
      <x:c r="K473" s="2" t="str">
        <x:v>x</x:v>
      </x:c>
      <x:c r="L473" s="2" t="str">
        <x:v>韓馥</x:v>
      </x:c>
    </x:row>
    <x:row r="474" ht="23" customHeight="1">
      <x:c r="A474" s="12" t="n">
        <x:v>466</x:v>
      </x:c>
      <x:c r="B474" s="2" t="str">
        <x:v>辛评</x:v>
      </x:c>
      <x:c r="C474" s="2" t="str">
        <x:v>許昌(未)</x:v>
      </x:c>
      <x:c r="D474" s="2" t="str">
        <x:v>韓馥</x:v>
      </x:c>
      <x:c r="E474" s="2" t="str">
        <x:v>袁紹</x:v>
      </x:c>
      <x:c r="F474" s="2" t="str">
        <x:v>袁紹</x:v>
      </x:c>
      <x:c r="G474" s="2" t="str">
        <x:v>x</x:v>
      </x:c>
      <x:c r="H474" s="2" t="str">
        <x:v>x</x:v>
      </x:c>
      <x:c r="I474" s="2" t="str">
        <x:v>x</x:v>
      </x:c>
      <x:c r="J474" s="2" t="str">
        <x:v>x</x:v>
      </x:c>
      <x:c r="K474" s="2" t="str">
        <x:v>x</x:v>
      </x:c>
      <x:c r="L474" s="2" t="str">
        <x:v>韓馥</x:v>
      </x:c>
    </x:row>
    <x:row r="475" ht="23" customHeight="1">
      <x:c r="A475" s="12" t="n">
        <x:v>467</x:v>
      </x:c>
      <x:c r="B475" s="2" t="str">
        <x:v>秦宓</x:v>
      </x:c>
      <x:c r="C475" s="2" t="str">
        <x:v>成都(-)</x:v>
      </x:c>
      <x:c r="D475" s="2" t="str">
        <x:v>成都(-)</x:v>
      </x:c>
      <x:c r="E475" s="2" t="str">
        <x:v>成都(未)</x:v>
      </x:c>
      <x:c r="F475" s="2" t="str">
        <x:v>成都(未)</x:v>
      </x:c>
      <x:c r="G475" s="2" t="str">
        <x:v>劉璋</x:v>
      </x:c>
      <x:c r="H475" s="2" t="str">
        <x:v>劉備</x:v>
      </x:c>
      <x:c r="I475" s="2" t="str">
        <x:v>劉備</x:v>
      </x:c>
      <x:c r="J475" s="2" t="str">
        <x:v>x</x:v>
      </x:c>
      <x:c r="K475" s="2" t="str">
        <x:v>x</x:v>
      </x:c>
      <x:c r="L475" s="2" t="str">
        <x:v>成都(未)</x:v>
      </x:c>
    </x:row>
    <x:row r="476" ht="23" customHeight="1">
      <x:c r="A476" s="12" t="n">
        <x:v>468</x:v>
      </x:c>
      <x:c r="B476" s="2" t="str">
        <x:v>秦朗</x:v>
      </x:c>
      <x:c r="C476" s="2" t="str">
        <x:v>晉陽(-)</x:v>
      </x:c>
      <x:c r="D476" s="2" t="str">
        <x:v>晉陽(-)</x:v>
      </x:c>
      <x:c r="E476" s="2" t="str">
        <x:v>濮陽(-)</x:v>
      </x:c>
      <x:c r="F476" s="2" t="str">
        <x:v>許昌(-)</x:v>
      </x:c>
      <x:c r="G476" s="2" t="str">
        <x:v>鄴(-)</x:v>
      </x:c>
      <x:c r="H476" s="2" t="str">
        <x:v>曹操</x:v>
      </x:c>
      <x:c r="I476" s="2" t="str">
        <x:v>曹丕</x:v>
      </x:c>
      <x:c r="J476" s="2" t="str">
        <x:v>曹叡</x:v>
      </x:c>
      <x:c r="K476" s="2" t="str">
        <x:v>x</x:v>
      </x:c>
      <x:c r="L476" s="2" t="str">
        <x:v>呂布</x:v>
      </x:c>
    </x:row>
    <x:row r="477" ht="23" customHeight="1">
      <x:c r="A477" s="12" t="n">
        <x:v>469</x:v>
      </x:c>
      <x:c r="B477" s="2" t="str">
        <x:v>眭元进</x:v>
      </x:c>
      <x:c r="C477" s="2" t="str">
        <x:v>南皮(未)</x:v>
      </x:c>
      <x:c r="D477" s="2" t="str">
        <x:v>袁紹</x:v>
      </x:c>
      <x:c r="E477" s="2" t="str">
        <x:v>袁紹</x:v>
      </x:c>
      <x:c r="F477" s="2" t="str">
        <x:v>袁紹</x:v>
      </x:c>
      <x:c r="G477" s="2" t="str">
        <x:v>x</x:v>
      </x:c>
      <x:c r="H477" s="2" t="str">
        <x:v>x</x:v>
      </x:c>
      <x:c r="I477" s="2" t="str">
        <x:v>x</x:v>
      </x:c>
      <x:c r="J477" s="2" t="str">
        <x:v>x</x:v>
      </x:c>
      <x:c r="K477" s="2" t="str">
        <x:v>x</x:v>
      </x:c>
      <x:c r="L477" s="2" t="str">
        <x:v>袁紹</x:v>
      </x:c>
    </x:row>
    <x:row r="478" ht="23" customHeight="1">
      <x:c r="A478" s="12" t="n">
        <x:v>470</x:v>
      </x:c>
      <x:c r="B478" s="2" t="str">
        <x:v>眭固</x:v>
      </x:c>
      <x:c r="C478" s="2" t="str">
        <x:v>張角</x:v>
      </x:c>
      <x:c r="D478" s="2" t="str">
        <x:v>晉陽(野)</x:v>
      </x:c>
      <x:c r="E478" s="2" t="str">
        <x:v>張楊</x:v>
      </x:c>
      <x:c r="F478" s="2" t="str">
        <x:v>x</x:v>
      </x:c>
      <x:c r="G478" s="2" t="str">
        <x:v>x</x:v>
      </x:c>
      <x:c r="H478" s="2" t="str">
        <x:v>x</x:v>
      </x:c>
      <x:c r="I478" s="2" t="str">
        <x:v>x</x:v>
      </x:c>
      <x:c r="J478" s="2" t="str">
        <x:v>x</x:v>
      </x:c>
      <x:c r="K478" s="2" t="str">
        <x:v>x</x:v>
      </x:c>
      <x:c r="L478" s="2" t="str">
        <x:v>丁原</x:v>
      </x:c>
    </x:row>
    <x:row r="479" ht="23" customHeight="1">
      <x:c r="A479" s="12" t="n">
        <x:v>471</x:v>
      </x:c>
      <x:c r="B479" s="2" t="str">
        <x:v>邹氏</x:v>
      </x:c>
      <x:c r="C479" s="2" t="str">
        <x:v>董卓</x:v>
      </x:c>
      <x:c r="D479" s="2" t="str">
        <x:v>董卓</x:v>
      </x:c>
      <x:c r="E479" s="2" t="str">
        <x:v>李傕</x:v>
      </x:c>
      <x:c r="F479" s="2" t="str">
        <x:v>x</x:v>
      </x:c>
      <x:c r="G479" s="2" t="str">
        <x:v>x</x:v>
      </x:c>
      <x:c r="H479" s="2" t="str">
        <x:v>x</x:v>
      </x:c>
      <x:c r="I479" s="2" t="str">
        <x:v>x</x:v>
      </x:c>
      <x:c r="J479" s="2" t="str">
        <x:v>x</x:v>
      </x:c>
      <x:c r="K479" s="2" t="str">
        <x:v>x</x:v>
      </x:c>
      <x:c r="L479" s="2" t="str">
        <x:v>張繡</x:v>
      </x:c>
    </x:row>
    <x:row r="480" ht="23" customHeight="1">
      <x:c r="A480" s="12" t="n">
        <x:v>472</x:v>
      </x:c>
      <x:c r="B480" s="2" t="str">
        <x:v>邹靖</x:v>
      </x:c>
      <x:c r="C480" s="2" t="str">
        <x:v>劉焉</x:v>
      </x:c>
      <x:c r="D480" s="2" t="str">
        <x:v>薊(野)</x:v>
      </x:c>
      <x:c r="E480" s="2" t="str">
        <x:v>x</x:v>
      </x:c>
      <x:c r="F480" s="2" t="str">
        <x:v>x</x:v>
      </x:c>
      <x:c r="G480" s="2" t="str">
        <x:v>x</x:v>
      </x:c>
      <x:c r="H480" s="2" t="str">
        <x:v>x</x:v>
      </x:c>
      <x:c r="I480" s="2" t="str">
        <x:v>x</x:v>
      </x:c>
      <x:c r="J480" s="2" t="str">
        <x:v>x</x:v>
      </x:c>
      <x:c r="K480" s="2" t="str">
        <x:v>x</x:v>
      </x:c>
      <x:c r="L480" s="2" t="str">
        <x:v>薊(未)</x:v>
      </x:c>
    </x:row>
    <x:row r="481" ht="23" customHeight="1">
      <x:c r="A481" s="12" t="n">
        <x:v>473</x:v>
      </x:c>
      <x:c r="B481" s="2" t="str">
        <x:v>邹丹</x:v>
      </x:c>
      <x:c r="C481" s="2" t="str">
        <x:v>公孫瓚</x:v>
      </x:c>
      <x:c r="D481" s="2" t="str">
        <x:v>公孫瓚</x:v>
      </x:c>
      <x:c r="E481" s="2" t="str">
        <x:v>公孫瓚</x:v>
      </x:c>
      <x:c r="F481" s="2" t="str">
        <x:v>x</x:v>
      </x:c>
      <x:c r="G481" s="2" t="str">
        <x:v>x</x:v>
      </x:c>
      <x:c r="H481" s="2" t="str">
        <x:v>x</x:v>
      </x:c>
      <x:c r="I481" s="2" t="str">
        <x:v>x</x:v>
      </x:c>
      <x:c r="J481" s="2" t="str">
        <x:v>x</x:v>
      </x:c>
      <x:c r="K481" s="2" t="str">
        <x:v>x</x:v>
      </x:c>
      <x:c r="L481" s="2" t="str">
        <x:v>公孫瓚</x:v>
      </x:c>
    </x:row>
    <x:row r="482" ht="23" customHeight="1">
      <x:c r="A482" s="12" t="n">
        <x:v>474</x:v>
      </x:c>
      <x:c r="B482" s="2" t="str">
        <x:v>成宜</x:v>
      </x:c>
      <x:c r="C482" s="2" t="str">
        <x:v>馬騰</x:v>
      </x:c>
      <x:c r="D482" s="2" t="str">
        <x:v>馬騰</x:v>
      </x:c>
      <x:c r="E482" s="2" t="str">
        <x:v>馬騰</x:v>
      </x:c>
      <x:c r="F482" s="2" t="str">
        <x:v>馬騰</x:v>
      </x:c>
      <x:c r="G482" s="2" t="str">
        <x:v>馬騰</x:v>
      </x:c>
      <x:c r="H482" s="2" t="str">
        <x:v>x</x:v>
      </x:c>
      <x:c r="I482" s="2" t="str">
        <x:v>x</x:v>
      </x:c>
      <x:c r="J482" s="2" t="str">
        <x:v>x</x:v>
      </x:c>
      <x:c r="K482" s="2" t="str">
        <x:v>x</x:v>
      </x:c>
      <x:c r="L482" s="2" t="str">
        <x:v>韓遂</x:v>
      </x:c>
    </x:row>
    <x:row r="483" ht="23" customHeight="1">
      <x:c r="A483" s="12" t="n">
        <x:v>475</x:v>
      </x:c>
      <x:c r="B483" s="2" t="str">
        <x:v>成公英</x:v>
      </x:c>
      <x:c r="C483" s="2" t="str">
        <x:v>武威(-)</x:v>
      </x:c>
      <x:c r="D483" s="2" t="str">
        <x:v>馬騰</x:v>
      </x:c>
      <x:c r="E483" s="2" t="str">
        <x:v>馬騰</x:v>
      </x:c>
      <x:c r="F483" s="2" t="str">
        <x:v>馬騰</x:v>
      </x:c>
      <x:c r="G483" s="2" t="str">
        <x:v>馬騰</x:v>
      </x:c>
      <x:c r="H483" s="2" t="str">
        <x:v>曹操</x:v>
      </x:c>
      <x:c r="I483" s="2" t="str">
        <x:v>x</x:v>
      </x:c>
      <x:c r="J483" s="2" t="str">
        <x:v>x</x:v>
      </x:c>
      <x:c r="K483" s="2" t="str">
        <x:v>x</x:v>
      </x:c>
      <x:c r="L483" s="2" t="str">
        <x:v>韓遂</x:v>
      </x:c>
    </x:row>
    <x:row r="484" ht="23" customHeight="1">
      <x:c r="A484" s="12" t="n">
        <x:v>476</x:v>
      </x:c>
      <x:c r="B484" s="2" t="str">
        <x:v>盛曼</x:v>
      </x:c>
      <x:c r="C484" s="2" t="str">
        <x:v>江陵(-)</x:v>
      </x:c>
      <x:c r="D484" s="2" t="str">
        <x:v>江陵(-)</x:v>
      </x:c>
      <x:c r="E484" s="2" t="str">
        <x:v>江陵(-)</x:v>
      </x:c>
      <x:c r="F484" s="2" t="str">
        <x:v>江陵(-)</x:v>
      </x:c>
      <x:c r="G484" s="2" t="str">
        <x:v>江陵(-)</x:v>
      </x:c>
      <x:c r="H484" s="2" t="str">
        <x:v>江陵(-)</x:v>
      </x:c>
      <x:c r="I484" s="2" t="str">
        <x:v>江陵(-)</x:v>
      </x:c>
      <x:c r="J484" s="2" t="str">
        <x:v>江陵(-)</x:v>
      </x:c>
      <x:c r="K484" s="2" t="str">
        <x:v>江陵(未)</x:v>
      </x:c>
      <x:c r="L484" s="2" t="str">
        <x:v>江陵(未)</x:v>
      </x:c>
    </x:row>
    <x:row r="485" ht="23" customHeight="1">
      <x:c r="A485" s="12" t="n">
        <x:v>477</x:v>
      </x:c>
      <x:c r="B485" s="2" t="str">
        <x:v>成廉</x:v>
      </x:c>
      <x:c r="C485" s="2" t="str">
        <x:v>晉陽(-)</x:v>
      </x:c>
      <x:c r="D485" s="2" t="str">
        <x:v>董卓</x:v>
      </x:c>
      <x:c r="E485" s="2" t="str">
        <x:v>呂布</x:v>
      </x:c>
      <x:c r="F485" s="2" t="str">
        <x:v>x</x:v>
      </x:c>
      <x:c r="G485" s="2" t="str">
        <x:v>x</x:v>
      </x:c>
      <x:c r="H485" s="2" t="str">
        <x:v>x</x:v>
      </x:c>
      <x:c r="I485" s="2" t="str">
        <x:v>x</x:v>
      </x:c>
      <x:c r="J485" s="2" t="str">
        <x:v>x</x:v>
      </x:c>
      <x:c r="K485" s="2" t="str">
        <x:v>x</x:v>
      </x:c>
      <x:c r="L485" s="2" t="str">
        <x:v>呂布</x:v>
      </x:c>
    </x:row>
    <x:row r="486" ht="23" customHeight="1">
      <x:c r="A486" s="12" t="n">
        <x:v>478</x:v>
      </x:c>
      <x:c r="B486" s="2" t="str">
        <x:v>石鉴</x:v>
      </x:c>
      <x:c r="C486" s="2" t="str">
        <x:v>晉陽(-)</x:v>
      </x:c>
      <x:c r="D486" s="2" t="str">
        <x:v>晉陽(-)</x:v>
      </x:c>
      <x:c r="E486" s="2" t="str">
        <x:v>晉陽(-)</x:v>
      </x:c>
      <x:c r="F486" s="2" t="str">
        <x:v>晉陽(-)</x:v>
      </x:c>
      <x:c r="G486" s="2" t="str">
        <x:v>晉陽(-)</x:v>
      </x:c>
      <x:c r="H486" s="2" t="str">
        <x:v>晉陽(-)</x:v>
      </x:c>
      <x:c r="I486" s="2" t="str">
        <x:v>晉陽(-)</x:v>
      </x:c>
      <x:c r="J486" s="2" t="str">
        <x:v>晉陽(-)</x:v>
      </x:c>
      <x:c r="K486" s="2" t="str">
        <x:v>曹芳</x:v>
      </x:c>
      <x:c r="L486" s="2" t="str">
        <x:v>晉陽(未)</x:v>
      </x:c>
    </x:row>
    <x:row r="487" ht="23" customHeight="1">
      <x:c r="A487" s="12" t="n">
        <x:v>479</x:v>
      </x:c>
      <x:c r="B487" s="2" t="str">
        <x:v>石韬</x:v>
      </x:c>
      <x:c r="C487" s="2" t="str">
        <x:v>許昌(-)</x:v>
      </x:c>
      <x:c r="D487" s="2" t="str">
        <x:v>許昌(-)</x:v>
      </x:c>
      <x:c r="E487" s="2" t="str">
        <x:v>許昌(-)</x:v>
      </x:c>
      <x:c r="F487" s="2" t="str">
        <x:v>襄陽(-)</x:v>
      </x:c>
      <x:c r="G487" s="2" t="str">
        <x:v>襄陽(未)</x:v>
      </x:c>
      <x:c r="H487" s="2" t="str">
        <x:v>曹操</x:v>
      </x:c>
      <x:c r="I487" s="2" t="str">
        <x:v>曹丕</x:v>
      </x:c>
      <x:c r="J487" s="2" t="str">
        <x:v>曹叡</x:v>
      </x:c>
      <x:c r="K487" s="2" t="str">
        <x:v>x</x:v>
      </x:c>
      <x:c r="L487" s="2" t="str">
        <x:v>許昌(未)</x:v>
      </x:c>
    </x:row>
    <x:row r="488" ht="23" customHeight="1">
      <x:c r="A488" s="12" t="n">
        <x:v>480</x:v>
      </x:c>
      <x:c r="B488" s="2" t="str">
        <x:v>石苞</x:v>
      </x:c>
      <x:c r="C488" s="2" t="str">
        <x:v>南皮(-)</x:v>
      </x:c>
      <x:c r="D488" s="2" t="str">
        <x:v>南皮(-)</x:v>
      </x:c>
      <x:c r="E488" s="2" t="str">
        <x:v>南皮(-)</x:v>
      </x:c>
      <x:c r="F488" s="2" t="str">
        <x:v>南皮(-)</x:v>
      </x:c>
      <x:c r="G488" s="2" t="str">
        <x:v>南皮(-)</x:v>
      </x:c>
      <x:c r="H488" s="2" t="str">
        <x:v>南皮(-)</x:v>
      </x:c>
      <x:c r="I488" s="2" t="str">
        <x:v>南皮(-)</x:v>
      </x:c>
      <x:c r="J488" s="2" t="str">
        <x:v>南皮(-)</x:v>
      </x:c>
      <x:c r="K488" s="2" t="str">
        <x:v>曹芳</x:v>
      </x:c>
      <x:c r="L488" s="2" t="str">
        <x:v>司馬懿</x:v>
      </x:c>
    </x:row>
    <x:row r="489" ht="23" customHeight="1">
      <x:c r="A489" s="12" t="n">
        <x:v>481</x:v>
      </x:c>
      <x:c r="B489" s="2" t="str">
        <x:v>薛莹</x:v>
      </x:c>
      <x:c r="C489" s="2" t="str">
        <x:v>小沛(-)</x:v>
      </x:c>
      <x:c r="D489" s="2" t="str">
        <x:v>小沛(-)</x:v>
      </x:c>
      <x:c r="E489" s="2" t="str">
        <x:v>小沛(-)</x:v>
      </x:c>
      <x:c r="F489" s="2" t="str">
        <x:v>交趾(-)</x:v>
      </x:c>
      <x:c r="G489" s="2" t="str">
        <x:v>吳(-)</x:v>
      </x:c>
      <x:c r="H489" s="2" t="str">
        <x:v>南海(-)</x:v>
      </x:c>
      <x:c r="I489" s="2" t="str">
        <x:v>南海(-)</x:v>
      </x:c>
      <x:c r="J489" s="2" t="str">
        <x:v>南海(-)</x:v>
      </x:c>
      <x:c r="K489" s="2" t="str">
        <x:v>孫權</x:v>
      </x:c>
      <x:c r="L489" s="2" t="str">
        <x:v>小沛(未)</x:v>
      </x:c>
    </x:row>
    <x:row r="490" ht="23" customHeight="1">
      <x:c r="A490" s="12" t="n">
        <x:v>482</x:v>
      </x:c>
      <x:c r="B490" s="2" t="str">
        <x:v>泄归泥</x:v>
      </x:c>
      <x:c r="C490" s="2" t="str">
        <x:v>晉陽(-)</x:v>
      </x:c>
      <x:c r="D490" s="2" t="str">
        <x:v>晉陽(-)</x:v>
      </x:c>
      <x:c r="E490" s="2" t="str">
        <x:v>晉陽(-)</x:v>
      </x:c>
      <x:c r="F490" s="2" t="str">
        <x:v>晉陽(-)</x:v>
      </x:c>
      <x:c r="G490" s="2" t="str">
        <x:v>晉陽(-)</x:v>
      </x:c>
      <x:c r="H490" s="2" t="str">
        <x:v>晉陽(野)</x:v>
      </x:c>
      <x:c r="I490" s="2" t="str">
        <x:v>晉陽(野)</x:v>
      </x:c>
      <x:c r="J490" s="2" t="str">
        <x:v>晉陽(野)</x:v>
      </x:c>
      <x:c r="K490" s="2" t="str">
        <x:v>晉陽(野)</x:v>
      </x:c>
      <x:c r="L490" s="2" t="str">
        <x:v>晉陽(未)</x:v>
      </x:c>
    </x:row>
    <x:row r="491" ht="23" customHeight="1">
      <x:c r="A491" s="12" t="n">
        <x:v>483</x:v>
      </x:c>
      <x:c r="B491" s="2" t="str">
        <x:v>薛珝</x:v>
      </x:c>
      <x:c r="C491" s="2" t="str">
        <x:v>小沛(-)</x:v>
      </x:c>
      <x:c r="D491" s="2" t="str">
        <x:v>小沛(-)</x:v>
      </x:c>
      <x:c r="E491" s="2" t="str">
        <x:v>小沛(-)</x:v>
      </x:c>
      <x:c r="F491" s="2" t="str">
        <x:v>交趾(-)</x:v>
      </x:c>
      <x:c r="G491" s="2" t="str">
        <x:v>吳(-)</x:v>
      </x:c>
      <x:c r="H491" s="2" t="str">
        <x:v>南海(-)</x:v>
      </x:c>
      <x:c r="I491" s="2" t="str">
        <x:v>南海(-)</x:v>
      </x:c>
      <x:c r="J491" s="2" t="str">
        <x:v>南海(-)</x:v>
      </x:c>
      <x:c r="K491" s="2" t="str">
        <x:v>孫權</x:v>
      </x:c>
      <x:c r="L491" s="2" t="str">
        <x:v>小沛(未)</x:v>
      </x:c>
    </x:row>
    <x:row r="492" ht="23" customHeight="1">
      <x:c r="A492" s="12" t="n">
        <x:v>484</x:v>
      </x:c>
      <x:c r="B492" s="2" t="str">
        <x:v>薛综</x:v>
      </x:c>
      <x:c r="C492" s="2" t="str">
        <x:v>小沛(-)</x:v>
      </x:c>
      <x:c r="D492" s="2" t="str">
        <x:v>小沛(-)</x:v>
      </x:c>
      <x:c r="E492" s="2" t="str">
        <x:v>小沛(-)</x:v>
      </x:c>
      <x:c r="F492" s="2" t="str">
        <x:v>交趾(-)</x:v>
      </x:c>
      <x:c r="G492" s="2" t="str">
        <x:v>孫權</x:v>
      </x:c>
      <x:c r="H492" s="2" t="str">
        <x:v>孫權</x:v>
      </x:c>
      <x:c r="I492" s="2" t="str">
        <x:v>孫權</x:v>
      </x:c>
      <x:c r="J492" s="2" t="str">
        <x:v>孫權</x:v>
      </x:c>
      <x:c r="K492" s="2" t="str">
        <x:v>x</x:v>
      </x:c>
      <x:c r="L492" s="2" t="str">
        <x:v>小沛(未)</x:v>
      </x:c>
    </x:row>
    <x:row r="493" ht="23" customHeight="1">
      <x:c r="A493" s="12" t="n">
        <x:v>485</x:v>
      </x:c>
      <x:c r="B493" s="2" t="str">
        <x:v>薛悌</x:v>
      </x:c>
      <x:c r="C493" s="2" t="str">
        <x:v>濮陽(-)</x:v>
      </x:c>
      <x:c r="D493" s="2" t="str">
        <x:v>濮陽(-)</x:v>
      </x:c>
      <x:c r="E493" s="2" t="str">
        <x:v>曹操</x:v>
      </x:c>
      <x:c r="F493" s="2" t="str">
        <x:v>曹操</x:v>
      </x:c>
      <x:c r="G493" s="2" t="str">
        <x:v>曹操</x:v>
      </x:c>
      <x:c r="H493" s="2" t="str">
        <x:v>曹操</x:v>
      </x:c>
      <x:c r="I493" s="2" t="str">
        <x:v>曹丕</x:v>
      </x:c>
      <x:c r="J493" s="2" t="str">
        <x:v>曹叡</x:v>
      </x:c>
      <x:c r="K493" s="2" t="str">
        <x:v>x</x:v>
      </x:c>
      <x:c r="L493" s="2" t="str">
        <x:v>濮陽(未)</x:v>
      </x:c>
    </x:row>
    <x:row r="494" ht="23" customHeight="1">
      <x:c r="A494" s="12" t="n">
        <x:v>486</x:v>
      </x:c>
      <x:c r="B494" s="2" t="str">
        <x:v>薛兰</x:v>
      </x:c>
      <x:c r="C494" s="2" t="str">
        <x:v>濮陽(-)</x:v>
      </x:c>
      <x:c r="D494" s="2" t="str">
        <x:v>濮陽(-)</x:v>
      </x:c>
      <x:c r="E494" s="2" t="str">
        <x:v>呂布</x:v>
      </x:c>
      <x:c r="F494" s="2" t="str">
        <x:v>x</x:v>
      </x:c>
      <x:c r="G494" s="2" t="str">
        <x:v>x</x:v>
      </x:c>
      <x:c r="H494" s="2" t="str">
        <x:v>x</x:v>
      </x:c>
      <x:c r="I494" s="2" t="str">
        <x:v>x</x:v>
      </x:c>
      <x:c r="J494" s="2" t="str">
        <x:v>x</x:v>
      </x:c>
      <x:c r="K494" s="2" t="str">
        <x:v>x</x:v>
      </x:c>
      <x:c r="L494" s="2" t="str">
        <x:v>呂布</x:v>
      </x:c>
    </x:row>
    <x:row r="495" ht="23" customHeight="1">
      <x:c r="A495" s="12" t="n">
        <x:v>487</x:v>
      </x:c>
      <x:c r="B495" s="2" t="str">
        <x:v>薛礼</x:v>
      </x:c>
      <x:c r="C495" s="2" t="str">
        <x:v>下邳(未)</x:v>
      </x:c>
      <x:c r="D495" s="2" t="str">
        <x:v>下邳(未)</x:v>
      </x:c>
      <x:c r="E495" s="2" t="str">
        <x:v>劉繇</x:v>
      </x:c>
      <x:c r="F495" s="2" t="str">
        <x:v>x</x:v>
      </x:c>
      <x:c r="G495" s="2" t="str">
        <x:v>x</x:v>
      </x:c>
      <x:c r="H495" s="2" t="str">
        <x:v>x</x:v>
      </x:c>
      <x:c r="I495" s="2" t="str">
        <x:v>x</x:v>
      </x:c>
      <x:c r="J495" s="2" t="str">
        <x:v>x</x:v>
      </x:c>
      <x:c r="K495" s="2" t="str">
        <x:v>x</x:v>
      </x:c>
      <x:c r="L495" s="2" t="str">
        <x:v>劉繇</x:v>
      </x:c>
    </x:row>
    <x:row r="496" ht="23" customHeight="1">
      <x:c r="A496" s="12" t="n">
        <x:v>488</x:v>
      </x:c>
      <x:c r="B496" s="2" t="str">
        <x:v>全祎</x:v>
      </x:c>
      <x:c r="C496" s="2" t="str">
        <x:v>吳(-)</x:v>
      </x:c>
      <x:c r="D496" s="2" t="str">
        <x:v>吳(-)</x:v>
      </x:c>
      <x:c r="E496" s="2" t="str">
        <x:v>吳(-)</x:v>
      </x:c>
      <x:c r="F496" s="2" t="str">
        <x:v>吳(-)</x:v>
      </x:c>
      <x:c r="G496" s="2" t="str">
        <x:v>吳(-)</x:v>
      </x:c>
      <x:c r="H496" s="2" t="str">
        <x:v>吳(-)</x:v>
      </x:c>
      <x:c r="I496" s="2" t="str">
        <x:v>吳(-)</x:v>
      </x:c>
      <x:c r="J496" s="2" t="str">
        <x:v>吳(-)</x:v>
      </x:c>
      <x:c r="K496" s="2" t="str">
        <x:v>孫權</x:v>
      </x:c>
      <x:c r="L496" s="2" t="str">
        <x:v>吳(未)</x:v>
      </x:c>
    </x:row>
    <x:row r="497" ht="23" customHeight="1">
      <x:c r="A497" s="12" t="n">
        <x:v>489</x:v>
      </x:c>
      <x:c r="B497" s="2" t="str">
        <x:v>鲜于丹</x:v>
      </x:c>
      <x:c r="C497" s="2" t="str">
        <x:v>吳(-)</x:v>
      </x:c>
      <x:c r="D497" s="2" t="str">
        <x:v>吳(-)</x:v>
      </x:c>
      <x:c r="E497" s="2" t="str">
        <x:v>吳(-)</x:v>
      </x:c>
      <x:c r="F497" s="2" t="str">
        <x:v>吳(-)</x:v>
      </x:c>
      <x:c r="G497" s="2" t="str">
        <x:v>吳(-)</x:v>
      </x:c>
      <x:c r="H497" s="2" t="str">
        <x:v>孫權</x:v>
      </x:c>
      <x:c r="I497" s="2" t="str">
        <x:v>孫權</x:v>
      </x:c>
      <x:c r="J497" s="2" t="str">
        <x:v>孫權</x:v>
      </x:c>
      <x:c r="K497" s="2" t="str">
        <x:v>x</x:v>
      </x:c>
      <x:c r="L497" s="2" t="str">
        <x:v>吳(未)</x:v>
      </x:c>
    </x:row>
    <x:row r="498" ht="23" customHeight="1">
      <x:c r="A498" s="12" t="n">
        <x:v>490</x:v>
      </x:c>
      <x:c r="B498" s="2" t="str">
        <x:v>鲜于辅</x:v>
      </x:c>
      <x:c r="C498" s="2" t="str">
        <x:v>薊(-)</x:v>
      </x:c>
      <x:c r="D498" s="2" t="str">
        <x:v>劉虞</x:v>
      </x:c>
      <x:c r="E498" s="2" t="str">
        <x:v>薊(野)</x:v>
      </x:c>
      <x:c r="F498" s="2" t="str">
        <x:v>薊(野)</x:v>
      </x:c>
      <x:c r="G498" s="2" t="str">
        <x:v>曹操</x:v>
      </x:c>
      <x:c r="H498" s="2" t="str">
        <x:v>曹操</x:v>
      </x:c>
      <x:c r="I498" s="2" t="str">
        <x:v>曹丕</x:v>
      </x:c>
      <x:c r="J498" s="2" t="str">
        <x:v>曹叡</x:v>
      </x:c>
      <x:c r="K498" s="2" t="str">
        <x:v>x</x:v>
      </x:c>
      <x:c r="L498" s="2" t="str">
        <x:v>劉虞</x:v>
      </x:c>
    </x:row>
    <x:row r="499" ht="23" customHeight="1">
      <x:c r="A499" s="12" t="n">
        <x:v>491</x:v>
      </x:c>
      <x:c r="B499" s="2" t="str">
        <x:v>全怿</x:v>
      </x:c>
      <x:c r="C499" s="2" t="str">
        <x:v>吳(-)</x:v>
      </x:c>
      <x:c r="D499" s="2" t="str">
        <x:v>吳(-)</x:v>
      </x:c>
      <x:c r="E499" s="2" t="str">
        <x:v>吳(-)</x:v>
      </x:c>
      <x:c r="F499" s="2" t="str">
        <x:v>吳(-)</x:v>
      </x:c>
      <x:c r="G499" s="2" t="str">
        <x:v>吳(-)</x:v>
      </x:c>
      <x:c r="H499" s="2" t="str">
        <x:v>吳(-)</x:v>
      </x:c>
      <x:c r="I499" s="2" t="str">
        <x:v>吳(-)</x:v>
      </x:c>
      <x:c r="J499" s="2" t="str">
        <x:v>孫權</x:v>
      </x:c>
      <x:c r="K499" s="2" t="str">
        <x:v>孫權</x:v>
      </x:c>
      <x:c r="L499" s="2" t="str">
        <x:v>吳(未)</x:v>
      </x:c>
    </x:row>
    <x:row r="500" ht="23" customHeight="1">
      <x:c r="A500" s="12" t="n">
        <x:v>492</x:v>
      </x:c>
      <x:c r="B500" s="2" t="str">
        <x:v>全纪</x:v>
      </x:c>
      <x:c r="C500" s="2" t="str">
        <x:v>吳(-)</x:v>
      </x:c>
      <x:c r="D500" s="2" t="str">
        <x:v>吳(-)</x:v>
      </x:c>
      <x:c r="E500" s="2" t="str">
        <x:v>吳(-)</x:v>
      </x:c>
      <x:c r="F500" s="2" t="str">
        <x:v>吳(-)</x:v>
      </x:c>
      <x:c r="G500" s="2" t="str">
        <x:v>吳(-)</x:v>
      </x:c>
      <x:c r="H500" s="2" t="str">
        <x:v>吳(-)</x:v>
      </x:c>
      <x:c r="I500" s="2" t="str">
        <x:v>吳(-)</x:v>
      </x:c>
      <x:c r="J500" s="2" t="str">
        <x:v>吳(-)</x:v>
      </x:c>
      <x:c r="K500" s="2" t="str">
        <x:v>孫權</x:v>
      </x:c>
      <x:c r="L500" s="2" t="str">
        <x:v>吳(未)</x:v>
      </x:c>
    </x:row>
    <x:row r="501" ht="23" customHeight="1">
      <x:c r="A501" s="12" t="n">
        <x:v>493</x:v>
      </x:c>
      <x:c r="B501" s="2" t="str">
        <x:v>单经</x:v>
      </x:c>
      <x:c r="C501" s="2" t="str">
        <x:v>公孫瓚</x:v>
      </x:c>
      <x:c r="D501" s="2" t="str">
        <x:v>公孫瓚</x:v>
      </x:c>
      <x:c r="E501" s="2" t="str">
        <x:v>公孫瓚</x:v>
      </x:c>
      <x:c r="F501" s="2" t="str">
        <x:v>x</x:v>
      </x:c>
      <x:c r="G501" s="2" t="str">
        <x:v>x</x:v>
      </x:c>
      <x:c r="H501" s="2" t="str">
        <x:v>x</x:v>
      </x:c>
      <x:c r="I501" s="2" t="str">
        <x:v>x</x:v>
      </x:c>
      <x:c r="J501" s="2" t="str">
        <x:v>x</x:v>
      </x:c>
      <x:c r="K501" s="2" t="str">
        <x:v>x</x:v>
      </x:c>
      <x:c r="L501" s="2" t="str">
        <x:v>公孫瓚</x:v>
      </x:c>
    </x:row>
    <x:row r="502" ht="23" customHeight="1">
      <x:c r="A502" s="12" t="n">
        <x:v>494</x:v>
      </x:c>
      <x:c r="B502" s="2" t="str">
        <x:v>全柔</x:v>
      </x:c>
      <x:c r="C502" s="2" t="str">
        <x:v>吳(-)</x:v>
      </x:c>
      <x:c r="D502" s="2" t="str">
        <x:v>吳(野)</x:v>
      </x:c>
      <x:c r="E502" s="2" t="str">
        <x:v>吳(野)</x:v>
      </x:c>
      <x:c r="F502" s="2" t="str">
        <x:v>孫策</x:v>
      </x:c>
      <x:c r="G502" s="2" t="str">
        <x:v>孫權</x:v>
      </x:c>
      <x:c r="H502" s="2" t="str">
        <x:v>孫權</x:v>
      </x:c>
      <x:c r="I502" s="2" t="str">
        <x:v>x</x:v>
      </x:c>
      <x:c r="J502" s="2" t="str">
        <x:v>x</x:v>
      </x:c>
      <x:c r="K502" s="2" t="str">
        <x:v>x</x:v>
      </x:c>
      <x:c r="L502" s="2" t="str">
        <x:v>吳(未)</x:v>
      </x:c>
    </x:row>
    <x:row r="503" ht="23" customHeight="1">
      <x:c r="A503" s="12" t="n">
        <x:v>495</x:v>
      </x:c>
      <x:c r="B503" s="2" t="str">
        <x:v>全尚</x:v>
      </x:c>
      <x:c r="C503" s="2" t="str">
        <x:v>吳(-)</x:v>
      </x:c>
      <x:c r="D503" s="2" t="str">
        <x:v>吳(-)</x:v>
      </x:c>
      <x:c r="E503" s="2" t="str">
        <x:v>吳(-)</x:v>
      </x:c>
      <x:c r="F503" s="2" t="str">
        <x:v>吳(-)</x:v>
      </x:c>
      <x:c r="G503" s="2" t="str">
        <x:v>吳(-)</x:v>
      </x:c>
      <x:c r="H503" s="2" t="str">
        <x:v>吳(-)</x:v>
      </x:c>
      <x:c r="I503" s="2" t="str">
        <x:v>吳(-)</x:v>
      </x:c>
      <x:c r="J503" s="2" t="str">
        <x:v>孫權</x:v>
      </x:c>
      <x:c r="K503" s="2" t="str">
        <x:v>孫權</x:v>
      </x:c>
      <x:c r="L503" s="2" t="str">
        <x:v>吳(未)</x:v>
      </x:c>
    </x:row>
    <x:row r="504" ht="23" customHeight="1">
      <x:c r="A504" s="12" t="n">
        <x:v>496</x:v>
      </x:c>
      <x:c r="B504" s="2" t="str">
        <x:v>全琮</x:v>
      </x:c>
      <x:c r="C504" s="2" t="str">
        <x:v>吳(-)</x:v>
      </x:c>
      <x:c r="D504" s="2" t="str">
        <x:v>吳(-)</x:v>
      </x:c>
      <x:c r="E504" s="2" t="str">
        <x:v>吳(-)</x:v>
      </x:c>
      <x:c r="F504" s="2" t="str">
        <x:v>吳(-)</x:v>
      </x:c>
      <x:c r="G504" s="2" t="str">
        <x:v>孫權</x:v>
      </x:c>
      <x:c r="H504" s="2" t="str">
        <x:v>孫權</x:v>
      </x:c>
      <x:c r="I504" s="2" t="str">
        <x:v>孫權</x:v>
      </x:c>
      <x:c r="J504" s="2" t="str">
        <x:v>孫權</x:v>
      </x:c>
      <x:c r="K504" s="2" t="str">
        <x:v>孫權</x:v>
      </x:c>
      <x:c r="L504" s="2" t="str">
        <x:v>孫堅</x:v>
      </x:c>
    </x:row>
    <x:row r="505" ht="23" customHeight="1">
      <x:c r="A505" s="12" t="n">
        <x:v>497</x:v>
      </x:c>
      <x:c r="B505" s="2" t="str">
        <x:v>全端</x:v>
      </x:c>
      <x:c r="C505" s="2" t="str">
        <x:v>吳(-)</x:v>
      </x:c>
      <x:c r="D505" s="2" t="str">
        <x:v>吳(-)</x:v>
      </x:c>
      <x:c r="E505" s="2" t="str">
        <x:v>吳(-)</x:v>
      </x:c>
      <x:c r="F505" s="2" t="str">
        <x:v>吳(-)</x:v>
      </x:c>
      <x:c r="G505" s="2" t="str">
        <x:v>吳(-)</x:v>
      </x:c>
      <x:c r="H505" s="2" t="str">
        <x:v>吳(-)</x:v>
      </x:c>
      <x:c r="I505" s="2" t="str">
        <x:v>孫權</x:v>
      </x:c>
      <x:c r="J505" s="2" t="str">
        <x:v>孫權</x:v>
      </x:c>
      <x:c r="K505" s="2" t="str">
        <x:v>孫權</x:v>
      </x:c>
      <x:c r="L505" s="2" t="str">
        <x:v>吳(未)</x:v>
      </x:c>
    </x:row>
    <x:row r="506" ht="23" customHeight="1">
      <x:c r="A506" s="12" t="n">
        <x:v>498</x:v>
      </x:c>
      <x:c r="B506" s="2" t="str">
        <x:v>千万</x:v>
      </x:c>
      <x:c r="C506" s="2" t="str">
        <x:v>漢中(-)</x:v>
      </x:c>
      <x:c r="D506" s="2" t="str">
        <x:v>漢中(-)</x:v>
      </x:c>
      <x:c r="E506" s="2" t="str">
        <x:v>漢中(未)</x:v>
      </x:c>
      <x:c r="F506" s="2" t="str">
        <x:v>漢中(未)</x:v>
      </x:c>
      <x:c r="G506" s="2" t="str">
        <x:v>漢中(野)</x:v>
      </x:c>
      <x:c r="H506" s="2" t="str">
        <x:v>梓潼(野)</x:v>
      </x:c>
      <x:c r="I506" s="2" t="str">
        <x:v>梓潼(野)</x:v>
      </x:c>
      <x:c r="J506" s="2" t="str">
        <x:v>梓潼(野)</x:v>
      </x:c>
      <x:c r="K506" s="2" t="str">
        <x:v>梓潼(野)</x:v>
      </x:c>
      <x:c r="L506" s="2" t="str">
        <x:v>漢中(未)</x:v>
      </x:c>
    </x:row>
    <x:row r="507" ht="23" customHeight="1">
      <x:c r="A507" s="12" t="n">
        <x:v>499</x:v>
      </x:c>
      <x:c r="B507" s="2" t="str">
        <x:v>曹安民</x:v>
      </x:c>
      <x:c r="C507" s="2" t="str">
        <x:v>許昌(-)</x:v>
      </x:c>
      <x:c r="D507" s="2" t="str">
        <x:v>許昌(未)</x:v>
      </x:c>
      <x:c r="E507" s="2" t="str">
        <x:v>曹操</x:v>
      </x:c>
      <x:c r="F507" s="2" t="str">
        <x:v>x</x:v>
      </x:c>
      <x:c r="G507" s="2" t="str">
        <x:v>x</x:v>
      </x:c>
      <x:c r="H507" s="2" t="str">
        <x:v>x</x:v>
      </x:c>
      <x:c r="I507" s="2" t="str">
        <x:v>x</x:v>
      </x:c>
      <x:c r="J507" s="2" t="str">
        <x:v>x</x:v>
      </x:c>
      <x:c r="K507" s="2" t="str">
        <x:v>x</x:v>
      </x:c>
      <x:c r="L507" s="2" t="str">
        <x:v>曹操</x:v>
      </x:c>
    </x:row>
    <x:row r="508" ht="23" customHeight="1">
      <x:c r="A508" s="12" t="n">
        <x:v>500</x:v>
      </x:c>
      <x:c r="B508" s="2" t="str">
        <x:v>曹宇</x:v>
      </x:c>
      <x:c r="C508" s="2" t="str">
        <x:v>許昌(-)</x:v>
      </x:c>
      <x:c r="D508" s="2" t="str">
        <x:v>許昌(-)</x:v>
      </x:c>
      <x:c r="E508" s="2" t="str">
        <x:v>許昌(-)</x:v>
      </x:c>
      <x:c r="F508" s="2" t="str">
        <x:v>許昌(-)</x:v>
      </x:c>
      <x:c r="G508" s="2" t="str">
        <x:v>鄴(-)</x:v>
      </x:c>
      <x:c r="H508" s="2" t="str">
        <x:v>曹操</x:v>
      </x:c>
      <x:c r="I508" s="2" t="str">
        <x:v>曹丕</x:v>
      </x:c>
      <x:c r="J508" s="2" t="str">
        <x:v>曹叡</x:v>
      </x:c>
      <x:c r="K508" s="2" t="str">
        <x:v>曹芳</x:v>
      </x:c>
      <x:c r="L508" s="2" t="str">
        <x:v>曹操</x:v>
      </x:c>
    </x:row>
    <x:row r="509" ht="23" customHeight="1">
      <x:c r="A509" s="12" t="n">
        <x:v>501</x:v>
      </x:c>
      <x:c r="B509" s="2" t="str">
        <x:v>曹叡</x:v>
      </x:c>
      <x:c r="C509" s="2" t="str">
        <x:v>許昌(-)</x:v>
      </x:c>
      <x:c r="D509" s="2" t="str">
        <x:v>許昌(-)</x:v>
      </x:c>
      <x:c r="E509" s="2" t="str">
        <x:v>許昌(-)</x:v>
      </x:c>
      <x:c r="F509" s="2" t="str">
        <x:v>許昌(-)</x:v>
      </x:c>
      <x:c r="G509" s="2" t="str">
        <x:v>鄴(-)</x:v>
      </x:c>
      <x:c r="H509" s="2" t="str">
        <x:v>鄴(-)</x:v>
      </x:c>
      <x:c r="I509" s="2" t="str">
        <x:v>曹丕</x:v>
      </x:c>
      <x:c r="J509" s="2" t="str">
        <x:v>曹叡</x:v>
      </x:c>
      <x:c r="K509" s="2" t="str">
        <x:v>x</x:v>
      </x:c>
      <x:c r="L509" s="2" t="str">
        <x:v>曹操</x:v>
      </x:c>
    </x:row>
    <x:row r="510" ht="23" customHeight="1">
      <x:c r="A510" s="12" t="n">
        <x:v>502</x:v>
      </x:c>
      <x:c r="B510" s="2" t="str">
        <x:v>曹华</x:v>
      </x:c>
      <x:c r="C510" s="2" t="str">
        <x:v>許昌(-)</x:v>
      </x:c>
      <x:c r="D510" s="2" t="str">
        <x:v>許昌(-)</x:v>
      </x:c>
      <x:c r="E510" s="2" t="str">
        <x:v>許昌(-)</x:v>
      </x:c>
      <x:c r="F510" s="2" t="str">
        <x:v>許昌(-)</x:v>
      </x:c>
      <x:c r="G510" s="2" t="str">
        <x:v>鄴(-)</x:v>
      </x:c>
      <x:c r="H510" s="2" t="str">
        <x:v>曹操</x:v>
      </x:c>
      <x:c r="I510" s="2" t="str">
        <x:v>濮陽(野)</x:v>
      </x:c>
      <x:c r="J510" s="2" t="str">
        <x:v>濮陽(野)</x:v>
      </x:c>
      <x:c r="K510" s="2" t="str">
        <x:v>x</x:v>
      </x:c>
      <x:c r="L510" s="2" t="str">
        <x:v>曹操</x:v>
      </x:c>
    </x:row>
    <x:row r="511" ht="23" customHeight="1">
      <x:c r="A511" s="12" t="n">
        <x:v>503</x:v>
      </x:c>
      <x:c r="B511" s="2" t="str">
        <x:v>曹奂</x:v>
      </x:c>
      <x:c r="C511" s="2" t="str">
        <x:v>許昌(-)</x:v>
      </x:c>
      <x:c r="D511" s="2" t="str">
        <x:v>許昌(-)</x:v>
      </x:c>
      <x:c r="E511" s="2" t="str">
        <x:v>許昌(-)</x:v>
      </x:c>
      <x:c r="F511" s="2" t="str">
        <x:v>許昌(-)</x:v>
      </x:c>
      <x:c r="G511" s="2" t="str">
        <x:v>鄴(-)</x:v>
      </x:c>
      <x:c r="H511" s="2" t="str">
        <x:v>鄴(-)</x:v>
      </x:c>
      <x:c r="I511" s="2" t="str">
        <x:v>洛陽(-)</x:v>
      </x:c>
      <x:c r="J511" s="2" t="str">
        <x:v>洛陽(-)</x:v>
      </x:c>
      <x:c r="K511" s="2" t="str">
        <x:v>洛陽(-)</x:v>
      </x:c>
      <x:c r="L511" s="2" t="str">
        <x:v>曹操</x:v>
      </x:c>
    </x:row>
    <x:row r="512" ht="23" customHeight="1">
      <x:c r="A512" s="12" t="n">
        <x:v>504</x:v>
      </x:c>
      <x:c r="B512" s="2" t="str">
        <x:v>曹羲</x:v>
      </x:c>
      <x:c r="C512" s="2" t="str">
        <x:v>許昌(-)</x:v>
      </x:c>
      <x:c r="D512" s="2" t="str">
        <x:v>許昌(-)</x:v>
      </x:c>
      <x:c r="E512" s="2" t="str">
        <x:v>許昌(-)</x:v>
      </x:c>
      <x:c r="F512" s="2" t="str">
        <x:v>許昌(-)</x:v>
      </x:c>
      <x:c r="G512" s="2" t="str">
        <x:v>鄴(-)</x:v>
      </x:c>
      <x:c r="H512" s="2" t="str">
        <x:v>鄴(-)</x:v>
      </x:c>
      <x:c r="I512" s="2" t="str">
        <x:v>洛陽(-)</x:v>
      </x:c>
      <x:c r="J512" s="2" t="str">
        <x:v>曹叡</x:v>
      </x:c>
      <x:c r="K512" s="2" t="str">
        <x:v>曹爽</x:v>
      </x:c>
      <x:c r="L512" s="2" t="str">
        <x:v>曹操</x:v>
      </x:c>
    </x:row>
    <x:row r="513" ht="23" customHeight="1">
      <x:c r="A513" s="12" t="n">
        <x:v>505</x:v>
      </x:c>
      <x:c r="B513" s="2" t="str">
        <x:v>曹休</x:v>
      </x:c>
      <x:c r="C513" s="2" t="str">
        <x:v>許昌(-)</x:v>
      </x:c>
      <x:c r="D513" s="2" t="str">
        <x:v>曹操</x:v>
      </x:c>
      <x:c r="E513" s="2" t="str">
        <x:v>曹操</x:v>
      </x:c>
      <x:c r="F513" s="2" t="str">
        <x:v>曹操</x:v>
      </x:c>
      <x:c r="G513" s="2" t="str">
        <x:v>曹操</x:v>
      </x:c>
      <x:c r="H513" s="2" t="str">
        <x:v>曹操</x:v>
      </x:c>
      <x:c r="I513" s="2" t="str">
        <x:v>曹丕</x:v>
      </x:c>
      <x:c r="J513" s="2" t="str">
        <x:v>曹叡</x:v>
      </x:c>
      <x:c r="K513" s="2" t="str">
        <x:v>x</x:v>
      </x:c>
      <x:c r="L513" s="2" t="str">
        <x:v>曹操</x:v>
      </x:c>
    </x:row>
    <x:row r="514" ht="23" customHeight="1">
      <x:c r="A514" s="12" t="n">
        <x:v>506</x:v>
      </x:c>
      <x:c r="B514" s="2" t="str">
        <x:v>曹训</x:v>
      </x:c>
      <x:c r="C514" s="2" t="str">
        <x:v>許昌(-)</x:v>
      </x:c>
      <x:c r="D514" s="2" t="str">
        <x:v>許昌(-)</x:v>
      </x:c>
      <x:c r="E514" s="2" t="str">
        <x:v>許昌(-)</x:v>
      </x:c>
      <x:c r="F514" s="2" t="str">
        <x:v>許昌(-)</x:v>
      </x:c>
      <x:c r="G514" s="2" t="str">
        <x:v>鄴(-)</x:v>
      </x:c>
      <x:c r="H514" s="2" t="str">
        <x:v>鄴(-)</x:v>
      </x:c>
      <x:c r="I514" s="2" t="str">
        <x:v>洛陽(-)</x:v>
      </x:c>
      <x:c r="J514" s="2" t="str">
        <x:v>曹叡</x:v>
      </x:c>
      <x:c r="K514" s="2" t="str">
        <x:v>曹爽</x:v>
      </x:c>
      <x:c r="L514" s="2" t="str">
        <x:v>曹操</x:v>
      </x:c>
    </x:row>
    <x:row r="515" ht="23" customHeight="1">
      <x:c r="A515" s="12" t="n">
        <x:v>507</x:v>
      </x:c>
      <x:c r="B515" s="2" t="str">
        <x:v>宋宪</x:v>
      </x:c>
      <x:c r="C515" s="2" t="str">
        <x:v>丁原</x:v>
      </x:c>
      <x:c r="D515" s="2" t="str">
        <x:v>董卓</x:v>
      </x:c>
      <x:c r="E515" s="2" t="str">
        <x:v>呂布</x:v>
      </x:c>
      <x:c r="F515" s="2" t="str">
        <x:v>曹操</x:v>
      </x:c>
      <x:c r="G515" s="2" t="str">
        <x:v>x</x:v>
      </x:c>
      <x:c r="H515" s="2" t="str">
        <x:v>x</x:v>
      </x:c>
      <x:c r="I515" s="2" t="str">
        <x:v>x</x:v>
      </x:c>
      <x:c r="J515" s="2" t="str">
        <x:v>x</x:v>
      </x:c>
      <x:c r="K515" s="2" t="str">
        <x:v>x</x:v>
      </x:c>
      <x:c r="L515" s="2" t="str">
        <x:v>呂布</x:v>
      </x:c>
    </x:row>
    <x:row r="516" ht="23" customHeight="1">
      <x:c r="A516" s="12" t="n">
        <x:v>508</x:v>
      </x:c>
      <x:c r="B516" s="2" t="str">
        <x:v>宋谦</x:v>
      </x:c>
      <x:c r="C516" s="2" t="str">
        <x:v>廬江(-)</x:v>
      </x:c>
      <x:c r="D516" s="2" t="str">
        <x:v>廬江(-)</x:v>
      </x:c>
      <x:c r="E516" s="2" t="str">
        <x:v>廬江(未)</x:v>
      </x:c>
      <x:c r="F516" s="2" t="str">
        <x:v>孫策</x:v>
      </x:c>
      <x:c r="G516" s="2" t="str">
        <x:v>孫權</x:v>
      </x:c>
      <x:c r="H516" s="2" t="str">
        <x:v>孫權</x:v>
      </x:c>
      <x:c r="I516" s="2" t="str">
        <x:v>孫權</x:v>
      </x:c>
      <x:c r="J516" s="2" t="str">
        <x:v>孫權</x:v>
      </x:c>
      <x:c r="K516" s="2" t="str">
        <x:v>x</x:v>
      </x:c>
      <x:c r="L516" s="2" t="str">
        <x:v>廬江(未)</x:v>
      </x:c>
    </x:row>
    <x:row r="517" ht="23" customHeight="1">
      <x:c r="A517" s="12" t="n">
        <x:v>509</x:v>
      </x:c>
      <x:c r="B517" s="2" t="str">
        <x:v>曹宪</x:v>
      </x:c>
      <x:c r="C517" s="2" t="str">
        <x:v>許昌(-)</x:v>
      </x:c>
      <x:c r="D517" s="2" t="str">
        <x:v>許昌(-)</x:v>
      </x:c>
      <x:c r="E517" s="2" t="str">
        <x:v>許昌(-)</x:v>
      </x:c>
      <x:c r="F517" s="2" t="str">
        <x:v>許昌(-)</x:v>
      </x:c>
      <x:c r="G517" s="2" t="str">
        <x:v>鄴(-)</x:v>
      </x:c>
      <x:c r="H517" s="2" t="str">
        <x:v>曹操</x:v>
      </x:c>
      <x:c r="I517" s="2" t="str">
        <x:v>濮陽(野)</x:v>
      </x:c>
      <x:c r="J517" s="2" t="str">
        <x:v>濮陽(野)</x:v>
      </x:c>
      <x:c r="K517" s="2" t="str">
        <x:v>濮陽(野)</x:v>
      </x:c>
      <x:c r="L517" s="2" t="str">
        <x:v>曹操</x:v>
      </x:c>
    </x:row>
    <x:row r="518" ht="23" customHeight="1">
      <x:c r="A518" s="12" t="n">
        <x:v>510</x:v>
      </x:c>
      <x:c r="B518" s="2" t="str">
        <x:v>曹昂</x:v>
      </x:c>
      <x:c r="C518" s="2" t="str">
        <x:v>許昌(-)</x:v>
      </x:c>
      <x:c r="D518" s="2" t="str">
        <x:v>曹操</x:v>
      </x:c>
      <x:c r="E518" s="2" t="str">
        <x:v>曹操</x:v>
      </x:c>
      <x:c r="F518" s="2" t="str">
        <x:v>x</x:v>
      </x:c>
      <x:c r="G518" s="2" t="str">
        <x:v>x</x:v>
      </x:c>
      <x:c r="H518" s="2" t="str">
        <x:v>x</x:v>
      </x:c>
      <x:c r="I518" s="2" t="str">
        <x:v>x</x:v>
      </x:c>
      <x:c r="J518" s="2" t="str">
        <x:v>x</x:v>
      </x:c>
      <x:c r="K518" s="2" t="str">
        <x:v>x</x:v>
      </x:c>
      <x:c r="L518" s="2" t="str">
        <x:v>曹操</x:v>
      </x:c>
    </x:row>
    <x:row r="519" ht="23" customHeight="1">
      <x:c r="A519" s="12" t="n">
        <x:v>511</x:v>
      </x:c>
      <x:c r="B519" s="2" t="str">
        <x:v>曹洪</x:v>
      </x:c>
      <x:c r="C519" s="2" t="str">
        <x:v>許昌(-)</x:v>
      </x:c>
      <x:c r="D519" s="2" t="str">
        <x:v>曹操</x:v>
      </x:c>
      <x:c r="E519" s="2" t="str">
        <x:v>曹操</x:v>
      </x:c>
      <x:c r="F519" s="2" t="str">
        <x:v>曹操</x:v>
      </x:c>
      <x:c r="G519" s="2" t="str">
        <x:v>曹操</x:v>
      </x:c>
      <x:c r="H519" s="2" t="str">
        <x:v>曹操</x:v>
      </x:c>
      <x:c r="I519" s="2" t="str">
        <x:v>曹丕</x:v>
      </x:c>
      <x:c r="J519" s="2" t="str">
        <x:v>曹叡</x:v>
      </x:c>
      <x:c r="K519" s="2" t="str">
        <x:v>x</x:v>
      </x:c>
      <x:c r="L519" s="2" t="str">
        <x:v>曹操</x:v>
      </x:c>
    </x:row>
    <x:row r="520" ht="23" customHeight="1">
      <x:c r="A520" s="12" t="n">
        <x:v>512</x:v>
      </x:c>
      <x:c r="B520" s="2" t="str">
        <x:v>臧洪</x:v>
      </x:c>
      <x:c r="C520" s="2" t="str">
        <x:v>廣陵(野)</x:v>
      </x:c>
      <x:c r="D520" s="2" t="str">
        <x:v>張超</x:v>
      </x:c>
      <x:c r="E520" s="2" t="str">
        <x:v>袁紹</x:v>
      </x:c>
      <x:c r="F520" s="2" t="str">
        <x:v>x</x:v>
      </x:c>
      <x:c r="G520" s="2" t="str">
        <x:v>x</x:v>
      </x:c>
      <x:c r="H520" s="2" t="str">
        <x:v>x</x:v>
      </x:c>
      <x:c r="I520" s="2" t="str">
        <x:v>x</x:v>
      </x:c>
      <x:c r="J520" s="2" t="str">
        <x:v>x</x:v>
      </x:c>
      <x:c r="K520" s="2" t="str">
        <x:v>x</x:v>
      </x:c>
      <x:c r="L520" s="2" t="str">
        <x:v>廣陵(未)</x:v>
      </x:c>
    </x:row>
    <x:row r="521" ht="23" customHeight="1">
      <x:c r="A521" s="12" t="n">
        <x:v>513</x:v>
      </x:c>
      <x:c r="B521" s="2" t="str">
        <x:v>仓慈</x:v>
      </x:c>
      <x:c r="C521" s="2" t="str">
        <x:v>壽春(-)</x:v>
      </x:c>
      <x:c r="D521" s="2" t="str">
        <x:v>壽春(-)</x:v>
      </x:c>
      <x:c r="E521" s="2" t="str">
        <x:v>壽春(-)</x:v>
      </x:c>
      <x:c r="F521" s="2" t="str">
        <x:v>壽春(未)</x:v>
      </x:c>
      <x:c r="G521" s="2" t="str">
        <x:v>曹操</x:v>
      </x:c>
      <x:c r="H521" s="2" t="str">
        <x:v>曹操</x:v>
      </x:c>
      <x:c r="I521" s="2" t="str">
        <x:v>曹丕</x:v>
      </x:c>
      <x:c r="J521" s="2" t="str">
        <x:v>曹叡</x:v>
      </x:c>
      <x:c r="K521" s="2" t="str">
        <x:v>x</x:v>
      </x:c>
      <x:c r="L521" s="2" t="str">
        <x:v>壽春(未)</x:v>
      </x:c>
    </x:row>
    <x:row r="522" ht="23" customHeight="1">
      <x:c r="A522" s="12" t="n">
        <x:v>514</x:v>
      </x:c>
      <x:c r="B522" s="2" t="str">
        <x:v>曹纯</x:v>
      </x:c>
      <x:c r="C522" s="2" t="str">
        <x:v>許昌(-)</x:v>
      </x:c>
      <x:c r="D522" s="2" t="str">
        <x:v>曹操</x:v>
      </x:c>
      <x:c r="E522" s="2" t="str">
        <x:v>曹操</x:v>
      </x:c>
      <x:c r="F522" s="2" t="str">
        <x:v>曹操</x:v>
      </x:c>
      <x:c r="G522" s="2" t="str">
        <x:v>曹操</x:v>
      </x:c>
      <x:c r="H522" s="2" t="str">
        <x:v>x</x:v>
      </x:c>
      <x:c r="I522" s="2" t="str">
        <x:v>x</x:v>
      </x:c>
      <x:c r="J522" s="2" t="str">
        <x:v>x</x:v>
      </x:c>
      <x:c r="K522" s="2" t="str">
        <x:v>x</x:v>
      </x:c>
      <x:c r="L522" s="2" t="str">
        <x:v>曹操</x:v>
      </x:c>
    </x:row>
    <x:row r="523" ht="23" customHeight="1">
      <x:c r="A523" s="12" t="n">
        <x:v>515</x:v>
      </x:c>
      <x:c r="B523" s="2" t="str">
        <x:v>曹彰</x:v>
      </x:c>
      <x:c r="C523" s="2" t="str">
        <x:v>許昌(-)</x:v>
      </x:c>
      <x:c r="D523" s="2" t="str">
        <x:v>許昌(-)</x:v>
      </x:c>
      <x:c r="E523" s="2" t="str">
        <x:v>許昌(-)</x:v>
      </x:c>
      <x:c r="F523" s="2" t="str">
        <x:v>許昌(-)</x:v>
      </x:c>
      <x:c r="G523" s="2" t="str">
        <x:v>曹操</x:v>
      </x:c>
      <x:c r="H523" s="2" t="str">
        <x:v>曹操</x:v>
      </x:c>
      <x:c r="I523" s="2" t="str">
        <x:v>曹丕</x:v>
      </x:c>
      <x:c r="J523" s="2" t="str">
        <x:v>x</x:v>
      </x:c>
      <x:c r="K523" s="2" t="str">
        <x:v>x</x:v>
      </x:c>
      <x:c r="L523" s="2" t="str">
        <x:v>曹操</x:v>
      </x:c>
    </x:row>
    <x:row r="524" ht="23" customHeight="1">
      <x:c r="A524" s="12" t="n">
        <x:v>516</x:v>
      </x:c>
      <x:c r="B524" s="2" t="str">
        <x:v>曹植</x:v>
      </x:c>
      <x:c r="C524" s="2" t="str">
        <x:v>許昌(-)</x:v>
      </x:c>
      <x:c r="D524" s="2" t="str">
        <x:v>許昌(-)</x:v>
      </x:c>
      <x:c r="E524" s="2" t="str">
        <x:v>許昌(-)</x:v>
      </x:c>
      <x:c r="F524" s="2" t="str">
        <x:v>許昌(-)</x:v>
      </x:c>
      <x:c r="G524" s="2" t="str">
        <x:v>曹操</x:v>
      </x:c>
      <x:c r="H524" s="2" t="str">
        <x:v>曹操</x:v>
      </x:c>
      <x:c r="I524" s="2" t="str">
        <x:v>曹丕</x:v>
      </x:c>
      <x:c r="J524" s="2" t="str">
        <x:v>曹叡</x:v>
      </x:c>
      <x:c r="K524" s="2" t="str">
        <x:v>x</x:v>
      </x:c>
      <x:c r="L524" s="2" t="str">
        <x:v>曹操</x:v>
      </x:c>
    </x:row>
    <x:row r="525" ht="23" customHeight="1">
      <x:c r="A525" s="12" t="n">
        <x:v>517</x:v>
      </x:c>
      <x:c r="B525" s="2" t="str">
        <x:v>曹真</x:v>
      </x:c>
      <x:c r="C525" s="2" t="str">
        <x:v>許昌(-)</x:v>
      </x:c>
      <x:c r="D525" s="2" t="str">
        <x:v>許昌(-)</x:v>
      </x:c>
      <x:c r="E525" s="2" t="str">
        <x:v>許昌(-)</x:v>
      </x:c>
      <x:c r="F525" s="2" t="str">
        <x:v>許昌(-)</x:v>
      </x:c>
      <x:c r="G525" s="2" t="str">
        <x:v>曹操</x:v>
      </x:c>
      <x:c r="H525" s="2" t="str">
        <x:v>曹操</x:v>
      </x:c>
      <x:c r="I525" s="2" t="str">
        <x:v>曹丕</x:v>
      </x:c>
      <x:c r="J525" s="2" t="str">
        <x:v>曹叡</x:v>
      </x:c>
      <x:c r="K525" s="2" t="str">
        <x:v>x</x:v>
      </x:c>
      <x:c r="L525" s="2" t="str">
        <x:v>曹操</x:v>
      </x:c>
    </x:row>
    <x:row r="526" ht="23" customHeight="1">
      <x:c r="A526" s="12" t="n">
        <x:v>518</x:v>
      </x:c>
      <x:c r="B526" s="2" t="str">
        <x:v>曹仁</x:v>
      </x:c>
      <x:c r="C526" s="2" t="str">
        <x:v>許昌(-)</x:v>
      </x:c>
      <x:c r="D526" s="2" t="str">
        <x:v>曹操</x:v>
      </x:c>
      <x:c r="E526" s="2" t="str">
        <x:v>曹操</x:v>
      </x:c>
      <x:c r="F526" s="2" t="str">
        <x:v>曹操</x:v>
      </x:c>
      <x:c r="G526" s="2" t="str">
        <x:v>曹操</x:v>
      </x:c>
      <x:c r="H526" s="2" t="str">
        <x:v>曹操</x:v>
      </x:c>
      <x:c r="I526" s="2" t="str">
        <x:v>曹丕</x:v>
      </x:c>
      <x:c r="J526" s="2" t="str">
        <x:v>x</x:v>
      </x:c>
      <x:c r="K526" s="2" t="str">
        <x:v>x</x:v>
      </x:c>
      <x:c r="L526" s="2" t="str">
        <x:v>曹操</x:v>
      </x:c>
    </x:row>
    <x:row r="527" ht="23" customHeight="1">
      <x:c r="A527" s="12" t="n">
        <x:v>519</x:v>
      </x:c>
      <x:c r="B527" s="2" t="str">
        <x:v>曹性</x:v>
      </x:c>
      <x:c r="C527" s="2" t="str">
        <x:v>晉陽(未)</x:v>
      </x:c>
      <x:c r="D527" s="2" t="str">
        <x:v>董卓</x:v>
      </x:c>
      <x:c r="E527" s="2" t="str">
        <x:v>呂布</x:v>
      </x:c>
      <x:c r="F527" s="2" t="str">
        <x:v>x</x:v>
      </x:c>
      <x:c r="G527" s="2" t="str">
        <x:v>x</x:v>
      </x:c>
      <x:c r="H527" s="2" t="str">
        <x:v>x</x:v>
      </x:c>
      <x:c r="I527" s="2" t="str">
        <x:v>x</x:v>
      </x:c>
      <x:c r="J527" s="2" t="str">
        <x:v>x</x:v>
      </x:c>
      <x:c r="K527" s="2" t="str">
        <x:v>x</x:v>
      </x:c>
      <x:c r="L527" s="2" t="str">
        <x:v>呂布</x:v>
      </x:c>
    </x:row>
    <x:row r="528" ht="23" customHeight="1">
      <x:c r="A528" s="12" t="n">
        <x:v>520</x:v>
      </x:c>
      <x:c r="B528" s="2" t="str">
        <x:v>曹节</x:v>
      </x:c>
      <x:c r="C528" s="2" t="str">
        <x:v>許昌(-)</x:v>
      </x:c>
      <x:c r="D528" s="2" t="str">
        <x:v>許昌(-)</x:v>
      </x:c>
      <x:c r="E528" s="2" t="str">
        <x:v>許昌(-)</x:v>
      </x:c>
      <x:c r="F528" s="2" t="str">
        <x:v>許昌(-)</x:v>
      </x:c>
      <x:c r="G528" s="2" t="str">
        <x:v>鄴(-)</x:v>
      </x:c>
      <x:c r="H528" s="2" t="str">
        <x:v>曹操</x:v>
      </x:c>
      <x:c r="I528" s="2" t="str">
        <x:v>濮陽(野)</x:v>
      </x:c>
      <x:c r="J528" s="2" t="str">
        <x:v>濮陽(野)</x:v>
      </x:c>
      <x:c r="K528" s="2" t="str">
        <x:v>濮陽(野)</x:v>
      </x:c>
      <x:c r="L528" s="2" t="str">
        <x:v>曹操</x:v>
      </x:c>
    </x:row>
    <x:row r="529" ht="23" customHeight="1">
      <x:c r="A529" s="12" t="n">
        <x:v>521</x:v>
      </x:c>
      <x:c r="B529" s="2" t="str">
        <x:v>曹操</x:v>
      </x:c>
      <x:c r="C529" s="2" t="str">
        <x:v>何進</x:v>
      </x:c>
      <x:c r="D529" s="2" t="str">
        <x:v>曹操</x:v>
      </x:c>
      <x:c r="E529" s="2" t="str">
        <x:v>曹操</x:v>
      </x:c>
      <x:c r="F529" s="2" t="str">
        <x:v>曹操</x:v>
      </x:c>
      <x:c r="G529" s="2" t="str">
        <x:v>曹操</x:v>
      </x:c>
      <x:c r="H529" s="2" t="str">
        <x:v>曹操</x:v>
      </x:c>
      <x:c r="I529" s="2" t="str">
        <x:v>x</x:v>
      </x:c>
      <x:c r="J529" s="2" t="str">
        <x:v>x</x:v>
      </x:c>
      <x:c r="K529" s="2" t="str">
        <x:v>x</x:v>
      </x:c>
      <x:c r="L529" s="2" t="str">
        <x:v>曹操</x:v>
      </x:c>
    </x:row>
    <x:row r="530" ht="23" customHeight="1">
      <x:c r="A530" s="12" t="n">
        <x:v>522</x:v>
      </x:c>
      <x:c r="B530" s="2" t="str">
        <x:v>曹爽</x:v>
      </x:c>
      <x:c r="C530" s="2" t="str">
        <x:v>許昌(-)</x:v>
      </x:c>
      <x:c r="D530" s="2" t="str">
        <x:v>許昌(-)</x:v>
      </x:c>
      <x:c r="E530" s="2" t="str">
        <x:v>許昌(-)</x:v>
      </x:c>
      <x:c r="F530" s="2" t="str">
        <x:v>許昌(-)</x:v>
      </x:c>
      <x:c r="G530" s="2" t="str">
        <x:v>鄴(-)</x:v>
      </x:c>
      <x:c r="H530" s="2" t="str">
        <x:v>鄴(-)</x:v>
      </x:c>
      <x:c r="I530" s="2" t="str">
        <x:v>曹丕</x:v>
      </x:c>
      <x:c r="J530" s="2" t="str">
        <x:v>曹叡</x:v>
      </x:c>
      <x:c r="K530" s="2" t="str">
        <x:v>曹爽</x:v>
      </x:c>
      <x:c r="L530" s="2" t="str">
        <x:v>曹操</x:v>
      </x:c>
    </x:row>
    <x:row r="531" ht="23" customHeight="1">
      <x:c r="A531" s="12" t="n">
        <x:v>523</x:v>
      </x:c>
      <x:c r="B531" s="2" t="str">
        <x:v>曹冲</x:v>
      </x:c>
      <x:c r="C531" s="2" t="str">
        <x:v>許昌(-)</x:v>
      </x:c>
      <x:c r="D531" s="2" t="str">
        <x:v>許昌(-)</x:v>
      </x:c>
      <x:c r="E531" s="2" t="str">
        <x:v>許昌(-)</x:v>
      </x:c>
      <x:c r="F531" s="2" t="str">
        <x:v>許昌(-)</x:v>
      </x:c>
      <x:c r="G531" s="2" t="str">
        <x:v>曹操</x:v>
      </x:c>
      <x:c r="H531" s="2" t="str">
        <x:v>x</x:v>
      </x:c>
      <x:c r="I531" s="2" t="str">
        <x:v>x</x:v>
      </x:c>
      <x:c r="J531" s="2" t="str">
        <x:v>x</x:v>
      </x:c>
      <x:c r="K531" s="2" t="str">
        <x:v>x</x:v>
      </x:c>
      <x:c r="L531" s="2" t="str">
        <x:v>曹操</x:v>
      </x:c>
    </x:row>
    <x:row r="532" ht="23" customHeight="1">
      <x:c r="A532" s="12" t="n">
        <x:v>524</x:v>
      </x:c>
      <x:c r="B532" s="2" t="str">
        <x:v>宋忠</x:v>
      </x:c>
      <x:c r="C532" s="2" t="str">
        <x:v>襄陽(未)</x:v>
      </x:c>
      <x:c r="D532" s="2" t="str">
        <x:v>襄陽(未)</x:v>
      </x:c>
      <x:c r="E532" s="2" t="str">
        <x:v>劉表</x:v>
      </x:c>
      <x:c r="F532" s="2" t="str">
        <x:v>劉表</x:v>
      </x:c>
      <x:c r="G532" s="2" t="str">
        <x:v>劉表</x:v>
      </x:c>
      <x:c r="H532" s="2" t="str">
        <x:v>曹操</x:v>
      </x:c>
      <x:c r="I532" s="2" t="str">
        <x:v>曹丕</x:v>
      </x:c>
      <x:c r="J532" s="2" t="str">
        <x:v>曹叡</x:v>
      </x:c>
      <x:c r="K532" s="2" t="str">
        <x:v>x</x:v>
      </x:c>
      <x:c r="L532" s="2" t="str">
        <x:v>襄陽(未)</x:v>
      </x:c>
    </x:row>
    <x:row r="533" ht="23" customHeight="1">
      <x:c r="A533" s="12" t="n">
        <x:v>525</x:v>
      </x:c>
      <x:c r="B533" s="2" t="str">
        <x:v>臧霸</x:v>
      </x:c>
      <x:c r="C533" s="2" t="str">
        <x:v>何進</x:v>
      </x:c>
      <x:c r="D533" s="2" t="str">
        <x:v>陶謙</x:v>
      </x:c>
      <x:c r="E533" s="2" t="str">
        <x:v>陶謙</x:v>
      </x:c>
      <x:c r="F533" s="2" t="str">
        <x:v>曹操</x:v>
      </x:c>
      <x:c r="G533" s="2" t="str">
        <x:v>曹操</x:v>
      </x:c>
      <x:c r="H533" s="2" t="str">
        <x:v>曹操</x:v>
      </x:c>
      <x:c r="I533" s="2" t="str">
        <x:v>曹丕</x:v>
      </x:c>
      <x:c r="J533" s="2" t="str">
        <x:v>曹叡</x:v>
      </x:c>
      <x:c r="K533" s="2" t="str">
        <x:v>x</x:v>
      </x:c>
      <x:c r="L533" s="2" t="str">
        <x:v>陶謙</x:v>
      </x:c>
    </x:row>
    <x:row r="534" ht="23" customHeight="1">
      <x:c r="A534" s="12" t="n">
        <x:v>526</x:v>
      </x:c>
      <x:c r="B534" s="2" t="str">
        <x:v>曹丕</x:v>
      </x:c>
      <x:c r="C534" s="2" t="str">
        <x:v>許昌(-)</x:v>
      </x:c>
      <x:c r="D534" s="2" t="str">
        <x:v>許昌(-)</x:v>
      </x:c>
      <x:c r="E534" s="2" t="str">
        <x:v>許昌(-)</x:v>
      </x:c>
      <x:c r="F534" s="2" t="str">
        <x:v>曹操</x:v>
      </x:c>
      <x:c r="G534" s="2" t="str">
        <x:v>曹操</x:v>
      </x:c>
      <x:c r="H534" s="2" t="str">
        <x:v>曹操</x:v>
      </x:c>
      <x:c r="I534" s="2" t="str">
        <x:v>曹丕</x:v>
      </x:c>
      <x:c r="J534" s="2" t="str">
        <x:v>x</x:v>
      </x:c>
      <x:c r="K534" s="2" t="str">
        <x:v>x</x:v>
      </x:c>
      <x:c r="L534" s="2" t="str">
        <x:v>曹操</x:v>
      </x:c>
    </x:row>
    <x:row r="535" ht="23" customHeight="1">
      <x:c r="A535" s="12" t="n">
        <x:v>527</x:v>
      </x:c>
      <x:c r="B535" s="2" t="str">
        <x:v>曹豹</x:v>
      </x:c>
      <x:c r="C535" s="2" t="str">
        <x:v>下邳(未)</x:v>
      </x:c>
      <x:c r="D535" s="2" t="str">
        <x:v>陶謙</x:v>
      </x:c>
      <x:c r="E535" s="2" t="str">
        <x:v>陶謙</x:v>
      </x:c>
      <x:c r="F535" s="2" t="str">
        <x:v>x</x:v>
      </x:c>
      <x:c r="G535" s="2" t="str">
        <x:v>x</x:v>
      </x:c>
      <x:c r="H535" s="2" t="str">
        <x:v>x</x:v>
      </x:c>
      <x:c r="I535" s="2" t="str">
        <x:v>x</x:v>
      </x:c>
      <x:c r="J535" s="2" t="str">
        <x:v>x</x:v>
      </x:c>
      <x:c r="K535" s="2" t="str">
        <x:v>x</x:v>
      </x:c>
      <x:c r="L535" s="2" t="str">
        <x:v>陶謙</x:v>
      </x:c>
    </x:row>
    <x:row r="536" ht="23" customHeight="1">
      <x:c r="A536" s="12" t="n">
        <x:v>528</x:v>
      </x:c>
      <x:c r="B536" s="2" t="str">
        <x:v>曹彪</x:v>
      </x:c>
      <x:c r="C536" s="2" t="str">
        <x:v>許昌(-)</x:v>
      </x:c>
      <x:c r="D536" s="2" t="str">
        <x:v>許昌(-)</x:v>
      </x:c>
      <x:c r="E536" s="2" t="str">
        <x:v>許昌(-)</x:v>
      </x:c>
      <x:c r="F536" s="2" t="str">
        <x:v>許昌(-)</x:v>
      </x:c>
      <x:c r="G536" s="2" t="str">
        <x:v>鄴(-)</x:v>
      </x:c>
      <x:c r="H536" s="2" t="str">
        <x:v>曹操</x:v>
      </x:c>
      <x:c r="I536" s="2" t="str">
        <x:v>曹丕</x:v>
      </x:c>
      <x:c r="J536" s="2" t="str">
        <x:v>曹叡</x:v>
      </x:c>
      <x:c r="K536" s="2" t="str">
        <x:v>曹芳</x:v>
      </x:c>
      <x:c r="L536" s="2" t="str">
        <x:v>曹操</x:v>
      </x:c>
    </x:row>
    <x:row r="537" ht="23" customHeight="1">
      <x:c r="A537" s="12" t="n">
        <x:v>529</x:v>
      </x:c>
      <x:c r="B537" s="2" t="str">
        <x:v>曹芳</x:v>
      </x:c>
      <x:c r="C537" s="2" t="str">
        <x:v>許昌(-)</x:v>
      </x:c>
      <x:c r="D537" s="2" t="str">
        <x:v>許昌(-)</x:v>
      </x:c>
      <x:c r="E537" s="2" t="str">
        <x:v>許昌(-)</x:v>
      </x:c>
      <x:c r="F537" s="2" t="str">
        <x:v>許昌(-)</x:v>
      </x:c>
      <x:c r="G537" s="2" t="str">
        <x:v>鄴(-)</x:v>
      </x:c>
      <x:c r="H537" s="2" t="str">
        <x:v>鄴(-)</x:v>
      </x:c>
      <x:c r="I537" s="2" t="str">
        <x:v>洛陽(-)</x:v>
      </x:c>
      <x:c r="J537" s="2" t="str">
        <x:v>洛陽(-)</x:v>
      </x:c>
      <x:c r="K537" s="2" t="str">
        <x:v>曹芳</x:v>
      </x:c>
      <x:c r="L537" s="2" t="str">
        <x:v>曹操</x:v>
      </x:c>
    </x:row>
    <x:row r="538" ht="23" customHeight="1">
      <x:c r="A538" s="12" t="n">
        <x:v>530</x:v>
      </x:c>
      <x:c r="B538" s="2" t="str">
        <x:v>曹髦</x:v>
      </x:c>
      <x:c r="C538" s="2" t="str">
        <x:v>許昌(-)</x:v>
      </x:c>
      <x:c r="D538" s="2" t="str">
        <x:v>許昌(-)</x:v>
      </x:c>
      <x:c r="E538" s="2" t="str">
        <x:v>許昌(-)</x:v>
      </x:c>
      <x:c r="F538" s="2" t="str">
        <x:v>許昌(-)</x:v>
      </x:c>
      <x:c r="G538" s="2" t="str">
        <x:v>鄴(-)</x:v>
      </x:c>
      <x:c r="H538" s="2" t="str">
        <x:v>鄴(-)</x:v>
      </x:c>
      <x:c r="I538" s="2" t="str">
        <x:v>洛陽(-)</x:v>
      </x:c>
      <x:c r="J538" s="2" t="str">
        <x:v>洛陽(-)</x:v>
      </x:c>
      <x:c r="K538" s="2" t="str">
        <x:v>洛陽(-)</x:v>
      </x:c>
      <x:c r="L538" s="2" t="str">
        <x:v>曹操</x:v>
      </x:c>
    </x:row>
    <x:row r="539" ht="23" customHeight="1">
      <x:c r="A539" s="12" t="n">
        <x:v>531</x:v>
      </x:c>
      <x:c r="B539" s="2" t="str">
        <x:v>曹熊</x:v>
      </x:c>
      <x:c r="C539" s="2" t="str">
        <x:v>許昌(-)</x:v>
      </x:c>
      <x:c r="D539" s="2" t="str">
        <x:v>許昌(-)</x:v>
      </x:c>
      <x:c r="E539" s="2" t="str">
        <x:v>許昌(-)</x:v>
      </x:c>
      <x:c r="F539" s="2" t="str">
        <x:v>許昌(-)</x:v>
      </x:c>
      <x:c r="G539" s="2" t="str">
        <x:v>鄴(-)</x:v>
      </x:c>
      <x:c r="H539" s="2" t="str">
        <x:v>曹操</x:v>
      </x:c>
      <x:c r="I539" s="2" t="str">
        <x:v>x</x:v>
      </x:c>
      <x:c r="J539" s="2" t="str">
        <x:v>x</x:v>
      </x:c>
      <x:c r="K539" s="2" t="str">
        <x:v>x</x:v>
      </x:c>
      <x:c r="L539" s="2" t="str">
        <x:v>曹操</x:v>
      </x:c>
    </x:row>
    <x:row r="540" ht="23" customHeight="1">
      <x:c r="A540" s="12" t="n">
        <x:v>532</x:v>
      </x:c>
      <x:c r="B540" s="2" t="str">
        <x:v>宗预</x:v>
      </x:c>
      <x:c r="C540" s="2" t="str">
        <x:v>宛(-)</x:v>
      </x:c>
      <x:c r="D540" s="2" t="str">
        <x:v>宛(-)</x:v>
      </x:c>
      <x:c r="E540" s="2" t="str">
        <x:v>宛(-)</x:v>
      </x:c>
      <x:c r="F540" s="2" t="str">
        <x:v>宛(-)</x:v>
      </x:c>
      <x:c r="G540" s="2" t="str">
        <x:v>宛(-)</x:v>
      </x:c>
      <x:c r="H540" s="2" t="str">
        <x:v>劉備</x:v>
      </x:c>
      <x:c r="I540" s="2" t="str">
        <x:v>劉備</x:v>
      </x:c>
      <x:c r="J540" s="2" t="str">
        <x:v>劉禪</x:v>
      </x:c>
      <x:c r="K540" s="2" t="str">
        <x:v>劉禪</x:v>
      </x:c>
      <x:c r="L540" s="2" t="str">
        <x:v>宛(未)</x:v>
      </x:c>
    </x:row>
    <x:row r="541" ht="23" customHeight="1">
      <x:c r="A541" s="12" t="n">
        <x:v>533</x:v>
      </x:c>
      <x:c r="B541" s="2" t="str">
        <x:v>曹霖</x:v>
      </x:c>
      <x:c r="C541" s="2" t="str">
        <x:v>許昌(-)</x:v>
      </x:c>
      <x:c r="D541" s="2" t="str">
        <x:v>許昌(-)</x:v>
      </x:c>
      <x:c r="E541" s="2" t="str">
        <x:v>許昌(-)</x:v>
      </x:c>
      <x:c r="F541" s="2" t="str">
        <x:v>許昌(-)</x:v>
      </x:c>
      <x:c r="G541" s="2" t="str">
        <x:v>鄴(-)</x:v>
      </x:c>
      <x:c r="H541" s="2" t="str">
        <x:v>鄴(-)</x:v>
      </x:c>
      <x:c r="I541" s="2" t="str">
        <x:v>曹丕</x:v>
      </x:c>
      <x:c r="J541" s="2" t="str">
        <x:v>曹叡</x:v>
      </x:c>
      <x:c r="K541" s="2" t="str">
        <x:v>曹芳</x:v>
      </x:c>
      <x:c r="L541" s="2" t="str">
        <x:v>曹操</x:v>
      </x:c>
    </x:row>
    <x:row r="542" ht="23" customHeight="1">
      <x:c r="A542" s="12" t="n">
        <x:v>534</x:v>
      </x:c>
      <x:c r="B542" s="2" t="str">
        <x:v>沮鹄</x:v>
      </x:c>
      <x:c r="C542" s="2" t="str">
        <x:v>鄴(-)</x:v>
      </x:c>
      <x:c r="D542" s="2" t="str">
        <x:v>鄴(-)</x:v>
      </x:c>
      <x:c r="E542" s="2" t="str">
        <x:v>鄴(-)</x:v>
      </x:c>
      <x:c r="F542" s="2" t="str">
        <x:v>袁紹</x:v>
      </x:c>
      <x:c r="G542" s="2" t="str">
        <x:v>x</x:v>
      </x:c>
      <x:c r="H542" s="2" t="str">
        <x:v>x</x:v>
      </x:c>
      <x:c r="I542" s="2" t="str">
        <x:v>x</x:v>
      </x:c>
      <x:c r="J542" s="2" t="str">
        <x:v>x</x:v>
      </x:c>
      <x:c r="K542" s="2" t="str">
        <x:v>x</x:v>
      </x:c>
      <x:c r="L542" s="2" t="str">
        <x:v>韓馥</x:v>
      </x:c>
    </x:row>
    <x:row r="543" ht="23" customHeight="1">
      <x:c r="A543" s="12" t="n">
        <x:v>535</x:v>
      </x:c>
      <x:c r="B543" s="2" t="str">
        <x:v>沮授</x:v>
      </x:c>
      <x:c r="C543" s="2" t="str">
        <x:v>鄴(未)</x:v>
      </x:c>
      <x:c r="D543" s="2" t="str">
        <x:v>韓馥</x:v>
      </x:c>
      <x:c r="E543" s="2" t="str">
        <x:v>袁紹</x:v>
      </x:c>
      <x:c r="F543" s="2" t="str">
        <x:v>袁紹</x:v>
      </x:c>
      <x:c r="G543" s="2" t="str">
        <x:v>x</x:v>
      </x:c>
      <x:c r="H543" s="2" t="str">
        <x:v>x</x:v>
      </x:c>
      <x:c r="I543" s="2" t="str">
        <x:v>x</x:v>
      </x:c>
      <x:c r="J543" s="2" t="str">
        <x:v>x</x:v>
      </x:c>
      <x:c r="K543" s="2" t="str">
        <x:v>x</x:v>
      </x:c>
      <x:c r="L543" s="2" t="str">
        <x:v>韓馥</x:v>
      </x:c>
    </x:row>
    <x:row r="544" ht="23" customHeight="1">
      <x:c r="A544" s="12" t="n">
        <x:v>536</x:v>
      </x:c>
      <x:c r="B544" s="2" t="str">
        <x:v>苏则</x:v>
      </x:c>
      <x:c r="C544" s="2" t="str">
        <x:v>長安(-)</x:v>
      </x:c>
      <x:c r="D544" s="2" t="str">
        <x:v>長安(-)</x:v>
      </x:c>
      <x:c r="E544" s="2" t="str">
        <x:v>安定(-)</x:v>
      </x:c>
      <x:c r="F544" s="2" t="str">
        <x:v>安定(未)</x:v>
      </x:c>
      <x:c r="G544" s="2" t="str">
        <x:v>安定(未)</x:v>
      </x:c>
      <x:c r="H544" s="2" t="str">
        <x:v>曹操</x:v>
      </x:c>
      <x:c r="I544" s="2" t="str">
        <x:v>曹丕</x:v>
      </x:c>
      <x:c r="J544" s="2" t="str">
        <x:v>x</x:v>
      </x:c>
      <x:c r="K544" s="2" t="str">
        <x:v>x</x:v>
      </x:c>
      <x:c r="L544" s="2" t="str">
        <x:v>長安(未)</x:v>
      </x:c>
    </x:row>
    <x:row r="545" ht="23" customHeight="1">
      <x:c r="A545" s="12" t="n">
        <x:v>537</x:v>
      </x:c>
      <x:c r="B545" s="2" t="str">
        <x:v>苏飞</x:v>
      </x:c>
      <x:c r="C545" s="2" t="str">
        <x:v>江夏(-)</x:v>
      </x:c>
      <x:c r="D545" s="2" t="str">
        <x:v>江夏(-)</x:v>
      </x:c>
      <x:c r="E545" s="2" t="str">
        <x:v>劉表</x:v>
      </x:c>
      <x:c r="F545" s="2" t="str">
        <x:v>劉表</x:v>
      </x:c>
      <x:c r="G545" s="2" t="str">
        <x:v>劉表</x:v>
      </x:c>
      <x:c r="H545" s="2" t="str">
        <x:v>孫權</x:v>
      </x:c>
      <x:c r="I545" s="2" t="str">
        <x:v>x</x:v>
      </x:c>
      <x:c r="J545" s="2" t="str">
        <x:v>x</x:v>
      </x:c>
      <x:c r="K545" s="2" t="str">
        <x:v>x</x:v>
      </x:c>
      <x:c r="L545" s="2" t="str">
        <x:v>江夏(未)</x:v>
      </x:c>
    </x:row>
    <x:row r="546" ht="23" customHeight="1">
      <x:c r="A546" s="12" t="n">
        <x:v>538</x:v>
      </x:c>
      <x:c r="B546" s="2" t="str">
        <x:v>祖茂</x:v>
      </x:c>
      <x:c r="C546" s="2" t="str">
        <x:v>孫堅</x:v>
      </x:c>
      <x:c r="D546" s="2" t="str">
        <x:v>孫堅</x:v>
      </x:c>
      <x:c r="E546" s="2" t="str">
        <x:v>x</x:v>
      </x:c>
      <x:c r="F546" s="2" t="str">
        <x:v>x</x:v>
      </x:c>
      <x:c r="G546" s="2" t="str">
        <x:v>x</x:v>
      </x:c>
      <x:c r="H546" s="2" t="str">
        <x:v>x</x:v>
      </x:c>
      <x:c r="I546" s="2" t="str">
        <x:v>x</x:v>
      </x:c>
      <x:c r="J546" s="2" t="str">
        <x:v>x</x:v>
      </x:c>
      <x:c r="K546" s="2" t="str">
        <x:v>x</x:v>
      </x:c>
      <x:c r="L546" s="2" t="str">
        <x:v>孫堅</x:v>
      </x:c>
    </x:row>
    <x:row r="547" ht="23" customHeight="1">
      <x:c r="A547" s="12" t="n">
        <x:v>539</x:v>
      </x:c>
      <x:c r="B547" s="2" t="str">
        <x:v>苏由</x:v>
      </x:c>
      <x:c r="C547" s="2" t="str">
        <x:v>鄴(未)</x:v>
      </x:c>
      <x:c r="D547" s="2" t="str">
        <x:v>鄴(未)</x:v>
      </x:c>
      <x:c r="E547" s="2" t="str">
        <x:v>袁紹</x:v>
      </x:c>
      <x:c r="F547" s="2" t="str">
        <x:v>袁紹</x:v>
      </x:c>
      <x:c r="G547" s="2" t="str">
        <x:v>曹操</x:v>
      </x:c>
      <x:c r="H547" s="2" t="str">
        <x:v>x</x:v>
      </x:c>
      <x:c r="I547" s="2" t="str">
        <x:v>x</x:v>
      </x:c>
      <x:c r="J547" s="2" t="str">
        <x:v>x</x:v>
      </x:c>
      <x:c r="K547" s="2" t="str">
        <x:v>x</x:v>
      </x:c>
      <x:c r="L547" s="2" t="str">
        <x:v>袁紹</x:v>
      </x:c>
    </x:row>
    <x:row r="548" ht="23" customHeight="1">
      <x:c r="A548" s="12" t="n">
        <x:v>540</x:v>
      </x:c>
      <x:c r="B548" s="2" t="str">
        <x:v>孙异</x:v>
      </x:c>
      <x:c r="C548" s="2" t="str">
        <x:v>吳(-)</x:v>
      </x:c>
      <x:c r="D548" s="2" t="str">
        <x:v>吳(-)</x:v>
      </x:c>
      <x:c r="E548" s="2" t="str">
        <x:v>吳(-)</x:v>
      </x:c>
      <x:c r="F548" s="2" t="str">
        <x:v>吳(-)</x:v>
      </x:c>
      <x:c r="G548" s="2" t="str">
        <x:v>吳(-)</x:v>
      </x:c>
      <x:c r="H548" s="2" t="str">
        <x:v>吳(-)</x:v>
      </x:c>
      <x:c r="I548" s="2" t="str">
        <x:v>吳(-)</x:v>
      </x:c>
      <x:c r="J548" s="2" t="str">
        <x:v>吳(-)</x:v>
      </x:c>
      <x:c r="K548" s="2" t="str">
        <x:v>孫權</x:v>
      </x:c>
      <x:c r="L548" s="2" t="str">
        <x:v>孫堅</x:v>
      </x:c>
    </x:row>
    <x:row r="549" ht="23" customHeight="1">
      <x:c r="A549" s="12" t="n">
        <x:v>541</x:v>
      </x:c>
      <x:c r="B549" s="2" t="str">
        <x:v>孙壹</x:v>
      </x:c>
      <x:c r="C549" s="2" t="str">
        <x:v>吳(-)</x:v>
      </x:c>
      <x:c r="D549" s="2" t="str">
        <x:v>吳(-)</x:v>
      </x:c>
      <x:c r="E549" s="2" t="str">
        <x:v>吳(-)</x:v>
      </x:c>
      <x:c r="F549" s="2" t="str">
        <x:v>吳(-)</x:v>
      </x:c>
      <x:c r="G549" s="2" t="str">
        <x:v>吳(-)</x:v>
      </x:c>
      <x:c r="H549" s="2" t="str">
        <x:v>建業(-)</x:v>
      </x:c>
      <x:c r="I549" s="2" t="str">
        <x:v>建業(-)</x:v>
      </x:c>
      <x:c r="J549" s="2" t="str">
        <x:v>建業(-)</x:v>
      </x:c>
      <x:c r="K549" s="2" t="str">
        <x:v>孫權</x:v>
      </x:c>
      <x:c r="L549" s="2" t="str">
        <x:v>孫堅</x:v>
      </x:c>
    </x:row>
    <x:row r="550" ht="23" customHeight="1">
      <x:c r="A550" s="12" t="n">
        <x:v>542</x:v>
      </x:c>
      <x:c r="B550" s="2" t="str">
        <x:v>孙和</x:v>
      </x:c>
      <x:c r="C550" s="2" t="str">
        <x:v>吳(-)</x:v>
      </x:c>
      <x:c r="D550" s="2" t="str">
        <x:v>吳(-)</x:v>
      </x:c>
      <x:c r="E550" s="2" t="str">
        <x:v>吳(-)</x:v>
      </x:c>
      <x:c r="F550" s="2" t="str">
        <x:v>吳(-)</x:v>
      </x:c>
      <x:c r="G550" s="2" t="str">
        <x:v>吳(-)</x:v>
      </x:c>
      <x:c r="H550" s="2" t="str">
        <x:v>建業(-)</x:v>
      </x:c>
      <x:c r="I550" s="2" t="str">
        <x:v>建業(-)</x:v>
      </x:c>
      <x:c r="J550" s="2" t="str">
        <x:v>建業(-)</x:v>
      </x:c>
      <x:c r="K550" s="2" t="str">
        <x:v>孫權</x:v>
      </x:c>
      <x:c r="L550" s="2" t="str">
        <x:v>孫堅</x:v>
      </x:c>
    </x:row>
    <x:row r="551" ht="23" customHeight="1">
      <x:c r="A551" s="12" t="n">
        <x:v>543</x:v>
      </x:c>
      <x:c r="B551" s="2" t="str">
        <x:v>孙河</x:v>
      </x:c>
      <x:c r="C551" s="2" t="str">
        <x:v>孫堅</x:v>
      </x:c>
      <x:c r="D551" s="2" t="str">
        <x:v>孫堅</x:v>
      </x:c>
      <x:c r="E551" s="2" t="str">
        <x:v>孫策</x:v>
      </x:c>
      <x:c r="F551" s="2" t="str">
        <x:v>孫策</x:v>
      </x:c>
      <x:c r="G551" s="2" t="str">
        <x:v>x</x:v>
      </x:c>
      <x:c r="H551" s="2" t="str">
        <x:v>x</x:v>
      </x:c>
      <x:c r="I551" s="2" t="str">
        <x:v>x</x:v>
      </x:c>
      <x:c r="J551" s="2" t="str">
        <x:v>x</x:v>
      </x:c>
      <x:c r="K551" s="2" t="str">
        <x:v>x</x:v>
      </x:c>
      <x:c r="L551" s="2" t="str">
        <x:v>孫堅</x:v>
      </x:c>
    </x:row>
    <x:row r="552" ht="23" customHeight="1">
      <x:c r="A552" s="12" t="n">
        <x:v>544</x:v>
      </x:c>
      <x:c r="B552" s="2" t="str">
        <x:v>孙桓</x:v>
      </x:c>
      <x:c r="C552" s="2" t="str">
        <x:v>吳(-)</x:v>
      </x:c>
      <x:c r="D552" s="2" t="str">
        <x:v>吳(-)</x:v>
      </x:c>
      <x:c r="E552" s="2" t="str">
        <x:v>吳(-)</x:v>
      </x:c>
      <x:c r="F552" s="2" t="str">
        <x:v>吳(-)</x:v>
      </x:c>
      <x:c r="G552" s="2" t="str">
        <x:v>吳(-)</x:v>
      </x:c>
      <x:c r="H552" s="2" t="str">
        <x:v>孫權</x:v>
      </x:c>
      <x:c r="I552" s="2" t="str">
        <x:v>孫權</x:v>
      </x:c>
      <x:c r="J552" s="2" t="str">
        <x:v>孫權</x:v>
      </x:c>
      <x:c r="K552" s="2" t="str">
        <x:v>x</x:v>
      </x:c>
      <x:c r="L552" s="2" t="str">
        <x:v>孫堅</x:v>
      </x:c>
    </x:row>
    <x:row r="553" ht="23" customHeight="1">
      <x:c r="A553" s="12" t="n">
        <x:v>545</x:v>
      </x:c>
      <x:c r="B553" s="2" t="str">
        <x:v>孙观</x:v>
      </x:c>
      <x:c r="C553" s="2" t="str">
        <x:v>何進</x:v>
      </x:c>
      <x:c r="D553" s="2" t="str">
        <x:v>陶謙</x:v>
      </x:c>
      <x:c r="E553" s="2" t="str">
        <x:v>陶謙</x:v>
      </x:c>
      <x:c r="F553" s="2" t="str">
        <x:v>曹操</x:v>
      </x:c>
      <x:c r="G553" s="2" t="str">
        <x:v>曹操</x:v>
      </x:c>
      <x:c r="H553" s="2" t="str">
        <x:v>x</x:v>
      </x:c>
      <x:c r="I553" s="2" t="str">
        <x:v>x</x:v>
      </x:c>
      <x:c r="J553" s="2" t="str">
        <x:v>x</x:v>
      </x:c>
      <x:c r="K553" s="2" t="str">
        <x:v>x</x:v>
      </x:c>
      <x:c r="L553" s="2" t="str">
        <x:v>陶謙</x:v>
      </x:c>
    </x:row>
    <x:row r="554" ht="23" customHeight="1">
      <x:c r="A554" s="12" t="n">
        <x:v>546</x:v>
      </x:c>
      <x:c r="B554" s="2" t="str">
        <x:v>孙奂</x:v>
      </x:c>
      <x:c r="C554" s="2" t="str">
        <x:v>吳(-)</x:v>
      </x:c>
      <x:c r="D554" s="2" t="str">
        <x:v>吳(-)</x:v>
      </x:c>
      <x:c r="E554" s="2" t="str">
        <x:v>吳(-)</x:v>
      </x:c>
      <x:c r="F554" s="2" t="str">
        <x:v>吳(-)</x:v>
      </x:c>
      <x:c r="G554" s="2" t="str">
        <x:v>吳(-)</x:v>
      </x:c>
      <x:c r="H554" s="2" t="str">
        <x:v>孫權</x:v>
      </x:c>
      <x:c r="I554" s="2" t="str">
        <x:v>孫權</x:v>
      </x:c>
      <x:c r="J554" s="2" t="str">
        <x:v>孫權</x:v>
      </x:c>
      <x:c r="K554" s="2" t="str">
        <x:v>x</x:v>
      </x:c>
      <x:c r="L554" s="2" t="str">
        <x:v>孫堅</x:v>
      </x:c>
    </x:row>
    <x:row r="555" ht="23" customHeight="1">
      <x:c r="A555" s="12" t="n">
        <x:v>547</x:v>
      </x:c>
      <x:c r="B555" s="2" t="str">
        <x:v>孙冀</x:v>
      </x:c>
      <x:c r="C555" s="2" t="str">
        <x:v>吳(-)</x:v>
      </x:c>
      <x:c r="D555" s="2" t="str">
        <x:v>吳(-)</x:v>
      </x:c>
      <x:c r="E555" s="2" t="str">
        <x:v>吳(-)</x:v>
      </x:c>
      <x:c r="F555" s="2" t="str">
        <x:v>吳(-)</x:v>
      </x:c>
      <x:c r="G555" s="2" t="str">
        <x:v>吳(-)</x:v>
      </x:c>
      <x:c r="H555" s="2" t="str">
        <x:v>吳(-)</x:v>
      </x:c>
      <x:c r="I555" s="2" t="str">
        <x:v>吳(-)</x:v>
      </x:c>
      <x:c r="J555" s="2" t="str">
        <x:v>吳(-)</x:v>
      </x:c>
      <x:c r="K555" s="2" t="str">
        <x:v>孫權</x:v>
      </x:c>
      <x:c r="L555" s="2" t="str">
        <x:v>吳(未)</x:v>
      </x:c>
    </x:row>
    <x:row r="556" ht="23" customHeight="1">
      <x:c r="A556" s="12" t="n">
        <x:v>548</x:v>
      </x:c>
      <x:c r="B556" s="2" t="str">
        <x:v>孙休</x:v>
      </x:c>
      <x:c r="C556" s="2" t="str">
        <x:v>吳(-)</x:v>
      </x:c>
      <x:c r="D556" s="2" t="str">
        <x:v>吳(-)</x:v>
      </x:c>
      <x:c r="E556" s="2" t="str">
        <x:v>吳(-)</x:v>
      </x:c>
      <x:c r="F556" s="2" t="str">
        <x:v>吳(-)</x:v>
      </x:c>
      <x:c r="G556" s="2" t="str">
        <x:v>吳(-)</x:v>
      </x:c>
      <x:c r="H556" s="2" t="str">
        <x:v>建業(-)</x:v>
      </x:c>
      <x:c r="I556" s="2" t="str">
        <x:v>建業(-)</x:v>
      </x:c>
      <x:c r="J556" s="2" t="str">
        <x:v>建業(-)</x:v>
      </x:c>
      <x:c r="K556" s="2" t="str">
        <x:v>孫權</x:v>
      </x:c>
      <x:c r="L556" s="2" t="str">
        <x:v>孫堅</x:v>
      </x:c>
    </x:row>
    <x:row r="557" ht="23" customHeight="1">
      <x:c r="A557" s="12" t="n">
        <x:v>549</x:v>
      </x:c>
      <x:c r="B557" s="2" t="str">
        <x:v>孙匡</x:v>
      </x:c>
      <x:c r="C557" s="2" t="str">
        <x:v>吳(-)</x:v>
      </x:c>
      <x:c r="D557" s="2" t="str">
        <x:v>吳(-)</x:v>
      </x:c>
      <x:c r="E557" s="2" t="str">
        <x:v>吳(-)</x:v>
      </x:c>
      <x:c r="F557" s="2" t="str">
        <x:v>孫策</x:v>
      </x:c>
      <x:c r="G557" s="2" t="str">
        <x:v>孫權</x:v>
      </x:c>
      <x:c r="H557" s="2" t="str">
        <x:v>x</x:v>
      </x:c>
      <x:c r="I557" s="2" t="str">
        <x:v>x</x:v>
      </x:c>
      <x:c r="J557" s="2" t="str">
        <x:v>x</x:v>
      </x:c>
      <x:c r="K557" s="2" t="str">
        <x:v>x</x:v>
      </x:c>
      <x:c r="L557" s="2" t="str">
        <x:v>孫堅</x:v>
      </x:c>
    </x:row>
    <x:row r="558" ht="23" customHeight="1">
      <x:c r="A558" s="12" t="n">
        <x:v>550</x:v>
      </x:c>
      <x:c r="B558" s="2" t="str">
        <x:v>孙歆</x:v>
      </x:c>
      <x:c r="C558" s="2" t="str">
        <x:v>吳(-)</x:v>
      </x:c>
      <x:c r="D558" s="2" t="str">
        <x:v>吳(-)</x:v>
      </x:c>
      <x:c r="E558" s="2" t="str">
        <x:v>吳(-)</x:v>
      </x:c>
      <x:c r="F558" s="2" t="str">
        <x:v>吳(-)</x:v>
      </x:c>
      <x:c r="G558" s="2" t="str">
        <x:v>吳(-)</x:v>
      </x:c>
      <x:c r="H558" s="2" t="str">
        <x:v>建業(-)</x:v>
      </x:c>
      <x:c r="I558" s="2" t="str">
        <x:v>建業(-)</x:v>
      </x:c>
      <x:c r="J558" s="2" t="str">
        <x:v>建業(-)</x:v>
      </x:c>
      <x:c r="K558" s="2" t="str">
        <x:v>孫權</x:v>
      </x:c>
      <x:c r="L558" s="2" t="str">
        <x:v>孫堅</x:v>
      </x:c>
    </x:row>
    <x:row r="559" ht="23" customHeight="1">
      <x:c r="A559" s="12" t="n">
        <x:v>551</x:v>
      </x:c>
      <x:c r="B559" s="2" t="str">
        <x:v>孙坚</x:v>
      </x:c>
      <x:c r="C559" s="2" t="str">
        <x:v>孫堅</x:v>
      </x:c>
      <x:c r="D559" s="2" t="str">
        <x:v>孫堅</x:v>
      </x:c>
      <x:c r="E559" s="2" t="str">
        <x:v>x</x:v>
      </x:c>
      <x:c r="F559" s="2" t="str">
        <x:v>x</x:v>
      </x:c>
      <x:c r="G559" s="2" t="str">
        <x:v>x</x:v>
      </x:c>
      <x:c r="H559" s="2" t="str">
        <x:v>x</x:v>
      </x:c>
      <x:c r="I559" s="2" t="str">
        <x:v>x</x:v>
      </x:c>
      <x:c r="J559" s="2" t="str">
        <x:v>x</x:v>
      </x:c>
      <x:c r="K559" s="2" t="str">
        <x:v>x</x:v>
      </x:c>
      <x:c r="L559" s="2" t="str">
        <x:v>孫堅</x:v>
      </x:c>
    </x:row>
    <x:row r="560" ht="23" customHeight="1">
      <x:c r="A560" s="12" t="n">
        <x:v>552</x:v>
      </x:c>
      <x:c r="B560" s="2" t="str">
        <x:v>孙乾</x:v>
      </x:c>
      <x:c r="C560" s="2" t="str">
        <x:v>北海(未)</x:v>
      </x:c>
      <x:c r="D560" s="2" t="str">
        <x:v>北海(未)</x:v>
      </x:c>
      <x:c r="E560" s="2" t="str">
        <x:v>北海(未)</x:v>
      </x:c>
      <x:c r="F560" s="2" t="str">
        <x:v>劉備</x:v>
      </x:c>
      <x:c r="G560" s="2" t="str">
        <x:v>劉備</x:v>
      </x:c>
      <x:c r="H560" s="2" t="str">
        <x:v>x</x:v>
      </x:c>
      <x:c r="I560" s="2" t="str">
        <x:v>x</x:v>
      </x:c>
      <x:c r="J560" s="2" t="str">
        <x:v>x</x:v>
      </x:c>
      <x:c r="K560" s="2" t="str">
        <x:v>x</x:v>
      </x:c>
      <x:c r="L560" s="2" t="str">
        <x:v>劉備</x:v>
      </x:c>
    </x:row>
    <x:row r="561" ht="23" customHeight="1">
      <x:c r="A561" s="12" t="n">
        <x:v>553</x:v>
      </x:c>
      <x:c r="B561" s="2" t="str">
        <x:v>孙权</x:v>
      </x:c>
      <x:c r="C561" s="2" t="str">
        <x:v>吳(-)</x:v>
      </x:c>
      <x:c r="D561" s="2" t="str">
        <x:v>吳(-)</x:v>
      </x:c>
      <x:c r="E561" s="2" t="str">
        <x:v>吳(-)</x:v>
      </x:c>
      <x:c r="F561" s="2" t="str">
        <x:v>孫策</x:v>
      </x:c>
      <x:c r="G561" s="2" t="str">
        <x:v>孫權</x:v>
      </x:c>
      <x:c r="H561" s="2" t="str">
        <x:v>孫權</x:v>
      </x:c>
      <x:c r="I561" s="2" t="str">
        <x:v>孫權</x:v>
      </x:c>
      <x:c r="J561" s="2" t="str">
        <x:v>孫權</x:v>
      </x:c>
      <x:c r="K561" s="2" t="str">
        <x:v>孫權</x:v>
      </x:c>
      <x:c r="L561" s="2" t="str">
        <x:v>孫堅</x:v>
      </x:c>
    </x:row>
    <x:row r="562" ht="23" customHeight="1">
      <x:c r="A562" s="12" t="n">
        <x:v>554</x:v>
      </x:c>
      <x:c r="B562" s="2" t="str">
        <x:v>孙皓</x:v>
      </x:c>
      <x:c r="C562" s="2" t="str">
        <x:v>吳(-)</x:v>
      </x:c>
      <x:c r="D562" s="2" t="str">
        <x:v>吳(-)</x:v>
      </x:c>
      <x:c r="E562" s="2" t="str">
        <x:v>吳(-)</x:v>
      </x:c>
      <x:c r="F562" s="2" t="str">
        <x:v>吳(-)</x:v>
      </x:c>
      <x:c r="G562" s="2" t="str">
        <x:v>吳(-)</x:v>
      </x:c>
      <x:c r="H562" s="2" t="str">
        <x:v>建業(-)</x:v>
      </x:c>
      <x:c r="I562" s="2" t="str">
        <x:v>建業(-)</x:v>
      </x:c>
      <x:c r="J562" s="2" t="str">
        <x:v>建業(-)</x:v>
      </x:c>
      <x:c r="K562" s="2" t="str">
        <x:v>建業(-)</x:v>
      </x:c>
      <x:c r="L562" s="2" t="str">
        <x:v>孫堅</x:v>
      </x:c>
    </x:row>
    <x:row r="563" ht="23" customHeight="1">
      <x:c r="A563" s="12" t="n">
        <x:v>555</x:v>
      </x:c>
      <x:c r="B563" s="2" t="str">
        <x:v>孙皎</x:v>
      </x:c>
      <x:c r="C563" s="2" t="str">
        <x:v>吳(-)</x:v>
      </x:c>
      <x:c r="D563" s="2" t="str">
        <x:v>吳(-)</x:v>
      </x:c>
      <x:c r="E563" s="2" t="str">
        <x:v>吳(-)</x:v>
      </x:c>
      <x:c r="F563" s="2" t="str">
        <x:v>孫策</x:v>
      </x:c>
      <x:c r="G563" s="2" t="str">
        <x:v>孫權</x:v>
      </x:c>
      <x:c r="H563" s="2" t="str">
        <x:v>孫權</x:v>
      </x:c>
      <x:c r="I563" s="2" t="str">
        <x:v>x</x:v>
      </x:c>
      <x:c r="J563" s="2" t="str">
        <x:v>x</x:v>
      </x:c>
      <x:c r="K563" s="2" t="str">
        <x:v>x</x:v>
      </x:c>
      <x:c r="L563" s="2" t="str">
        <x:v>孫堅</x:v>
      </x:c>
    </x:row>
    <x:row r="564" ht="23" customHeight="1">
      <x:c r="A564" s="12" t="n">
        <x:v>556</x:v>
      </x:c>
      <x:c r="B564" s="2" t="str">
        <x:v>孙弘</x:v>
      </x:c>
      <x:c r="C564" s="2" t="str">
        <x:v>會稽(-)</x:v>
      </x:c>
      <x:c r="D564" s="2" t="str">
        <x:v>會稽(-)</x:v>
      </x:c>
      <x:c r="E564" s="2" t="str">
        <x:v>會稽(-)</x:v>
      </x:c>
      <x:c r="F564" s="2" t="str">
        <x:v>會稽(-)</x:v>
      </x:c>
      <x:c r="G564" s="2" t="str">
        <x:v>會稽(-)</x:v>
      </x:c>
      <x:c r="H564" s="2" t="str">
        <x:v>會稽(-)</x:v>
      </x:c>
      <x:c r="I564" s="2" t="str">
        <x:v>會稽(-)</x:v>
      </x:c>
      <x:c r="J564" s="2" t="str">
        <x:v>會稽(未)</x:v>
      </x:c>
      <x:c r="K564" s="2" t="str">
        <x:v>孫權</x:v>
      </x:c>
      <x:c r="L564" s="2" t="str">
        <x:v>會稽(未)</x:v>
      </x:c>
    </x:row>
    <x:row r="565" ht="23" customHeight="1">
      <x:c r="A565" s="12" t="n">
        <x:v>557</x:v>
      </x:c>
      <x:c r="B565" s="2" t="str">
        <x:v>孙策</x:v>
      </x:c>
      <x:c r="C565" s="2" t="str">
        <x:v>吳(-)</x:v>
      </x:c>
      <x:c r="D565" s="2" t="str">
        <x:v>孫堅</x:v>
      </x:c>
      <x:c r="E565" s="2" t="str">
        <x:v>孫策</x:v>
      </x:c>
      <x:c r="F565" s="2" t="str">
        <x:v>孫策</x:v>
      </x:c>
      <x:c r="G565" s="2" t="str">
        <x:v>x</x:v>
      </x:c>
      <x:c r="H565" s="2" t="str">
        <x:v>x</x:v>
      </x:c>
      <x:c r="I565" s="2" t="str">
        <x:v>x</x:v>
      </x:c>
      <x:c r="J565" s="2" t="str">
        <x:v>x</x:v>
      </x:c>
      <x:c r="K565" s="2" t="str">
        <x:v>x</x:v>
      </x:c>
      <x:c r="L565" s="2" t="str">
        <x:v>孫堅</x:v>
      </x:c>
    </x:row>
    <x:row r="566" ht="23" customHeight="1">
      <x:c r="A566" s="12" t="n">
        <x:v>558</x:v>
      </x:c>
      <x:c r="B566" s="2" t="str">
        <x:v>孙氏</x:v>
      </x:c>
      <x:c r="C566" s="2" t="str">
        <x:v>吳(-)</x:v>
      </x:c>
      <x:c r="D566" s="2" t="str">
        <x:v>吳(-)</x:v>
      </x:c>
      <x:c r="E566" s="2" t="str">
        <x:v>吳(-)</x:v>
      </x:c>
      <x:c r="F566" s="2" t="str">
        <x:v>吳(-)</x:v>
      </x:c>
      <x:c r="G566" s="2" t="str">
        <x:v>孫權</x:v>
      </x:c>
      <x:c r="H566" s="2" t="str">
        <x:v>孫權</x:v>
      </x:c>
      <x:c r="I566" s="2" t="str">
        <x:v>孫權</x:v>
      </x:c>
      <x:c r="J566" s="2" t="str">
        <x:v>孫權</x:v>
      </x:c>
      <x:c r="K566" s="2" t="str">
        <x:v>孫權</x:v>
      </x:c>
      <x:c r="L566" s="2" t="str">
        <x:v>孫堅</x:v>
      </x:c>
    </x:row>
    <x:row r="567" ht="23" customHeight="1">
      <x:c r="A567" s="12" t="n">
        <x:v>559</x:v>
      </x:c>
      <x:c r="B567" s="2" t="str">
        <x:v>孙资</x:v>
      </x:c>
      <x:c r="C567" s="2" t="str">
        <x:v>晉陽(-)</x:v>
      </x:c>
      <x:c r="D567" s="2" t="str">
        <x:v>晉陽(-)</x:v>
      </x:c>
      <x:c r="E567" s="2" t="str">
        <x:v>晉陽(-)</x:v>
      </x:c>
      <x:c r="F567" s="2" t="str">
        <x:v>洛陽(未)</x:v>
      </x:c>
      <x:c r="G567" s="2" t="str">
        <x:v>曹操</x:v>
      </x:c>
      <x:c r="H567" s="2" t="str">
        <x:v>曹操</x:v>
      </x:c>
      <x:c r="I567" s="2" t="str">
        <x:v>曹丕</x:v>
      </x:c>
      <x:c r="J567" s="2" t="str">
        <x:v>曹叡</x:v>
      </x:c>
      <x:c r="K567" s="2" t="str">
        <x:v>曹芳</x:v>
      </x:c>
      <x:c r="L567" s="2" t="str">
        <x:v>晉陽(未)</x:v>
      </x:c>
    </x:row>
    <x:row r="568" ht="23" customHeight="1">
      <x:c r="A568" s="12" t="n">
        <x:v>560</x:v>
      </x:c>
      <x:c r="B568" s="2" t="str">
        <x:v>孙秀</x:v>
      </x:c>
      <x:c r="C568" s="2" t="str">
        <x:v>吳(-)</x:v>
      </x:c>
      <x:c r="D568" s="2" t="str">
        <x:v>吳(-)</x:v>
      </x:c>
      <x:c r="E568" s="2" t="str">
        <x:v>吳(-)</x:v>
      </x:c>
      <x:c r="F568" s="2" t="str">
        <x:v>吳(-)</x:v>
      </x:c>
      <x:c r="G568" s="2" t="str">
        <x:v>吳(-)</x:v>
      </x:c>
      <x:c r="H568" s="2" t="str">
        <x:v>建業(-)</x:v>
      </x:c>
      <x:c r="I568" s="2" t="str">
        <x:v>建業(-)</x:v>
      </x:c>
      <x:c r="J568" s="2" t="str">
        <x:v>建業(-)</x:v>
      </x:c>
      <x:c r="K568" s="2" t="str">
        <x:v>孫權</x:v>
      </x:c>
      <x:c r="L568" s="2" t="str">
        <x:v>孫堅</x:v>
      </x:c>
    </x:row>
    <x:row r="569" ht="23" customHeight="1">
      <x:c r="A569" s="12" t="n">
        <x:v>561</x:v>
      </x:c>
      <x:c r="B569" s="2" t="str">
        <x:v>孙峻</x:v>
      </x:c>
      <x:c r="C569" s="2" t="str">
        <x:v>吳(-)</x:v>
      </x:c>
      <x:c r="D569" s="2" t="str">
        <x:v>吳(-)</x:v>
      </x:c>
      <x:c r="E569" s="2" t="str">
        <x:v>吳(-)</x:v>
      </x:c>
      <x:c r="F569" s="2" t="str">
        <x:v>吳(-)</x:v>
      </x:c>
      <x:c r="G569" s="2" t="str">
        <x:v>吳(-)</x:v>
      </x:c>
      <x:c r="H569" s="2" t="str">
        <x:v>建業(-)</x:v>
      </x:c>
      <x:c r="I569" s="2" t="str">
        <x:v>建業(-)</x:v>
      </x:c>
      <x:c r="J569" s="2" t="str">
        <x:v>建業(-)</x:v>
      </x:c>
      <x:c r="K569" s="2" t="str">
        <x:v>孫權</x:v>
      </x:c>
      <x:c r="L569" s="2" t="str">
        <x:v>孫堅</x:v>
      </x:c>
    </x:row>
    <x:row r="570" ht="23" customHeight="1">
      <x:c r="A570" s="12" t="n">
        <x:v>562</x:v>
      </x:c>
      <x:c r="B570" s="2" t="str">
        <x:v>孙韶</x:v>
      </x:c>
      <x:c r="C570" s="2" t="str">
        <x:v>吳(-)</x:v>
      </x:c>
      <x:c r="D570" s="2" t="str">
        <x:v>吳(-)</x:v>
      </x:c>
      <x:c r="E570" s="2" t="str">
        <x:v>吳(-)</x:v>
      </x:c>
      <x:c r="F570" s="2" t="str">
        <x:v>吳(-)</x:v>
      </x:c>
      <x:c r="G570" s="2" t="str">
        <x:v>孫權</x:v>
      </x:c>
      <x:c r="H570" s="2" t="str">
        <x:v>孫權</x:v>
      </x:c>
      <x:c r="I570" s="2" t="str">
        <x:v>孫權</x:v>
      </x:c>
      <x:c r="J570" s="2" t="str">
        <x:v>孫權</x:v>
      </x:c>
      <x:c r="K570" s="2" t="str">
        <x:v>x</x:v>
      </x:c>
      <x:c r="L570" s="2" t="str">
        <x:v>孫堅</x:v>
      </x:c>
    </x:row>
    <x:row r="571" ht="23" customHeight="1">
      <x:c r="A571" s="12" t="n">
        <x:v>563</x:v>
      </x:c>
      <x:c r="B571" s="2" t="str">
        <x:v>孙邵</x:v>
      </x:c>
      <x:c r="C571" s="2" t="str">
        <x:v>北海(-)</x:v>
      </x:c>
      <x:c r="D571" s="2" t="str">
        <x:v>孔融</x:v>
      </x:c>
      <x:c r="E571" s="2" t="str">
        <x:v>劉繇</x:v>
      </x:c>
      <x:c r="F571" s="2" t="str">
        <x:v>建業(野)</x:v>
      </x:c>
      <x:c r="G571" s="2" t="str">
        <x:v>孫權</x:v>
      </x:c>
      <x:c r="H571" s="2" t="str">
        <x:v>孫權</x:v>
      </x:c>
      <x:c r="I571" s="2" t="str">
        <x:v>孫權</x:v>
      </x:c>
      <x:c r="J571" s="2" t="str">
        <x:v>x</x:v>
      </x:c>
      <x:c r="K571" s="2" t="str">
        <x:v>x</x:v>
      </x:c>
      <x:c r="L571" s="2" t="str">
        <x:v>孔融</x:v>
      </x:c>
    </x:row>
    <x:row r="572" ht="23" customHeight="1">
      <x:c r="A572" s="12" t="n">
        <x:v>564</x:v>
      </x:c>
      <x:c r="B572" s="2" t="str">
        <x:v>孙松</x:v>
      </x:c>
      <x:c r="C572" s="2" t="str">
        <x:v>吳(-)</x:v>
      </x:c>
      <x:c r="D572" s="2" t="str">
        <x:v>吳(-)</x:v>
      </x:c>
      <x:c r="E572" s="2" t="str">
        <x:v>吳(-)</x:v>
      </x:c>
      <x:c r="F572" s="2" t="str">
        <x:v>吳(-)</x:v>
      </x:c>
      <x:c r="G572" s="2" t="str">
        <x:v>吳(-)</x:v>
      </x:c>
      <x:c r="H572" s="2" t="str">
        <x:v>孫權</x:v>
      </x:c>
      <x:c r="I572" s="2" t="str">
        <x:v>孫權</x:v>
      </x:c>
      <x:c r="J572" s="2" t="str">
        <x:v>孫權</x:v>
      </x:c>
      <x:c r="K572" s="2" t="str">
        <x:v>x</x:v>
      </x:c>
      <x:c r="L572" s="2" t="str">
        <x:v>孫堅</x:v>
      </x:c>
    </x:row>
    <x:row r="573" ht="23" customHeight="1">
      <x:c r="A573" s="12" t="n">
        <x:v>565</x:v>
      </x:c>
      <x:c r="B573" s="2" t="str">
        <x:v>孙尚香</x:v>
      </x:c>
      <x:c r="C573" s="2" t="str">
        <x:v>吳(-)</x:v>
      </x:c>
      <x:c r="D573" s="2" t="str">
        <x:v>吳(-)</x:v>
      </x:c>
      <x:c r="E573" s="2" t="str">
        <x:v>吳(-)</x:v>
      </x:c>
      <x:c r="F573" s="2" t="str">
        <x:v>吳(-)</x:v>
      </x:c>
      <x:c r="G573" s="2" t="str">
        <x:v>孫權</x:v>
      </x:c>
      <x:c r="H573" s="2" t="str">
        <x:v>孫權</x:v>
      </x:c>
      <x:c r="I573" s="2" t="str">
        <x:v>孫權</x:v>
      </x:c>
      <x:c r="J573" s="2" t="str">
        <x:v>x</x:v>
      </x:c>
      <x:c r="K573" s="2" t="str">
        <x:v>x</x:v>
      </x:c>
      <x:c r="L573" s="2" t="str">
        <x:v>孫堅</x:v>
      </x:c>
    </x:row>
    <x:row r="574" ht="23" customHeight="1">
      <x:c r="A574" s="12" t="n">
        <x:v>566</x:v>
      </x:c>
      <x:c r="B574" s="2" t="str">
        <x:v>孙震</x:v>
      </x:c>
      <x:c r="C574" s="2" t="str">
        <x:v>吳(-)</x:v>
      </x:c>
      <x:c r="D574" s="2" t="str">
        <x:v>吳(-)</x:v>
      </x:c>
      <x:c r="E574" s="2" t="str">
        <x:v>吳(-)</x:v>
      </x:c>
      <x:c r="F574" s="2" t="str">
        <x:v>吳(-)</x:v>
      </x:c>
      <x:c r="G574" s="2" t="str">
        <x:v>吳(-)</x:v>
      </x:c>
      <x:c r="H574" s="2" t="str">
        <x:v>建業(-)</x:v>
      </x:c>
      <x:c r="I574" s="2" t="str">
        <x:v>建業(-)</x:v>
      </x:c>
      <x:c r="J574" s="2" t="str">
        <x:v>建業(-)</x:v>
      </x:c>
      <x:c r="K574" s="2" t="str">
        <x:v>建業(-)</x:v>
      </x:c>
      <x:c r="L574" s="2" t="str">
        <x:v>孫堅</x:v>
      </x:c>
    </x:row>
    <x:row r="575" ht="23" customHeight="1">
      <x:c r="A575" s="12" t="n">
        <x:v>567</x:v>
      </x:c>
      <x:c r="B575" s="2" t="str">
        <x:v>孙静</x:v>
      </x:c>
      <x:c r="C575" s="2" t="str">
        <x:v>孫堅</x:v>
      </x:c>
      <x:c r="D575" s="2" t="str">
        <x:v>孫堅</x:v>
      </x:c>
      <x:c r="E575" s="2" t="str">
        <x:v>孫策</x:v>
      </x:c>
      <x:c r="F575" s="2" t="str">
        <x:v>孫策</x:v>
      </x:c>
      <x:c r="G575" s="2" t="str">
        <x:v>x</x:v>
      </x:c>
      <x:c r="H575" s="2" t="str">
        <x:v>x</x:v>
      </x:c>
      <x:c r="I575" s="2" t="str">
        <x:v>x</x:v>
      </x:c>
      <x:c r="J575" s="2" t="str">
        <x:v>x</x:v>
      </x:c>
      <x:c r="K575" s="2" t="str">
        <x:v>x</x:v>
      </x:c>
      <x:c r="L575" s="2" t="str">
        <x:v>孫堅</x:v>
      </x:c>
    </x:row>
    <x:row r="576" ht="23" customHeight="1">
      <x:c r="A576" s="12" t="n">
        <x:v>568</x:v>
      </x:c>
      <x:c r="B576" s="2" t="str">
        <x:v>孙仲</x:v>
      </x:c>
      <x:c r="C576" s="2" t="str">
        <x:v>張角</x:v>
      </x:c>
      <x:c r="D576" s="2" t="str">
        <x:v>x</x:v>
      </x:c>
      <x:c r="E576" s="2" t="str">
        <x:v>x</x:v>
      </x:c>
      <x:c r="F576" s="2" t="str">
        <x:v>x</x:v>
      </x:c>
      <x:c r="G576" s="2" t="str">
        <x:v>x</x:v>
      </x:c>
      <x:c r="H576" s="2" t="str">
        <x:v>x</x:v>
      </x:c>
      <x:c r="I576" s="2" t="str">
        <x:v>x</x:v>
      </x:c>
      <x:c r="J576" s="2" t="str">
        <x:v>x</x:v>
      </x:c>
      <x:c r="K576" s="2" t="str">
        <x:v>x</x:v>
      </x:c>
      <x:c r="L576" s="2" t="str">
        <x:v>張角</x:v>
      </x:c>
    </x:row>
    <x:row r="577" ht="23" customHeight="1">
      <x:c r="A577" s="12" t="n">
        <x:v>569</x:v>
      </x:c>
      <x:c r="B577" s="2" t="str">
        <x:v>孙𬘭</x:v>
      </x:c>
      <x:c r="C577" s="2" t="str">
        <x:v>吳(-)</x:v>
      </x:c>
      <x:c r="D577" s="2" t="str">
        <x:v>吳(-)</x:v>
      </x:c>
      <x:c r="E577" s="2" t="str">
        <x:v>吳(-)</x:v>
      </x:c>
      <x:c r="F577" s="2" t="str">
        <x:v>吳(-)</x:v>
      </x:c>
      <x:c r="G577" s="2" t="str">
        <x:v>吳(-)</x:v>
      </x:c>
      <x:c r="H577" s="2" t="str">
        <x:v>建業(-)</x:v>
      </x:c>
      <x:c r="I577" s="2" t="str">
        <x:v>建業(-)</x:v>
      </x:c>
      <x:c r="J577" s="2" t="str">
        <x:v>建業(-)</x:v>
      </x:c>
      <x:c r="K577" s="2" t="str">
        <x:v>建業(-)</x:v>
      </x:c>
      <x:c r="L577" s="2" t="str">
        <x:v>孫堅</x:v>
      </x:c>
    </x:row>
    <x:row r="578" ht="23" customHeight="1">
      <x:c r="A578" s="12" t="n">
        <x:v>570</x:v>
      </x:c>
      <x:c r="B578" s="2" t="str">
        <x:v>孙登</x:v>
      </x:c>
      <x:c r="C578" s="2" t="str">
        <x:v>吳(-)</x:v>
      </x:c>
      <x:c r="D578" s="2" t="str">
        <x:v>吳(-)</x:v>
      </x:c>
      <x:c r="E578" s="2" t="str">
        <x:v>吳(-)</x:v>
      </x:c>
      <x:c r="F578" s="2" t="str">
        <x:v>吳(-)</x:v>
      </x:c>
      <x:c r="G578" s="2" t="str">
        <x:v>吳(-)</x:v>
      </x:c>
      <x:c r="H578" s="2" t="str">
        <x:v>建業(-)</x:v>
      </x:c>
      <x:c r="I578" s="2" t="str">
        <x:v>建業(-)</x:v>
      </x:c>
      <x:c r="J578" s="2" t="str">
        <x:v>孫權</x:v>
      </x:c>
      <x:c r="K578" s="2" t="str">
        <x:v>x</x:v>
      </x:c>
      <x:c r="L578" s="2" t="str">
        <x:v>孫堅</x:v>
      </x:c>
    </x:row>
    <x:row r="579" ht="23" customHeight="1">
      <x:c r="A579" s="12" t="n">
        <x:v>571</x:v>
      </x:c>
      <x:c r="B579" s="2" t="str">
        <x:v>孙霸</x:v>
      </x:c>
      <x:c r="C579" s="2" t="str">
        <x:v>吳(-)</x:v>
      </x:c>
      <x:c r="D579" s="2" t="str">
        <x:v>吳(-)</x:v>
      </x:c>
      <x:c r="E579" s="2" t="str">
        <x:v>吳(-)</x:v>
      </x:c>
      <x:c r="F579" s="2" t="str">
        <x:v>吳(-)</x:v>
      </x:c>
      <x:c r="G579" s="2" t="str">
        <x:v>吳(-)</x:v>
      </x:c>
      <x:c r="H579" s="2" t="str">
        <x:v>建業(-)</x:v>
      </x:c>
      <x:c r="I579" s="2" t="str">
        <x:v>建業(-)</x:v>
      </x:c>
      <x:c r="J579" s="2" t="str">
        <x:v>建業(-)</x:v>
      </x:c>
      <x:c r="K579" s="2" t="str">
        <x:v>孫權</x:v>
      </x:c>
      <x:c r="L579" s="2" t="str">
        <x:v>孫堅</x:v>
      </x:c>
    </x:row>
    <x:row r="580" ht="23" customHeight="1">
      <x:c r="A580" s="12" t="n">
        <x:v>572</x:v>
      </x:c>
      <x:c r="B580" s="2" t="str">
        <x:v>孙贲</x:v>
      </x:c>
      <x:c r="C580" s="2" t="str">
        <x:v>孫堅</x:v>
      </x:c>
      <x:c r="D580" s="2" t="str">
        <x:v>孫堅</x:v>
      </x:c>
      <x:c r="E580" s="2" t="str">
        <x:v>孫策</x:v>
      </x:c>
      <x:c r="F580" s="2" t="str">
        <x:v>孫策</x:v>
      </x:c>
      <x:c r="G580" s="2" t="str">
        <x:v>孫權</x:v>
      </x:c>
      <x:c r="H580" s="2" t="str">
        <x:v>x</x:v>
      </x:c>
      <x:c r="I580" s="2" t="str">
        <x:v>x</x:v>
      </x:c>
      <x:c r="J580" s="2" t="str">
        <x:v>x</x:v>
      </x:c>
      <x:c r="K580" s="2" t="str">
        <x:v>x</x:v>
      </x:c>
      <x:c r="L580" s="2" t="str">
        <x:v>孫堅</x:v>
      </x:c>
    </x:row>
    <x:row r="581" ht="23" customHeight="1">
      <x:c r="A581" s="12" t="n">
        <x:v>573</x:v>
      </x:c>
      <x:c r="B581" s="2" t="str">
        <x:v>孙奋</x:v>
      </x:c>
      <x:c r="C581" s="2" t="str">
        <x:v>吳(-)</x:v>
      </x:c>
      <x:c r="D581" s="2" t="str">
        <x:v>吳(-)</x:v>
      </x:c>
      <x:c r="E581" s="2" t="str">
        <x:v>吳(-)</x:v>
      </x:c>
      <x:c r="F581" s="2" t="str">
        <x:v>吳(-)</x:v>
      </x:c>
      <x:c r="G581" s="2" t="str">
        <x:v>吳(-)</x:v>
      </x:c>
      <x:c r="H581" s="2" t="str">
        <x:v>建業(-)</x:v>
      </x:c>
      <x:c r="I581" s="2" t="str">
        <x:v>建業(-)</x:v>
      </x:c>
      <x:c r="J581" s="2" t="str">
        <x:v>建業(-)</x:v>
      </x:c>
      <x:c r="K581" s="2" t="str">
        <x:v>孫權</x:v>
      </x:c>
      <x:c r="L581" s="2" t="str">
        <x:v>孫堅</x:v>
      </x:c>
    </x:row>
    <x:row r="582" ht="23" customHeight="1">
      <x:c r="A582" s="12" t="n">
        <x:v>574</x:v>
      </x:c>
      <x:c r="B582" s="2" t="str">
        <x:v>孙辅</x:v>
      </x:c>
      <x:c r="C582" s="2" t="str">
        <x:v>吳(-)</x:v>
      </x:c>
      <x:c r="D582" s="2" t="str">
        <x:v>吳(-)</x:v>
      </x:c>
      <x:c r="E582" s="2" t="str">
        <x:v>孫策</x:v>
      </x:c>
      <x:c r="F582" s="2" t="str">
        <x:v>孫策</x:v>
      </x:c>
      <x:c r="G582" s="2" t="str">
        <x:v>x</x:v>
      </x:c>
      <x:c r="H582" s="2" t="str">
        <x:v>x</x:v>
      </x:c>
      <x:c r="I582" s="2" t="str">
        <x:v>x</x:v>
      </x:c>
      <x:c r="J582" s="2" t="str">
        <x:v>x</x:v>
      </x:c>
      <x:c r="K582" s="2" t="str">
        <x:v>x</x:v>
      </x:c>
      <x:c r="L582" s="2" t="str">
        <x:v>孫堅</x:v>
      </x:c>
    </x:row>
    <x:row r="583" ht="23" customHeight="1">
      <x:c r="A583" s="12" t="n">
        <x:v>575</x:v>
      </x:c>
      <x:c r="B583" s="2" t="str">
        <x:v>孙瑜</x:v>
      </x:c>
      <x:c r="C583" s="2" t="str">
        <x:v>吳(-)</x:v>
      </x:c>
      <x:c r="D583" s="2" t="str">
        <x:v>吳(-)</x:v>
      </x:c>
      <x:c r="E583" s="2" t="str">
        <x:v>孫策</x:v>
      </x:c>
      <x:c r="F583" s="2" t="str">
        <x:v>孫策</x:v>
      </x:c>
      <x:c r="G583" s="2" t="str">
        <x:v>孫權</x:v>
      </x:c>
      <x:c r="H583" s="2" t="str">
        <x:v>x</x:v>
      </x:c>
      <x:c r="I583" s="2" t="str">
        <x:v>x</x:v>
      </x:c>
      <x:c r="J583" s="2" t="str">
        <x:v>x</x:v>
      </x:c>
      <x:c r="K583" s="2" t="str">
        <x:v>x</x:v>
      </x:c>
      <x:c r="L583" s="2" t="str">
        <x:v>孫堅</x:v>
      </x:c>
    </x:row>
    <x:row r="584" ht="23" customHeight="1">
      <x:c r="A584" s="12" t="n">
        <x:v>576</x:v>
      </x:c>
      <x:c r="B584" s="2" t="str">
        <x:v>孙翊</x:v>
      </x:c>
      <x:c r="C584" s="2" t="str">
        <x:v>吳(-)</x:v>
      </x:c>
      <x:c r="D584" s="2" t="str">
        <x:v>吳(-)</x:v>
      </x:c>
      <x:c r="E584" s="2" t="str">
        <x:v>吳(-)</x:v>
      </x:c>
      <x:c r="F584" s="2" t="str">
        <x:v>孫策</x:v>
      </x:c>
      <x:c r="G584" s="2" t="str">
        <x:v>x</x:v>
      </x:c>
      <x:c r="H584" s="2" t="str">
        <x:v>x</x:v>
      </x:c>
      <x:c r="I584" s="2" t="str">
        <x:v>x</x:v>
      </x:c>
      <x:c r="J584" s="2" t="str">
        <x:v>x</x:v>
      </x:c>
      <x:c r="K584" s="2" t="str">
        <x:v>x</x:v>
      </x:c>
      <x:c r="L584" s="2" t="str">
        <x:v>孫堅</x:v>
      </x:c>
    </x:row>
    <x:row r="585" ht="23" customHeight="1">
      <x:c r="A585" s="12" t="n">
        <x:v>577</x:v>
      </x:c>
      <x:c r="B585" s="2" t="str">
        <x:v>孙虑</x:v>
      </x:c>
      <x:c r="C585" s="2" t="str">
        <x:v>吳(-)</x:v>
      </x:c>
      <x:c r="D585" s="2" t="str">
        <x:v>吳(-)</x:v>
      </x:c>
      <x:c r="E585" s="2" t="str">
        <x:v>吳(-)</x:v>
      </x:c>
      <x:c r="F585" s="2" t="str">
        <x:v>吳(-)</x:v>
      </x:c>
      <x:c r="G585" s="2" t="str">
        <x:v>吳(-)</x:v>
      </x:c>
      <x:c r="H585" s="2" t="str">
        <x:v>建業(-)</x:v>
      </x:c>
      <x:c r="I585" s="2" t="str">
        <x:v>建業(-)</x:v>
      </x:c>
      <x:c r="J585" s="2" t="str">
        <x:v>孫權</x:v>
      </x:c>
      <x:c r="K585" s="2" t="str">
        <x:v>x</x:v>
      </x:c>
      <x:c r="L585" s="2" t="str">
        <x:v>孫堅</x:v>
      </x:c>
    </x:row>
    <x:row r="586" ht="23" customHeight="1">
      <x:c r="A586" s="12" t="n">
        <x:v>578</x:v>
      </x:c>
      <x:c r="B586" s="2" t="str">
        <x:v>孙亮</x:v>
      </x:c>
      <x:c r="C586" s="2" t="str">
        <x:v>吳(-)</x:v>
      </x:c>
      <x:c r="D586" s="2" t="str">
        <x:v>吳(-)</x:v>
      </x:c>
      <x:c r="E586" s="2" t="str">
        <x:v>吳(-)</x:v>
      </x:c>
      <x:c r="F586" s="2" t="str">
        <x:v>吳(-)</x:v>
      </x:c>
      <x:c r="G586" s="2" t="str">
        <x:v>吳(-)</x:v>
      </x:c>
      <x:c r="H586" s="2" t="str">
        <x:v>建業(-)</x:v>
      </x:c>
      <x:c r="I586" s="2" t="str">
        <x:v>建業(-)</x:v>
      </x:c>
      <x:c r="J586" s="2" t="str">
        <x:v>建業(-)</x:v>
      </x:c>
      <x:c r="K586" s="2" t="str">
        <x:v>建業(-)</x:v>
      </x:c>
      <x:c r="L586" s="2" t="str">
        <x:v>孫堅</x:v>
      </x:c>
    </x:row>
    <x:row r="587" ht="23" customHeight="1">
      <x:c r="A587" s="12" t="n">
        <x:v>579</x:v>
      </x:c>
      <x:c r="B587" s="2" t="str">
        <x:v>孙礼</x:v>
      </x:c>
      <x:c r="C587" s="2" t="str">
        <x:v>薊(-)</x:v>
      </x:c>
      <x:c r="D587" s="2" t="str">
        <x:v>薊(-)</x:v>
      </x:c>
      <x:c r="E587" s="2" t="str">
        <x:v>薊(-)</x:v>
      </x:c>
      <x:c r="F587" s="2" t="str">
        <x:v>薊(-)</x:v>
      </x:c>
      <x:c r="G587" s="2" t="str">
        <x:v>曹操</x:v>
      </x:c>
      <x:c r="H587" s="2" t="str">
        <x:v>曹操</x:v>
      </x:c>
      <x:c r="I587" s="2" t="str">
        <x:v>曹丕</x:v>
      </x:c>
      <x:c r="J587" s="2" t="str">
        <x:v>曹叡</x:v>
      </x:c>
      <x:c r="K587" s="2" t="str">
        <x:v>曹芳</x:v>
      </x:c>
      <x:c r="L587" s="2" t="str">
        <x:v>薊(未)</x:v>
      </x:c>
    </x:row>
    <x:row r="588" ht="23" customHeight="1">
      <x:c r="A588" s="12" t="n">
        <x:v>580</x:v>
      </x:c>
      <x:c r="B588" s="2" t="str">
        <x:v>孙鲁育</x:v>
      </x:c>
      <x:c r="C588" s="2" t="str">
        <x:v>吳(-)</x:v>
      </x:c>
      <x:c r="D588" s="2" t="str">
        <x:v>吳(-)</x:v>
      </x:c>
      <x:c r="E588" s="2" t="str">
        <x:v>吳(-)</x:v>
      </x:c>
      <x:c r="F588" s="2" t="str">
        <x:v>吳(-)</x:v>
      </x:c>
      <x:c r="G588" s="2" t="str">
        <x:v>吳(-)</x:v>
      </x:c>
      <x:c r="H588" s="2" t="str">
        <x:v>建業(-)</x:v>
      </x:c>
      <x:c r="I588" s="2" t="str">
        <x:v>孫權</x:v>
      </x:c>
      <x:c r="J588" s="2" t="str">
        <x:v>孫權</x:v>
      </x:c>
      <x:c r="K588" s="2" t="str">
        <x:v>孫權</x:v>
      </x:c>
      <x:c r="L588" s="2" t="str">
        <x:v>孫堅</x:v>
      </x:c>
    </x:row>
    <x:row r="589" ht="23" customHeight="1">
      <x:c r="A589" s="12" t="n">
        <x:v>581</x:v>
      </x:c>
      <x:c r="B589" s="2" t="str">
        <x:v>孙朗</x:v>
      </x:c>
      <x:c r="C589" s="2" t="str">
        <x:v>吳(-)</x:v>
      </x:c>
      <x:c r="D589" s="2" t="str">
        <x:v>吳(-)</x:v>
      </x:c>
      <x:c r="E589" s="2" t="str">
        <x:v>吳(-)</x:v>
      </x:c>
      <x:c r="F589" s="2" t="str">
        <x:v>吳(-)</x:v>
      </x:c>
      <x:c r="G589" s="2" t="str">
        <x:v>孫權</x:v>
      </x:c>
      <x:c r="H589" s="2" t="str">
        <x:v>孫權</x:v>
      </x:c>
      <x:c r="I589" s="2" t="str">
        <x:v>孫權</x:v>
      </x:c>
      <x:c r="J589" s="2" t="str">
        <x:v>x</x:v>
      </x:c>
      <x:c r="K589" s="2" t="str">
        <x:v>x</x:v>
      </x:c>
      <x:c r="L589" s="2" t="str">
        <x:v>孫堅</x:v>
      </x:c>
    </x:row>
    <x:row r="590" ht="23" customHeight="1">
      <x:c r="A590" s="12" t="n">
        <x:v>582</x:v>
      </x:c>
      <x:c r="B590" s="2" t="str">
        <x:v>孙鲁班</x:v>
      </x:c>
      <x:c r="C590" s="2" t="str">
        <x:v>吳(-)</x:v>
      </x:c>
      <x:c r="D590" s="2" t="str">
        <x:v>吳(-)</x:v>
      </x:c>
      <x:c r="E590" s="2" t="str">
        <x:v>吳(-)</x:v>
      </x:c>
      <x:c r="F590" s="2" t="str">
        <x:v>吳(-)</x:v>
      </x:c>
      <x:c r="G590" s="2" t="str">
        <x:v>吳(-)</x:v>
      </x:c>
      <x:c r="H590" s="2" t="str">
        <x:v>孫權</x:v>
      </x:c>
      <x:c r="I590" s="2" t="str">
        <x:v>孫權</x:v>
      </x:c>
      <x:c r="J590" s="2" t="str">
        <x:v>孫權</x:v>
      </x:c>
      <x:c r="K590" s="2" t="str">
        <x:v>孫權</x:v>
      </x:c>
      <x:c r="L590" s="2" t="str">
        <x:v>孫堅</x:v>
      </x:c>
    </x:row>
    <x:row r="591" ht="23" customHeight="1">
      <x:c r="A591" s="12" t="n">
        <x:v>583</x:v>
      </x:c>
      <x:c r="B591" s="2" t="str">
        <x:v>戴员</x:v>
      </x:c>
      <x:c r="C591" s="2" t="str">
        <x:v>建業(-)</x:v>
      </x:c>
      <x:c r="D591" s="2" t="str">
        <x:v>建業(-)</x:v>
      </x:c>
      <x:c r="E591" s="2" t="str">
        <x:v>建業(未)</x:v>
      </x:c>
      <x:c r="F591" s="2" t="str">
        <x:v>建業(野)</x:v>
      </x:c>
      <x:c r="G591" s="2" t="str">
        <x:v>x</x:v>
      </x:c>
      <x:c r="H591" s="2" t="str">
        <x:v>x</x:v>
      </x:c>
      <x:c r="I591" s="2" t="str">
        <x:v>x</x:v>
      </x:c>
      <x:c r="J591" s="2" t="str">
        <x:v>x</x:v>
      </x:c>
      <x:c r="K591" s="2" t="str">
        <x:v>x</x:v>
      </x:c>
      <x:c r="L591" s="2" t="str">
        <x:v>建業(未)</x:v>
      </x:c>
    </x:row>
    <x:row r="592" ht="23" customHeight="1">
      <x:c r="A592" s="12" t="n">
        <x:v>584</x:v>
      </x:c>
      <x:c r="B592" s="2" t="str">
        <x:v>大乔</x:v>
      </x:c>
      <x:c r="C592" s="2" t="str">
        <x:v>廬江(-)</x:v>
      </x:c>
      <x:c r="D592" s="2" t="str">
        <x:v>廬江(-)</x:v>
      </x:c>
      <x:c r="E592" s="2" t="str">
        <x:v>廬江(未)</x:v>
      </x:c>
      <x:c r="F592" s="2" t="str">
        <x:v>孫策</x:v>
      </x:c>
      <x:c r="G592" s="2" t="str">
        <x:v>孫權</x:v>
      </x:c>
      <x:c r="H592" s="2" t="str">
        <x:v>x</x:v>
      </x:c>
      <x:c r="I592" s="2" t="str">
        <x:v>x</x:v>
      </x:c>
      <x:c r="J592" s="2" t="str">
        <x:v>x</x:v>
      </x:c>
      <x:c r="K592" s="2" t="str">
        <x:v>x</x:v>
      </x:c>
      <x:c r="L592" s="2" t="str">
        <x:v>孫堅</x:v>
      </x:c>
    </x:row>
    <x:row r="593" ht="23" customHeight="1">
      <x:c r="A593" s="12" t="n">
        <x:v>585</x:v>
      </x:c>
      <x:c r="B593" s="2" t="str">
        <x:v>太史享</x:v>
      </x:c>
      <x:c r="C593" s="2" t="str">
        <x:v>北海(-)</x:v>
      </x:c>
      <x:c r="D593" s="2" t="str">
        <x:v>北海(-)</x:v>
      </x:c>
      <x:c r="E593" s="2" t="str">
        <x:v>北海(-)</x:v>
      </x:c>
      <x:c r="F593" s="2" t="str">
        <x:v>建業(-)</x:v>
      </x:c>
      <x:c r="G593" s="2" t="str">
        <x:v>孫權</x:v>
      </x:c>
      <x:c r="H593" s="2" t="str">
        <x:v>孫權</x:v>
      </x:c>
      <x:c r="I593" s="2" t="str">
        <x:v>孫權</x:v>
      </x:c>
      <x:c r="J593" s="2" t="str">
        <x:v>孫權</x:v>
      </x:c>
      <x:c r="K593" s="2" t="str">
        <x:v>x</x:v>
      </x:c>
      <x:c r="L593" s="2" t="str">
        <x:v>孔融</x:v>
      </x:c>
    </x:row>
    <x:row r="594" ht="23" customHeight="1">
      <x:c r="A594" s="12" t="n">
        <x:v>586</x:v>
      </x:c>
      <x:c r="B594" s="2" t="str">
        <x:v>太史慈</x:v>
      </x:c>
      <x:c r="C594" s="2" t="str">
        <x:v>北海(-)</x:v>
      </x:c>
      <x:c r="D594" s="2" t="str">
        <x:v>孔融</x:v>
      </x:c>
      <x:c r="E594" s="2" t="str">
        <x:v>劉繇</x:v>
      </x:c>
      <x:c r="F594" s="2" t="str">
        <x:v>孫策</x:v>
      </x:c>
      <x:c r="G594" s="2" t="str">
        <x:v>孫權</x:v>
      </x:c>
      <x:c r="H594" s="2" t="str">
        <x:v>x</x:v>
      </x:c>
      <x:c r="I594" s="2" t="str">
        <x:v>x</x:v>
      </x:c>
      <x:c r="J594" s="2" t="str">
        <x:v>x</x:v>
      </x:c>
      <x:c r="K594" s="2" t="str">
        <x:v>x</x:v>
      </x:c>
      <x:c r="L594" s="2" t="str">
        <x:v>孔融</x:v>
      </x:c>
    </x:row>
    <x:row r="595" ht="23" customHeight="1">
      <x:c r="A595" s="12" t="n">
        <x:v>587</x:v>
      </x:c>
      <x:c r="B595" s="2" t="str">
        <x:v>带来洞主</x:v>
      </x:c>
      <x:c r="C595" s="2" t="str">
        <x:v>雲南(-)</x:v>
      </x:c>
      <x:c r="D595" s="2" t="str">
        <x:v>雲南(-)</x:v>
      </x:c>
      <x:c r="E595" s="2" t="str">
        <x:v>雲南(-)</x:v>
      </x:c>
      <x:c r="F595" s="2" t="str">
        <x:v>雲南(-)</x:v>
      </x:c>
      <x:c r="G595" s="2" t="str">
        <x:v>雲南(-)</x:v>
      </x:c>
      <x:c r="H595" s="2" t="str">
        <x:v>孟獲</x:v>
      </x:c>
      <x:c r="I595" s="2" t="str">
        <x:v>孟獲</x:v>
      </x:c>
      <x:c r="J595" s="2" t="str">
        <x:v>劉禪</x:v>
      </x:c>
      <x:c r="K595" s="2" t="str">
        <x:v>劉禪</x:v>
      </x:c>
      <x:c r="L595" s="2" t="str">
        <x:v>孟獲</x:v>
      </x:c>
    </x:row>
    <x:row r="596" ht="23" customHeight="1">
      <x:c r="A596" s="12" t="n">
        <x:v>588</x:v>
      </x:c>
      <x:c r="B596" s="2" t="str">
        <x:v>戴陵</x:v>
      </x:c>
      <x:c r="C596" s="2" t="str">
        <x:v>安定(-)</x:v>
      </x:c>
      <x:c r="D596" s="2" t="str">
        <x:v>安定(-)</x:v>
      </x:c>
      <x:c r="E596" s="2" t="str">
        <x:v>安定(-)</x:v>
      </x:c>
      <x:c r="F596" s="2" t="str">
        <x:v>安定(-)</x:v>
      </x:c>
      <x:c r="G596" s="2" t="str">
        <x:v>安定(-)</x:v>
      </x:c>
      <x:c r="H596" s="2" t="str">
        <x:v>安定(-)</x:v>
      </x:c>
      <x:c r="I596" s="2" t="str">
        <x:v>曹丕</x:v>
      </x:c>
      <x:c r="J596" s="2" t="str">
        <x:v>曹叡</x:v>
      </x:c>
      <x:c r="K596" s="2" t="str">
        <x:v>曹芳</x:v>
      </x:c>
      <x:c r="L596" s="2" t="str">
        <x:v>安定(未)</x:v>
      </x:c>
    </x:row>
    <x:row r="597" ht="23" customHeight="1">
      <x:c r="A597" s="12" t="n">
        <x:v>589</x:v>
      </x:c>
      <x:c r="B597" s="2" t="str">
        <x:v>卓膺</x:v>
      </x:c>
      <x:c r="C597" s="2" t="str">
        <x:v>江州(-)</x:v>
      </x:c>
      <x:c r="D597" s="2" t="str">
        <x:v>江州(-)</x:v>
      </x:c>
      <x:c r="E597" s="2" t="str">
        <x:v>江州(-)</x:v>
      </x:c>
      <x:c r="F597" s="2" t="str">
        <x:v>江州(-)</x:v>
      </x:c>
      <x:c r="G597" s="2" t="str">
        <x:v>江州(未)</x:v>
      </x:c>
      <x:c r="H597" s="2" t="str">
        <x:v>劉備</x:v>
      </x:c>
      <x:c r="I597" s="2" t="str">
        <x:v>劉備</x:v>
      </x:c>
      <x:c r="J597" s="2" t="str">
        <x:v>劉禪</x:v>
      </x:c>
      <x:c r="K597" s="2" t="str">
        <x:v>劉禪</x:v>
      </x:c>
      <x:c r="L597" s="2" t="str">
        <x:v>江州(未)</x:v>
      </x:c>
    </x:row>
    <x:row r="598" ht="23" customHeight="1">
      <x:c r="A598" s="12" t="n">
        <x:v>590</x:v>
      </x:c>
      <x:c r="B598" s="2" t="str">
        <x:v>朵思大王</x:v>
      </x:c>
      <x:c r="C598" s="2" t="str">
        <x:v>雲南(-)</x:v>
      </x:c>
      <x:c r="D598" s="2" t="str">
        <x:v>雲南(-)</x:v>
      </x:c>
      <x:c r="E598" s="2" t="str">
        <x:v>雲南(-)</x:v>
      </x:c>
      <x:c r="F598" s="2" t="str">
        <x:v>雲南(-)</x:v>
      </x:c>
      <x:c r="G598" s="2" t="str">
        <x:v>雲南(-)</x:v>
      </x:c>
      <x:c r="H598" s="2" t="str">
        <x:v>雲南(未)</x:v>
      </x:c>
      <x:c r="I598" s="2" t="str">
        <x:v>孟獲</x:v>
      </x:c>
      <x:c r="J598" s="2" t="str">
        <x:v>x</x:v>
      </x:c>
      <x:c r="K598" s="2" t="str">
        <x:v>x</x:v>
      </x:c>
      <x:c r="L598" s="2" t="str">
        <x:v>孟獲</x:v>
      </x:c>
    </x:row>
    <x:row r="599" ht="23" customHeight="1">
      <x:c r="A599" s="12" t="n">
        <x:v>591</x:v>
      </x:c>
      <x:c r="B599" s="2" t="str">
        <x:v>谭雄</x:v>
      </x:c>
      <x:c r="C599" s="2" t="str">
        <x:v>武陵(-)</x:v>
      </x:c>
      <x:c r="D599" s="2" t="str">
        <x:v>武陵(-)</x:v>
      </x:c>
      <x:c r="E599" s="2" t="str">
        <x:v>武陵(-)</x:v>
      </x:c>
      <x:c r="F599" s="2" t="str">
        <x:v>武陵(-)</x:v>
      </x:c>
      <x:c r="G599" s="2" t="str">
        <x:v>武陵(未)</x:v>
      </x:c>
      <x:c r="H599" s="2" t="str">
        <x:v>孫權</x:v>
      </x:c>
      <x:c r="I599" s="2" t="str">
        <x:v>孫權</x:v>
      </x:c>
      <x:c r="J599" s="2" t="str">
        <x:v>x</x:v>
      </x:c>
      <x:c r="K599" s="2" t="str">
        <x:v>x</x:v>
      </x:c>
      <x:c r="L599" s="2" t="str">
        <x:v>武陵(未)</x:v>
      </x:c>
    </x:row>
    <x:row r="600" ht="23" customHeight="1">
      <x:c r="A600" s="12" t="n">
        <x:v>592</x:v>
      </x:c>
      <x:c r="B600" s="2" t="str">
        <x:v>段煨</x:v>
      </x:c>
      <x:c r="C600" s="2" t="str">
        <x:v>董卓</x:v>
      </x:c>
      <x:c r="D600" s="2" t="str">
        <x:v>董卓</x:v>
      </x:c>
      <x:c r="E600" s="2" t="str">
        <x:v>李傕</x:v>
      </x:c>
      <x:c r="F600" s="2" t="str">
        <x:v>曹操</x:v>
      </x:c>
      <x:c r="G600" s="2" t="str">
        <x:v>曹操</x:v>
      </x:c>
      <x:c r="H600" s="2" t="str">
        <x:v>x</x:v>
      </x:c>
      <x:c r="I600" s="2" t="str">
        <x:v>x</x:v>
      </x:c>
      <x:c r="J600" s="2" t="str">
        <x:v>x</x:v>
      </x:c>
      <x:c r="K600" s="2" t="str">
        <x:v>x</x:v>
      </x:c>
      <x:c r="L600" s="2" t="str">
        <x:v>董卓</x:v>
      </x:c>
    </x:row>
    <x:row r="601" ht="23" customHeight="1">
      <x:c r="A601" s="12" t="n">
        <x:v>593</x:v>
      </x:c>
      <x:c r="B601" s="2" t="str">
        <x:v>仲长统</x:v>
      </x:c>
      <x:c r="C601" s="2" t="str">
        <x:v>濮陽(-)</x:v>
      </x:c>
      <x:c r="D601" s="2" t="str">
        <x:v>晉陽(-)</x:v>
      </x:c>
      <x:c r="E601" s="2" t="str">
        <x:v>晉陽(-)</x:v>
      </x:c>
      <x:c r="F601" s="2" t="str">
        <x:v>晉陽(未)</x:v>
      </x:c>
      <x:c r="G601" s="2" t="str">
        <x:v>晉陽(野)</x:v>
      </x:c>
      <x:c r="H601" s="2" t="str">
        <x:v>曹操</x:v>
      </x:c>
      <x:c r="I601" s="2" t="str">
        <x:v>x</x:v>
      </x:c>
      <x:c r="J601" s="2" t="str">
        <x:v>x</x:v>
      </x:c>
      <x:c r="K601" s="2" t="str">
        <x:v>x</x:v>
      </x:c>
      <x:c r="L601" s="2" t="str">
        <x:v>濮陽(未)</x:v>
      </x:c>
    </x:row>
    <x:row r="602" ht="23" customHeight="1">
      <x:c r="A602" s="12" t="n">
        <x:v>594</x:v>
      </x:c>
      <x:c r="B602" s="2" t="str">
        <x:v>赵昱</x:v>
      </x:c>
      <x:c r="C602" s="2" t="str">
        <x:v>何進</x:v>
      </x:c>
      <x:c r="D602" s="2" t="str">
        <x:v>陶謙</x:v>
      </x:c>
      <x:c r="E602" s="2" t="str">
        <x:v>x</x:v>
      </x:c>
      <x:c r="F602" s="2" t="str">
        <x:v>x</x:v>
      </x:c>
      <x:c r="G602" s="2" t="str">
        <x:v>x</x:v>
      </x:c>
      <x:c r="H602" s="2" t="str">
        <x:v>x</x:v>
      </x:c>
      <x:c r="I602" s="2" t="str">
        <x:v>x</x:v>
      </x:c>
      <x:c r="J602" s="2" t="str">
        <x:v>x</x:v>
      </x:c>
      <x:c r="K602" s="2" t="str">
        <x:v>x</x:v>
      </x:c>
      <x:c r="L602" s="2" t="str">
        <x:v>陶謙</x:v>
      </x:c>
    </x:row>
    <x:row r="603" ht="23" customHeight="1">
      <x:c r="A603" s="12" t="n">
        <x:v>595</x:v>
      </x:c>
      <x:c r="B603" s="2" t="str">
        <x:v>张允</x:v>
      </x:c>
      <x:c r="C603" s="2" t="str">
        <x:v>襄陽(-)</x:v>
      </x:c>
      <x:c r="D603" s="2" t="str">
        <x:v>劉表</x:v>
      </x:c>
      <x:c r="E603" s="2" t="str">
        <x:v>劉表</x:v>
      </x:c>
      <x:c r="F603" s="2" t="str">
        <x:v>劉表</x:v>
      </x:c>
      <x:c r="G603" s="2" t="str">
        <x:v>劉表</x:v>
      </x:c>
      <x:c r="H603" s="2" t="str">
        <x:v>x</x:v>
      </x:c>
      <x:c r="I603" s="2" t="str">
        <x:v>x</x:v>
      </x:c>
      <x:c r="J603" s="2" t="str">
        <x:v>x</x:v>
      </x:c>
      <x:c r="K603" s="2" t="str">
        <x:v>x</x:v>
      </x:c>
      <x:c r="L603" s="2" t="str">
        <x:v>劉表</x:v>
      </x:c>
    </x:row>
    <x:row r="604" ht="23" customHeight="1">
      <x:c r="A604" s="12" t="n">
        <x:v>596</x:v>
      </x:c>
      <x:c r="B604" s="2" t="str">
        <x:v>赵云</x:v>
      </x:c>
      <x:c r="C604" s="2" t="str">
        <x:v>鄴(-)</x:v>
      </x:c>
      <x:c r="D604" s="2" t="str">
        <x:v>鄴(未)</x:v>
      </x:c>
      <x:c r="E604" s="2" t="str">
        <x:v>公孫瓚</x:v>
      </x:c>
      <x:c r="F604" s="2" t="str">
        <x:v>汝南(野)</x:v>
      </x:c>
      <x:c r="G604" s="2" t="str">
        <x:v>劉備</x:v>
      </x:c>
      <x:c r="H604" s="2" t="str">
        <x:v>劉備</x:v>
      </x:c>
      <x:c r="I604" s="2" t="str">
        <x:v>劉備</x:v>
      </x:c>
      <x:c r="J604" s="2" t="str">
        <x:v>劉禪</x:v>
      </x:c>
      <x:c r="K604" s="2" t="str">
        <x:v>x</x:v>
      </x:c>
      <x:c r="L604" s="2" t="str">
        <x:v>劉備</x:v>
      </x:c>
    </x:row>
    <x:row r="605" ht="23" customHeight="1">
      <x:c r="A605" s="12" t="n">
        <x:v>597</x:v>
      </x:c>
      <x:c r="B605" s="2" t="str">
        <x:v>张卫</x:v>
      </x:c>
      <x:c r="C605" s="2" t="str">
        <x:v>漢中(-)</x:v>
      </x:c>
      <x:c r="D605" s="2" t="str">
        <x:v>漢中(-)</x:v>
      </x:c>
      <x:c r="E605" s="2" t="str">
        <x:v>張魯</x:v>
      </x:c>
      <x:c r="F605" s="2" t="str">
        <x:v>張魯</x:v>
      </x:c>
      <x:c r="G605" s="2" t="str">
        <x:v>張魯</x:v>
      </x:c>
      <x:c r="H605" s="2" t="str">
        <x:v>x</x:v>
      </x:c>
      <x:c r="I605" s="2" t="str">
        <x:v>x</x:v>
      </x:c>
      <x:c r="J605" s="2" t="str">
        <x:v>x</x:v>
      </x:c>
      <x:c r="K605" s="2" t="str">
        <x:v>x</x:v>
      </x:c>
      <x:c r="L605" s="2" t="str">
        <x:v>張魯</x:v>
      </x:c>
    </x:row>
    <x:row r="606" ht="23" customHeight="1">
      <x:c r="A606" s="12" t="n">
        <x:v>598</x:v>
      </x:c>
      <x:c r="B606" s="2" t="str">
        <x:v>张英</x:v>
      </x:c>
      <x:c r="C606" s="2" t="str">
        <x:v>建業(未)</x:v>
      </x:c>
      <x:c r="D606" s="2" t="str">
        <x:v>建業(未)</x:v>
      </x:c>
      <x:c r="E606" s="2" t="str">
        <x:v>劉繇</x:v>
      </x:c>
      <x:c r="F606" s="2" t="str">
        <x:v>x</x:v>
      </x:c>
      <x:c r="G606" s="2" t="str">
        <x:v>x</x:v>
      </x:c>
      <x:c r="H606" s="2" t="str">
        <x:v>x</x:v>
      </x:c>
      <x:c r="I606" s="2" t="str">
        <x:v>x</x:v>
      </x:c>
      <x:c r="J606" s="2" t="str">
        <x:v>x</x:v>
      </x:c>
      <x:c r="K606" s="2" t="str">
        <x:v>x</x:v>
      </x:c>
      <x:c r="L606" s="2" t="str">
        <x:v>劉繇</x:v>
      </x:c>
    </x:row>
    <x:row r="607" ht="23" customHeight="1">
      <x:c r="A607" s="12" t="n">
        <x:v>599</x:v>
      </x:c>
      <x:c r="B607" s="2" t="str">
        <x:v>赵叡</x:v>
      </x:c>
      <x:c r="C607" s="2" t="str">
        <x:v>南皮(-)</x:v>
      </x:c>
      <x:c r="D607" s="2" t="str">
        <x:v>南皮(-)</x:v>
      </x:c>
      <x:c r="E607" s="2" t="str">
        <x:v>袁紹</x:v>
      </x:c>
      <x:c r="F607" s="2" t="str">
        <x:v>袁紹</x:v>
      </x:c>
      <x:c r="G607" s="2" t="str">
        <x:v>x</x:v>
      </x:c>
      <x:c r="H607" s="2" t="str">
        <x:v>x</x:v>
      </x:c>
      <x:c r="I607" s="2" t="str">
        <x:v>x</x:v>
      </x:c>
      <x:c r="J607" s="2" t="str">
        <x:v>x</x:v>
      </x:c>
      <x:c r="K607" s="2" t="str">
        <x:v>x</x:v>
      </x:c>
      <x:c r="L607" s="2" t="str">
        <x:v>袁紹</x:v>
      </x:c>
    </x:row>
    <x:row r="608" ht="23" customHeight="1">
      <x:c r="A608" s="12" t="n">
        <x:v>600</x:v>
      </x:c>
      <x:c r="B608" s="2" t="str">
        <x:v>张裔</x:v>
      </x:c>
      <x:c r="C608" s="2" t="str">
        <x:v>成都(-)</x:v>
      </x:c>
      <x:c r="D608" s="2" t="str">
        <x:v>成都(-)</x:v>
      </x:c>
      <x:c r="E608" s="2" t="str">
        <x:v>成都(未)</x:v>
      </x:c>
      <x:c r="F608" s="2" t="str">
        <x:v>劉璋</x:v>
      </x:c>
      <x:c r="G608" s="2" t="str">
        <x:v>劉璋</x:v>
      </x:c>
      <x:c r="H608" s="2" t="str">
        <x:v>劉備</x:v>
      </x:c>
      <x:c r="I608" s="2" t="str">
        <x:v>劉備</x:v>
      </x:c>
      <x:c r="J608" s="2" t="str">
        <x:v>劉禪</x:v>
      </x:c>
      <x:c r="K608" s="2" t="str">
        <x:v>x</x:v>
      </x:c>
      <x:c r="L608" s="2" t="str">
        <x:v>成都(未)</x:v>
      </x:c>
    </x:row>
    <x:row r="609" ht="23" customHeight="1">
      <x:c r="A609" s="12" t="n">
        <x:v>601</x:v>
      </x:c>
      <x:c r="B609" s="2" t="str">
        <x:v>张燕</x:v>
      </x:c>
      <x:c r="C609" s="2" t="str">
        <x:v>張角</x:v>
      </x:c>
      <x:c r="D609" s="2" t="str">
        <x:v>晉陽(野)</x:v>
      </x:c>
      <x:c r="E609" s="2" t="str">
        <x:v>晉陽(野)</x:v>
      </x:c>
      <x:c r="F609" s="2" t="str">
        <x:v>晉陽(未)</x:v>
      </x:c>
      <x:c r="G609" s="2" t="str">
        <x:v>曹操</x:v>
      </x:c>
      <x:c r="H609" s="2" t="str">
        <x:v>x</x:v>
      </x:c>
      <x:c r="I609" s="2" t="str">
        <x:v>x</x:v>
      </x:c>
      <x:c r="J609" s="2" t="str">
        <x:v>x</x:v>
      </x:c>
      <x:c r="K609" s="2" t="str">
        <x:v>x</x:v>
      </x:c>
      <x:c r="L609" s="2" t="str">
        <x:v>晉陽(未)</x:v>
      </x:c>
    </x:row>
    <x:row r="610" ht="23" customHeight="1">
      <x:c r="A610" s="12" t="n">
        <x:v>602</x:v>
      </x:c>
      <x:c r="B610" s="2" t="str">
        <x:v>张琰</x:v>
      </x:c>
      <x:c r="C610" s="2" t="str">
        <x:v>晉陽(-)</x:v>
      </x:c>
      <x:c r="D610" s="2" t="str">
        <x:v>晉陽(-)</x:v>
      </x:c>
      <x:c r="E610" s="2" t="str">
        <x:v>晉陽(未)</x:v>
      </x:c>
      <x:c r="F610" s="2" t="str">
        <x:v>晉陽(野)</x:v>
      </x:c>
      <x:c r="G610" s="2" t="str">
        <x:v>x</x:v>
      </x:c>
      <x:c r="H610" s="2" t="str">
        <x:v>x</x:v>
      </x:c>
      <x:c r="I610" s="2" t="str">
        <x:v>x</x:v>
      </x:c>
      <x:c r="J610" s="2" t="str">
        <x:v>x</x:v>
      </x:c>
      <x:c r="K610" s="2" t="str">
        <x:v>x</x:v>
      </x:c>
      <x:c r="L610" s="2" t="str">
        <x:v>晉陽(未)</x:v>
      </x:c>
    </x:row>
    <x:row r="611" ht="23" customHeight="1">
      <x:c r="A611" s="12" t="n">
        <x:v>603</x:v>
      </x:c>
      <x:c r="B611" s="2" t="str">
        <x:v>张横</x:v>
      </x:c>
      <x:c r="C611" s="2" t="str">
        <x:v>武威(-)</x:v>
      </x:c>
      <x:c r="D611" s="2" t="str">
        <x:v>武威(-)</x:v>
      </x:c>
      <x:c r="E611" s="2" t="str">
        <x:v>武威(-)</x:v>
      </x:c>
      <x:c r="F611" s="2" t="str">
        <x:v>馬騰</x:v>
      </x:c>
      <x:c r="G611" s="2" t="str">
        <x:v>馬騰</x:v>
      </x:c>
      <x:c r="H611" s="2" t="str">
        <x:v>x</x:v>
      </x:c>
      <x:c r="I611" s="2" t="str">
        <x:v>x</x:v>
      </x:c>
      <x:c r="J611" s="2" t="str">
        <x:v>x</x:v>
      </x:c>
      <x:c r="K611" s="2" t="str">
        <x:v>x</x:v>
      </x:c>
      <x:c r="L611" s="2" t="str">
        <x:v>韓遂</x:v>
      </x:c>
    </x:row>
    <x:row r="612" ht="23" customHeight="1">
      <x:c r="A612" s="12" t="n">
        <x:v>604</x:v>
      </x:c>
      <x:c r="B612" s="2" t="str">
        <x:v>张温</x:v>
      </x:c>
      <x:c r="C612" s="2" t="str">
        <x:v>吳(-)</x:v>
      </x:c>
      <x:c r="D612" s="2" t="str">
        <x:v>吳(-)</x:v>
      </x:c>
      <x:c r="E612" s="2" t="str">
        <x:v>吳(-)</x:v>
      </x:c>
      <x:c r="F612" s="2" t="str">
        <x:v>吳(-)</x:v>
      </x:c>
      <x:c r="G612" s="2" t="str">
        <x:v>吳(-)</x:v>
      </x:c>
      <x:c r="H612" s="2" t="str">
        <x:v>孫權</x:v>
      </x:c>
      <x:c r="I612" s="2" t="str">
        <x:v>孫權</x:v>
      </x:c>
      <x:c r="J612" s="2" t="str">
        <x:v>孫權</x:v>
      </x:c>
      <x:c r="K612" s="2" t="str">
        <x:v>x</x:v>
      </x:c>
      <x:c r="L612" s="2" t="str">
        <x:v>吳(未)</x:v>
      </x:c>
    </x:row>
    <x:row r="613" ht="23" customHeight="1">
      <x:c r="A613" s="12" t="n">
        <x:v>605</x:v>
      </x:c>
      <x:c r="B613" s="2" t="str">
        <x:v>张华</x:v>
      </x:c>
      <x:c r="C613" s="2" t="str">
        <x:v>薊(-)</x:v>
      </x:c>
      <x:c r="D613" s="2" t="str">
        <x:v>薊(-)</x:v>
      </x:c>
      <x:c r="E613" s="2" t="str">
        <x:v>薊(-)</x:v>
      </x:c>
      <x:c r="F613" s="2" t="str">
        <x:v>薊(-)</x:v>
      </x:c>
      <x:c r="G613" s="2" t="str">
        <x:v>薊(-)</x:v>
      </x:c>
      <x:c r="H613" s="2" t="str">
        <x:v>薊(-)</x:v>
      </x:c>
      <x:c r="I613" s="2" t="str">
        <x:v>薊(-)</x:v>
      </x:c>
      <x:c r="J613" s="2" t="str">
        <x:v>薊(-)</x:v>
      </x:c>
      <x:c r="K613" s="2" t="str">
        <x:v>薊(-)</x:v>
      </x:c>
      <x:c r="L613" s="2" t="str">
        <x:v>司馬懿</x:v>
      </x:c>
    </x:row>
    <x:row r="614" ht="23" customHeight="1">
      <x:c r="A614" s="12" t="n">
        <x:v>606</x:v>
      </x:c>
      <x:c r="B614" s="2" t="str">
        <x:v>张闿</x:v>
      </x:c>
      <x:c r="C614" s="2" t="str">
        <x:v>張角</x:v>
      </x:c>
      <x:c r="D614" s="2" t="str">
        <x:v>陶謙</x:v>
      </x:c>
      <x:c r="E614" s="2" t="str">
        <x:v>壽春(野)</x:v>
      </x:c>
      <x:c r="F614" s="2" t="str">
        <x:v>壽春(野)</x:v>
      </x:c>
      <x:c r="G614" s="2" t="str">
        <x:v>x</x:v>
      </x:c>
      <x:c r="H614" s="2" t="str">
        <x:v>x</x:v>
      </x:c>
      <x:c r="I614" s="2" t="str">
        <x:v>x</x:v>
      </x:c>
      <x:c r="J614" s="2" t="str">
        <x:v>x</x:v>
      </x:c>
      <x:c r="K614" s="2" t="str">
        <x:v>x</x:v>
      </x:c>
      <x:c r="L614" s="2" t="str">
        <x:v>陶謙</x:v>
      </x:c>
    </x:row>
    <x:row r="615" ht="23" customHeight="1">
      <x:c r="A615" s="12" t="n">
        <x:v>607</x:v>
      </x:c>
      <x:c r="B615" s="2" t="str">
        <x:v>张角</x:v>
      </x:c>
      <x:c r="C615" s="2" t="str">
        <x:v>張角</x:v>
      </x:c>
      <x:c r="D615" s="2" t="str">
        <x:v>x</x:v>
      </x:c>
      <x:c r="E615" s="2" t="str">
        <x:v>x</x:v>
      </x:c>
      <x:c r="F615" s="2" t="str">
        <x:v>x</x:v>
      </x:c>
      <x:c r="G615" s="2" t="str">
        <x:v>x</x:v>
      </x:c>
      <x:c r="H615" s="2" t="str">
        <x:v>x</x:v>
      </x:c>
      <x:c r="I615" s="2" t="str">
        <x:v>x</x:v>
      </x:c>
      <x:c r="J615" s="2" t="str">
        <x:v>x</x:v>
      </x:c>
      <x:c r="K615" s="2" t="str">
        <x:v>x</x:v>
      </x:c>
      <x:c r="L615" s="2" t="str">
        <x:v>張角</x:v>
      </x:c>
    </x:row>
    <x:row r="616" ht="23" customHeight="1">
      <x:c r="A616" s="12" t="n">
        <x:v>608</x:v>
      </x:c>
      <x:c r="B616" s="2" t="str">
        <x:v>张既</x:v>
      </x:c>
      <x:c r="C616" s="2" t="str">
        <x:v>長安(-)</x:v>
      </x:c>
      <x:c r="D616" s="2" t="str">
        <x:v>長安(未)</x:v>
      </x:c>
      <x:c r="E616" s="2" t="str">
        <x:v>長安(未)</x:v>
      </x:c>
      <x:c r="F616" s="2" t="str">
        <x:v>曹操</x:v>
      </x:c>
      <x:c r="G616" s="2" t="str">
        <x:v>曹操</x:v>
      </x:c>
      <x:c r="H616" s="2" t="str">
        <x:v>曹操</x:v>
      </x:c>
      <x:c r="I616" s="2" t="str">
        <x:v>曹丕</x:v>
      </x:c>
      <x:c r="J616" s="2" t="str">
        <x:v>x</x:v>
      </x:c>
      <x:c r="K616" s="2" t="str">
        <x:v>x</x:v>
      </x:c>
      <x:c r="L616" s="2" t="str">
        <x:v>長安(未)</x:v>
      </x:c>
    </x:row>
    <x:row r="617" ht="23" customHeight="1">
      <x:c r="A617" s="12" t="n">
        <x:v>609</x:v>
      </x:c>
      <x:c r="B617" s="2" t="str">
        <x:v>张𫖮</x:v>
      </x:c>
      <x:c r="C617" s="2" t="str">
        <x:v>鄴(-)</x:v>
      </x:c>
      <x:c r="D617" s="2" t="str">
        <x:v>鄴(未)</x:v>
      </x:c>
      <x:c r="E617" s="2" t="str">
        <x:v>袁紹</x:v>
      </x:c>
      <x:c r="F617" s="2" t="str">
        <x:v>袁紹</x:v>
      </x:c>
      <x:c r="G617" s="2" t="str">
        <x:v>曹操</x:v>
      </x:c>
      <x:c r="H617" s="2" t="str">
        <x:v>x</x:v>
      </x:c>
      <x:c r="I617" s="2" t="str">
        <x:v>x</x:v>
      </x:c>
      <x:c r="J617" s="2" t="str">
        <x:v>x</x:v>
      </x:c>
      <x:c r="K617" s="2" t="str">
        <x:v>x</x:v>
      </x:c>
      <x:c r="L617" s="2" t="str">
        <x:v>袁紹</x:v>
      </x:c>
    </x:row>
    <x:row r="618" ht="23" customHeight="1">
      <x:c r="A618" s="12" t="n">
        <x:v>610</x:v>
      </x:c>
      <x:c r="B618" s="2" t="str">
        <x:v>张休</x:v>
      </x:c>
      <x:c r="C618" s="2" t="str">
        <x:v>下邳(-)</x:v>
      </x:c>
      <x:c r="D618" s="2" t="str">
        <x:v>下邳(-)</x:v>
      </x:c>
      <x:c r="E618" s="2" t="str">
        <x:v>下邳(-)</x:v>
      </x:c>
      <x:c r="F618" s="2" t="str">
        <x:v>吳(-)</x:v>
      </x:c>
      <x:c r="G618" s="2" t="str">
        <x:v>吳(-)</x:v>
      </x:c>
      <x:c r="H618" s="2" t="str">
        <x:v>建業(-)</x:v>
      </x:c>
      <x:c r="I618" s="2" t="str">
        <x:v>孫權</x:v>
      </x:c>
      <x:c r="J618" s="2" t="str">
        <x:v>孫權</x:v>
      </x:c>
      <x:c r="K618" s="2" t="str">
        <x:v>x</x:v>
      </x:c>
      <x:c r="L618" s="2" t="str">
        <x:v>下邳(未)</x:v>
      </x:c>
    </x:row>
    <x:row r="619" ht="23" customHeight="1">
      <x:c r="A619" s="12" t="n">
        <x:v>611</x:v>
      </x:c>
      <x:c r="B619" s="2" t="str">
        <x:v>张球</x:v>
      </x:c>
      <x:c r="C619" s="2" t="str">
        <x:v>壽春(-)</x:v>
      </x:c>
      <x:c r="D619" s="2" t="str">
        <x:v>壽春(-)</x:v>
      </x:c>
      <x:c r="E619" s="2" t="str">
        <x:v>壽春(-)</x:v>
      </x:c>
      <x:c r="F619" s="2" t="str">
        <x:v>壽春(-)</x:v>
      </x:c>
      <x:c r="G619" s="2" t="str">
        <x:v>壽春(-)</x:v>
      </x:c>
      <x:c r="H619" s="2" t="str">
        <x:v>壽春(-)</x:v>
      </x:c>
      <x:c r="I619" s="2" t="str">
        <x:v>壽春(未)</x:v>
      </x:c>
      <x:c r="J619" s="2" t="str">
        <x:v>曹叡</x:v>
      </x:c>
      <x:c r="K619" s="2" t="str">
        <x:v>曹芳</x:v>
      </x:c>
      <x:c r="L619" s="2" t="str">
        <x:v>壽春(未)</x:v>
      </x:c>
    </x:row>
    <x:row r="620" ht="23" customHeight="1">
      <x:c r="A620" s="12" t="n">
        <x:v>612</x:v>
      </x:c>
      <x:c r="B620" s="2" t="str">
        <x:v>张举</x:v>
      </x:c>
      <x:c r="C620" s="2" t="str">
        <x:v>薊(野)</x:v>
      </x:c>
      <x:c r="D620" s="2" t="str">
        <x:v>x</x:v>
      </x:c>
      <x:c r="E620" s="2" t="str">
        <x:v>x</x:v>
      </x:c>
      <x:c r="F620" s="2" t="str">
        <x:v>x</x:v>
      </x:c>
      <x:c r="G620" s="2" t="str">
        <x:v>x</x:v>
      </x:c>
      <x:c r="H620" s="2" t="str">
        <x:v>x</x:v>
      </x:c>
      <x:c r="I620" s="2" t="str">
        <x:v>x</x:v>
      </x:c>
      <x:c r="J620" s="2" t="str">
        <x:v>x</x:v>
      </x:c>
      <x:c r="K620" s="2" t="str">
        <x:v>x</x:v>
      </x:c>
      <x:c r="L620" s="2" t="str">
        <x:v>薊(未)</x:v>
      </x:c>
    </x:row>
    <x:row r="621" ht="23" customHeight="1">
      <x:c r="A621" s="12" t="n">
        <x:v>613</x:v>
      </x:c>
      <x:c r="B621" s="2" t="str">
        <x:v>张嶷</x:v>
      </x:c>
      <x:c r="C621" s="2" t="str">
        <x:v>成都(-)</x:v>
      </x:c>
      <x:c r="D621" s="2" t="str">
        <x:v>成都(-)</x:v>
      </x:c>
      <x:c r="E621" s="2" t="str">
        <x:v>成都(-)</x:v>
      </x:c>
      <x:c r="F621" s="2" t="str">
        <x:v>成都(-)</x:v>
      </x:c>
      <x:c r="G621" s="2" t="str">
        <x:v>成都(-)</x:v>
      </x:c>
      <x:c r="H621" s="2" t="str">
        <x:v>劉備</x:v>
      </x:c>
      <x:c r="I621" s="2" t="str">
        <x:v>劉備</x:v>
      </x:c>
      <x:c r="J621" s="2" t="str">
        <x:v>劉禪</x:v>
      </x:c>
      <x:c r="K621" s="2" t="str">
        <x:v>劉禪</x:v>
      </x:c>
      <x:c r="L621" s="2" t="str">
        <x:v>成都(未)</x:v>
      </x:c>
    </x:row>
    <x:row r="622" ht="23" customHeight="1">
      <x:c r="A622" s="12" t="n">
        <x:v>614</x:v>
      </x:c>
      <x:c r="B622" s="2" t="str">
        <x:v>张勋</x:v>
      </x:c>
      <x:c r="C622" s="2" t="str">
        <x:v>宛(未)</x:v>
      </x:c>
      <x:c r="D622" s="2" t="str">
        <x:v>袁術</x:v>
      </x:c>
      <x:c r="E622" s="2" t="str">
        <x:v>袁術</x:v>
      </x:c>
      <x:c r="F622" s="2" t="str">
        <x:v>壽春(野)</x:v>
      </x:c>
      <x:c r="G622" s="2" t="str">
        <x:v>x</x:v>
      </x:c>
      <x:c r="H622" s="2" t="str">
        <x:v>x</x:v>
      </x:c>
      <x:c r="I622" s="2" t="str">
        <x:v>x</x:v>
      </x:c>
      <x:c r="J622" s="2" t="str">
        <x:v>x</x:v>
      </x:c>
      <x:c r="K622" s="2" t="str">
        <x:v>x</x:v>
      </x:c>
      <x:c r="L622" s="2" t="str">
        <x:v>袁術</x:v>
      </x:c>
    </x:row>
    <x:row r="623" ht="23" customHeight="1">
      <x:c r="A623" s="12" t="n">
        <x:v>615</x:v>
      </x:c>
      <x:c r="B623" s="2" t="str">
        <x:v>赵俨</x:v>
      </x:c>
      <x:c r="C623" s="2" t="str">
        <x:v>許昌(-)</x:v>
      </x:c>
      <x:c r="D623" s="2" t="str">
        <x:v>許昌(-)</x:v>
      </x:c>
      <x:c r="E623" s="2" t="str">
        <x:v>襄陽(-)</x:v>
      </x:c>
      <x:c r="F623" s="2" t="str">
        <x:v>曹操</x:v>
      </x:c>
      <x:c r="G623" s="2" t="str">
        <x:v>曹操</x:v>
      </x:c>
      <x:c r="H623" s="2" t="str">
        <x:v>曹操</x:v>
      </x:c>
      <x:c r="I623" s="2" t="str">
        <x:v>曹丕</x:v>
      </x:c>
      <x:c r="J623" s="2" t="str">
        <x:v>曹叡</x:v>
      </x:c>
      <x:c r="K623" s="2" t="str">
        <x:v>x</x:v>
      </x:c>
      <x:c r="L623" s="2" t="str">
        <x:v>許昌(未)</x:v>
      </x:c>
    </x:row>
    <x:row r="624" ht="23" customHeight="1">
      <x:c r="A624" s="12" t="n">
        <x:v>616</x:v>
      </x:c>
      <x:c r="B624" s="2" t="str">
        <x:v>张虎</x:v>
      </x:c>
      <x:c r="C624" s="2" t="str">
        <x:v>晉陽(-)</x:v>
      </x:c>
      <x:c r="D624" s="2" t="str">
        <x:v>晉陽(-)</x:v>
      </x:c>
      <x:c r="E624" s="2" t="str">
        <x:v>晉陽(-)</x:v>
      </x:c>
      <x:c r="F624" s="2" t="str">
        <x:v>晉陽(-)</x:v>
      </x:c>
      <x:c r="G624" s="2" t="str">
        <x:v>晉陽(-)</x:v>
      </x:c>
      <x:c r="H624" s="2" t="str">
        <x:v>曹操</x:v>
      </x:c>
      <x:c r="I624" s="2" t="str">
        <x:v>曹丕</x:v>
      </x:c>
      <x:c r="J624" s="2" t="str">
        <x:v>曹叡</x:v>
      </x:c>
      <x:c r="K624" s="2" t="str">
        <x:v>x</x:v>
      </x:c>
      <x:c r="L624" s="2" t="str">
        <x:v>呂布</x:v>
      </x:c>
    </x:row>
    <x:row r="625" ht="23" customHeight="1">
      <x:c r="A625" s="12" t="n">
        <x:v>617</x:v>
      </x:c>
      <x:c r="B625" s="2" t="str">
        <x:v>张纮</x:v>
      </x:c>
      <x:c r="C625" s="2" t="str">
        <x:v>廣陵(-)</x:v>
      </x:c>
      <x:c r="D625" s="2" t="str">
        <x:v>廣陵(-)</x:v>
      </x:c>
      <x:c r="E625" s="2" t="str">
        <x:v>孫策</x:v>
      </x:c>
      <x:c r="F625" s="2" t="str">
        <x:v>孫策</x:v>
      </x:c>
      <x:c r="G625" s="2" t="str">
        <x:v>孫權</x:v>
      </x:c>
      <x:c r="H625" s="2" t="str">
        <x:v>x</x:v>
      </x:c>
      <x:c r="I625" s="2" t="str">
        <x:v>x</x:v>
      </x:c>
      <x:c r="J625" s="2" t="str">
        <x:v>x</x:v>
      </x:c>
      <x:c r="K625" s="2" t="str">
        <x:v>x</x:v>
      </x:c>
      <x:c r="L625" s="2" t="str">
        <x:v>廣陵(未)</x:v>
      </x:c>
    </x:row>
    <x:row r="626" ht="23" customHeight="1">
      <x:c r="A626" s="12" t="n">
        <x:v>618</x:v>
      </x:c>
      <x:c r="B626" s="2" t="str">
        <x:v>张郃</x:v>
      </x:c>
      <x:c r="C626" s="2" t="str">
        <x:v>何進</x:v>
      </x:c>
      <x:c r="D626" s="2" t="str">
        <x:v>韓馥</x:v>
      </x:c>
      <x:c r="E626" s="2" t="str">
        <x:v>袁紹</x:v>
      </x:c>
      <x:c r="F626" s="2" t="str">
        <x:v>袁紹</x:v>
      </x:c>
      <x:c r="G626" s="2" t="str">
        <x:v>曹操</x:v>
      </x:c>
      <x:c r="H626" s="2" t="str">
        <x:v>曹操</x:v>
      </x:c>
      <x:c r="I626" s="2" t="str">
        <x:v>曹丕</x:v>
      </x:c>
      <x:c r="J626" s="2" t="str">
        <x:v>曹叡</x:v>
      </x:c>
      <x:c r="K626" s="2" t="str">
        <x:v>x</x:v>
      </x:c>
      <x:c r="L626" s="2" t="str">
        <x:v>韓馥</x:v>
      </x:c>
    </x:row>
    <x:row r="627" ht="23" customHeight="1">
      <x:c r="A627" s="12" t="n">
        <x:v>619</x:v>
      </x:c>
      <x:c r="B627" s="2" t="str">
        <x:v>赵广</x:v>
      </x:c>
      <x:c r="C627" s="2" t="str">
        <x:v>鄴(-)</x:v>
      </x:c>
      <x:c r="D627" s="2" t="str">
        <x:v>鄴(-)</x:v>
      </x:c>
      <x:c r="E627" s="2" t="str">
        <x:v>鄴(-)</x:v>
      </x:c>
      <x:c r="F627" s="2" t="str">
        <x:v>鄴(-)</x:v>
      </x:c>
      <x:c r="G627" s="2" t="str">
        <x:v>新野(-)</x:v>
      </x:c>
      <x:c r="H627" s="2" t="str">
        <x:v>成都(-)</x:v>
      </x:c>
      <x:c r="I627" s="2" t="str">
        <x:v>成都(-)</x:v>
      </x:c>
      <x:c r="J627" s="2" t="str">
        <x:v>劉禪</x:v>
      </x:c>
      <x:c r="K627" s="2" t="str">
        <x:v>劉禪</x:v>
      </x:c>
      <x:c r="L627" s="2" t="str">
        <x:v>劉備</x:v>
      </x:c>
    </x:row>
    <x:row r="628" ht="23" customHeight="1">
      <x:c r="A628" s="12" t="n">
        <x:v>620</x:v>
      </x:c>
      <x:c r="B628" s="2" t="str">
        <x:v>赵弘</x:v>
      </x:c>
      <x:c r="C628" s="2" t="str">
        <x:v>張角</x:v>
      </x:c>
      <x:c r="D628" s="2" t="str">
        <x:v>x</x:v>
      </x:c>
      <x:c r="E628" s="2" t="str">
        <x:v>x</x:v>
      </x:c>
      <x:c r="F628" s="2" t="str">
        <x:v>x</x:v>
      </x:c>
      <x:c r="G628" s="2" t="str">
        <x:v>x</x:v>
      </x:c>
      <x:c r="H628" s="2" t="str">
        <x:v>x</x:v>
      </x:c>
      <x:c r="I628" s="2" t="str">
        <x:v>x</x:v>
      </x:c>
      <x:c r="J628" s="2" t="str">
        <x:v>x</x:v>
      </x:c>
      <x:c r="K628" s="2" t="str">
        <x:v>x</x:v>
      </x:c>
      <x:c r="L628" s="2" t="str">
        <x:v>張角</x:v>
      </x:c>
    </x:row>
    <x:row r="629" ht="23" customHeight="1">
      <x:c r="A629" s="12" t="n">
        <x:v>621</x:v>
      </x:c>
      <x:c r="B629" s="2" t="str">
        <x:v>赵昂</x:v>
      </x:c>
      <x:c r="C629" s="2" t="str">
        <x:v>天水(-)</x:v>
      </x:c>
      <x:c r="D629" s="2" t="str">
        <x:v>天水(-)</x:v>
      </x:c>
      <x:c r="E629" s="2" t="str">
        <x:v>天水(-)</x:v>
      </x:c>
      <x:c r="F629" s="2" t="str">
        <x:v>天水(未)</x:v>
      </x:c>
      <x:c r="G629" s="2" t="str">
        <x:v>天水(未)</x:v>
      </x:c>
      <x:c r="H629" s="2" t="str">
        <x:v>曹操</x:v>
      </x:c>
      <x:c r="I629" s="2" t="str">
        <x:v>x</x:v>
      </x:c>
      <x:c r="J629" s="2" t="str">
        <x:v>x</x:v>
      </x:c>
      <x:c r="K629" s="2" t="str">
        <x:v>x</x:v>
      </x:c>
      <x:c r="L629" s="2" t="str">
        <x:v>天水(未)</x:v>
      </x:c>
    </x:row>
    <x:row r="630" ht="23" customHeight="1">
      <x:c r="A630" s="12" t="n">
        <x:v>622</x:v>
      </x:c>
      <x:c r="B630" s="2" t="str">
        <x:v>张氏</x:v>
      </x:c>
      <x:c r="C630" s="2" t="str">
        <x:v>薊(-)</x:v>
      </x:c>
      <x:c r="D630" s="2" t="str">
        <x:v>薊(-)</x:v>
      </x:c>
      <x:c r="E630" s="2" t="str">
        <x:v>薊(-)</x:v>
      </x:c>
      <x:c r="F630" s="2" t="str">
        <x:v>薊(-)</x:v>
      </x:c>
      <x:c r="G630" s="2" t="str">
        <x:v>新野(-)</x:v>
      </x:c>
      <x:c r="H630" s="2" t="str">
        <x:v>成都(-)</x:v>
      </x:c>
      <x:c r="I630" s="2" t="str">
        <x:v>劉備</x:v>
      </x:c>
      <x:c r="J630" s="2" t="str">
        <x:v>劉禪</x:v>
      </x:c>
      <x:c r="K630" s="2" t="str">
        <x:v>x</x:v>
      </x:c>
      <x:c r="L630" s="2" t="str">
        <x:v>劉備</x:v>
      </x:c>
    </x:row>
    <x:row r="631" ht="23" customHeight="1">
      <x:c r="A631" s="12" t="n">
        <x:v>623</x:v>
      </x:c>
      <x:c r="B631" s="2" t="str">
        <x:v>赵咨</x:v>
      </x:c>
      <x:c r="C631" s="2" t="str">
        <x:v>宛(-)</x:v>
      </x:c>
      <x:c r="D631" s="2" t="str">
        <x:v>宛(-)</x:v>
      </x:c>
      <x:c r="E631" s="2" t="str">
        <x:v>宛(-)</x:v>
      </x:c>
      <x:c r="F631" s="2" t="str">
        <x:v>宛(-)</x:v>
      </x:c>
      <x:c r="G631" s="2" t="str">
        <x:v>宛(-)</x:v>
      </x:c>
      <x:c r="H631" s="2" t="str">
        <x:v>孫權</x:v>
      </x:c>
      <x:c r="I631" s="2" t="str">
        <x:v>孫權</x:v>
      </x:c>
      <x:c r="J631" s="2" t="str">
        <x:v>孫權</x:v>
      </x:c>
      <x:c r="K631" s="2" t="str">
        <x:v>x</x:v>
      </x:c>
      <x:c r="L631" s="2" t="str">
        <x:v>宛(未)</x:v>
      </x:c>
    </x:row>
    <x:row r="632" ht="23" customHeight="1">
      <x:c r="A632" s="12" t="n">
        <x:v>624</x:v>
      </x:c>
      <x:c r="B632" s="2" t="str">
        <x:v>赵氏贞</x:v>
      </x:c>
      <x:c r="C632" s="2" t="str">
        <x:v>交趾(-)</x:v>
      </x:c>
      <x:c r="D632" s="2" t="str">
        <x:v>交趾(-)</x:v>
      </x:c>
      <x:c r="E632" s="2" t="str">
        <x:v>交趾(-)</x:v>
      </x:c>
      <x:c r="F632" s="2" t="str">
        <x:v>交趾(-)</x:v>
      </x:c>
      <x:c r="G632" s="2" t="str">
        <x:v>交趾(-)</x:v>
      </x:c>
      <x:c r="H632" s="2" t="str">
        <x:v>交趾(-)</x:v>
      </x:c>
      <x:c r="I632" s="2" t="str">
        <x:v>交趾(-)</x:v>
      </x:c>
      <x:c r="J632" s="2" t="str">
        <x:v>交趾(-)</x:v>
      </x:c>
      <x:c r="K632" s="2" t="str">
        <x:v>x</x:v>
      </x:c>
      <x:c r="L632" s="2" t="str">
        <x:v>交趾(未)</x:v>
      </x:c>
    </x:row>
    <x:row r="633" ht="23" customHeight="1">
      <x:c r="A633" s="12" t="n">
        <x:v>625</x:v>
      </x:c>
      <x:c r="B633" s="2" t="str">
        <x:v>张绣</x:v>
      </x:c>
      <x:c r="C633" s="2" t="str">
        <x:v>董卓</x:v>
      </x:c>
      <x:c r="D633" s="2" t="str">
        <x:v>董卓</x:v>
      </x:c>
      <x:c r="E633" s="2" t="str">
        <x:v>李傕</x:v>
      </x:c>
      <x:c r="F633" s="2" t="str">
        <x:v>張繡</x:v>
      </x:c>
      <x:c r="G633" s="2" t="str">
        <x:v>曹操</x:v>
      </x:c>
      <x:c r="H633" s="2" t="str">
        <x:v>x</x:v>
      </x:c>
      <x:c r="I633" s="2" t="str">
        <x:v>x</x:v>
      </x:c>
      <x:c r="J633" s="2" t="str">
        <x:v>x</x:v>
      </x:c>
      <x:c r="K633" s="2" t="str">
        <x:v>x</x:v>
      </x:c>
      <x:c r="L633" s="2" t="str">
        <x:v>張繡</x:v>
      </x:c>
    </x:row>
    <x:row r="634" ht="23" customHeight="1">
      <x:c r="A634" s="12" t="n">
        <x:v>626</x:v>
      </x:c>
      <x:c r="B634" s="2" t="str">
        <x:v>张缉</x:v>
      </x:c>
      <x:c r="C634" s="2" t="str">
        <x:v>長安(-)</x:v>
      </x:c>
      <x:c r="D634" s="2" t="str">
        <x:v>長安(-)</x:v>
      </x:c>
      <x:c r="E634" s="2" t="str">
        <x:v>長安(-)</x:v>
      </x:c>
      <x:c r="F634" s="2" t="str">
        <x:v>長安(-)</x:v>
      </x:c>
      <x:c r="G634" s="2" t="str">
        <x:v>長安(-)</x:v>
      </x:c>
      <x:c r="H634" s="2" t="str">
        <x:v>曹操</x:v>
      </x:c>
      <x:c r="I634" s="2" t="str">
        <x:v>曹丕</x:v>
      </x:c>
      <x:c r="J634" s="2" t="str">
        <x:v>曹叡</x:v>
      </x:c>
      <x:c r="K634" s="2" t="str">
        <x:v>曹芳</x:v>
      </x:c>
      <x:c r="L634" s="2" t="str">
        <x:v>毌丘儉</x:v>
      </x:c>
    </x:row>
    <x:row r="635" ht="23" customHeight="1">
      <x:c r="A635" s="12" t="n">
        <x:v>627</x:v>
      </x:c>
      <x:c r="B635" s="2" t="str">
        <x:v>张肃</x:v>
      </x:c>
      <x:c r="C635" s="2" t="str">
        <x:v>成都(未)</x:v>
      </x:c>
      <x:c r="D635" s="2" t="str">
        <x:v>劉焉</x:v>
      </x:c>
      <x:c r="E635" s="2" t="str">
        <x:v>劉璋</x:v>
      </x:c>
      <x:c r="F635" s="2" t="str">
        <x:v>劉璋</x:v>
      </x:c>
      <x:c r="G635" s="2" t="str">
        <x:v>劉璋</x:v>
      </x:c>
      <x:c r="H635" s="2" t="str">
        <x:v>x</x:v>
      </x:c>
      <x:c r="I635" s="2" t="str">
        <x:v>x</x:v>
      </x:c>
      <x:c r="J635" s="2" t="str">
        <x:v>x</x:v>
      </x:c>
      <x:c r="K635" s="2" t="str">
        <x:v>x</x:v>
      </x:c>
      <x:c r="L635" s="2" t="str">
        <x:v>劉焉</x:v>
      </x:c>
    </x:row>
    <x:row r="636" ht="23" customHeight="1">
      <x:c r="A636" s="12" t="n">
        <x:v>628</x:v>
      </x:c>
      <x:c r="B636" s="2" t="str">
        <x:v>张纯</x:v>
      </x:c>
      <x:c r="C636" s="2" t="str">
        <x:v>何進</x:v>
      </x:c>
      <x:c r="D636" s="2" t="str">
        <x:v>x</x:v>
      </x:c>
      <x:c r="E636" s="2" t="str">
        <x:v>x</x:v>
      </x:c>
      <x:c r="F636" s="2" t="str">
        <x:v>x</x:v>
      </x:c>
      <x:c r="G636" s="2" t="str">
        <x:v>x</x:v>
      </x:c>
      <x:c r="H636" s="2" t="str">
        <x:v>x</x:v>
      </x:c>
      <x:c r="I636" s="2" t="str">
        <x:v>x</x:v>
      </x:c>
      <x:c r="J636" s="2" t="str">
        <x:v>x</x:v>
      </x:c>
      <x:c r="K636" s="2" t="str">
        <x:v>x</x:v>
      </x:c>
      <x:c r="L636" s="2" t="str">
        <x:v>薊(未)</x:v>
      </x:c>
    </x:row>
    <x:row r="637" ht="23" customHeight="1">
      <x:c r="A637" s="12" t="n">
        <x:v>629</x:v>
      </x:c>
      <x:c r="B637" s="2" t="str">
        <x:v>张遵</x:v>
      </x:c>
      <x:c r="C637" s="2" t="str">
        <x:v>薊(-)</x:v>
      </x:c>
      <x:c r="D637" s="2" t="str">
        <x:v>薊(-)</x:v>
      </x:c>
      <x:c r="E637" s="2" t="str">
        <x:v>薊(-)</x:v>
      </x:c>
      <x:c r="F637" s="2" t="str">
        <x:v>薊(-)</x:v>
      </x:c>
      <x:c r="G637" s="2" t="str">
        <x:v>新野(-)</x:v>
      </x:c>
      <x:c r="H637" s="2" t="str">
        <x:v>成都(-)</x:v>
      </x:c>
      <x:c r="I637" s="2" t="str">
        <x:v>成都(-)</x:v>
      </x:c>
      <x:c r="J637" s="2" t="str">
        <x:v>成都(-)</x:v>
      </x:c>
      <x:c r="K637" s="2" t="str">
        <x:v>劉禪</x:v>
      </x:c>
      <x:c r="L637" s="2" t="str">
        <x:v>劉備</x:v>
      </x:c>
    </x:row>
    <x:row r="638" ht="23" customHeight="1">
      <x:c r="A638" s="12" t="n">
        <x:v>630</x:v>
      </x:c>
      <x:c r="B638" s="2" t="str">
        <x:v>张春华</x:v>
      </x:c>
      <x:c r="C638" s="2" t="str">
        <x:v>洛陽(-)</x:v>
      </x:c>
      <x:c r="D638" s="2" t="str">
        <x:v>洛陽(-)</x:v>
      </x:c>
      <x:c r="E638" s="2" t="str">
        <x:v>洛陽(-)</x:v>
      </x:c>
      <x:c r="F638" s="2" t="str">
        <x:v>洛陽(-)</x:v>
      </x:c>
      <x:c r="G638" s="2" t="str">
        <x:v>洛陽(未)</x:v>
      </x:c>
      <x:c r="H638" s="2" t="str">
        <x:v>曹操</x:v>
      </x:c>
      <x:c r="I638" s="2" t="str">
        <x:v>曹丕</x:v>
      </x:c>
      <x:c r="J638" s="2" t="str">
        <x:v>曹叡</x:v>
      </x:c>
      <x:c r="K638" s="2" t="str">
        <x:v>x</x:v>
      </x:c>
      <x:c r="L638" s="2" t="str">
        <x:v>司馬懿</x:v>
      </x:c>
    </x:row>
    <x:row r="639" ht="23" customHeight="1">
      <x:c r="A639" s="12" t="n">
        <x:v>631</x:v>
      </x:c>
      <x:c r="B639" s="2" t="str">
        <x:v>张昭</x:v>
      </x:c>
      <x:c r="C639" s="2" t="str">
        <x:v>下邳(-)</x:v>
      </x:c>
      <x:c r="D639" s="2" t="str">
        <x:v>下邳(-)</x:v>
      </x:c>
      <x:c r="E639" s="2" t="str">
        <x:v>孫策</x:v>
      </x:c>
      <x:c r="F639" s="2" t="str">
        <x:v>孫策</x:v>
      </x:c>
      <x:c r="G639" s="2" t="str">
        <x:v>孫權</x:v>
      </x:c>
      <x:c r="H639" s="2" t="str">
        <x:v>孫權</x:v>
      </x:c>
      <x:c r="I639" s="2" t="str">
        <x:v>孫權</x:v>
      </x:c>
      <x:c r="J639" s="2" t="str">
        <x:v>孫權</x:v>
      </x:c>
      <x:c r="K639" s="2" t="str">
        <x:v>x</x:v>
      </x:c>
      <x:c r="L639" s="2" t="str">
        <x:v>下邳(未)</x:v>
      </x:c>
    </x:row>
    <x:row r="640" ht="23" customHeight="1">
      <x:c r="A640" s="12" t="n">
        <x:v>632</x:v>
      </x:c>
      <x:c r="B640" s="2" t="str">
        <x:v>张松</x:v>
      </x:c>
      <x:c r="C640" s="2" t="str">
        <x:v>成都(-)</x:v>
      </x:c>
      <x:c r="D640" s="2" t="str">
        <x:v>成都(未)</x:v>
      </x:c>
      <x:c r="E640" s="2" t="str">
        <x:v>劉璋</x:v>
      </x:c>
      <x:c r="F640" s="2" t="str">
        <x:v>劉璋</x:v>
      </x:c>
      <x:c r="G640" s="2" t="str">
        <x:v>劉璋</x:v>
      </x:c>
      <x:c r="H640" s="2" t="str">
        <x:v>x</x:v>
      </x:c>
      <x:c r="I640" s="2" t="str">
        <x:v>x</x:v>
      </x:c>
      <x:c r="J640" s="2" t="str">
        <x:v>x</x:v>
      </x:c>
      <x:c r="K640" s="2" t="str">
        <x:v>x</x:v>
      </x:c>
      <x:c r="L640" s="2" t="str">
        <x:v>孟達</x:v>
      </x:c>
    </x:row>
    <x:row r="641" ht="23" customHeight="1">
      <x:c r="A641" s="12" t="n">
        <x:v>633</x:v>
      </x:c>
      <x:c r="B641" s="2" t="str">
        <x:v>张绍</x:v>
      </x:c>
      <x:c r="C641" s="2" t="str">
        <x:v>薊(-)</x:v>
      </x:c>
      <x:c r="D641" s="2" t="str">
        <x:v>薊(-)</x:v>
      </x:c>
      <x:c r="E641" s="2" t="str">
        <x:v>薊(-)</x:v>
      </x:c>
      <x:c r="F641" s="2" t="str">
        <x:v>薊(-)</x:v>
      </x:c>
      <x:c r="G641" s="2" t="str">
        <x:v>新野(-)</x:v>
      </x:c>
      <x:c r="H641" s="2" t="str">
        <x:v>劉備</x:v>
      </x:c>
      <x:c r="I641" s="2" t="str">
        <x:v>劉備</x:v>
      </x:c>
      <x:c r="J641" s="2" t="str">
        <x:v>劉禪</x:v>
      </x:c>
      <x:c r="K641" s="2" t="str">
        <x:v>劉禪</x:v>
      </x:c>
      <x:c r="L641" s="2" t="str">
        <x:v>劉備</x:v>
      </x:c>
    </x:row>
    <x:row r="642" ht="23" customHeight="1">
      <x:c r="A642" s="12" t="n">
        <x:v>634</x:v>
      </x:c>
      <x:c r="B642" s="2" t="str">
        <x:v>张承</x:v>
      </x:c>
      <x:c r="C642" s="2" t="str">
        <x:v>下邳(-)</x:v>
      </x:c>
      <x:c r="D642" s="2" t="str">
        <x:v>下邳(-)</x:v>
      </x:c>
      <x:c r="E642" s="2" t="str">
        <x:v>下邳(-)</x:v>
      </x:c>
      <x:c r="F642" s="2" t="str">
        <x:v>孫策</x:v>
      </x:c>
      <x:c r="G642" s="2" t="str">
        <x:v>孫權</x:v>
      </x:c>
      <x:c r="H642" s="2" t="str">
        <x:v>孫權</x:v>
      </x:c>
      <x:c r="I642" s="2" t="str">
        <x:v>孫權</x:v>
      </x:c>
      <x:c r="J642" s="2" t="str">
        <x:v>孫權</x:v>
      </x:c>
      <x:c r="K642" s="2" t="str">
        <x:v>x</x:v>
      </x:c>
      <x:c r="L642" s="2" t="str">
        <x:v>下邳(未)</x:v>
      </x:c>
    </x:row>
    <x:row r="643" ht="23" customHeight="1">
      <x:c r="A643" s="12" t="n">
        <x:v>635</x:v>
      </x:c>
      <x:c r="B643" s="2" t="str">
        <x:v>张承</x:v>
      </x:c>
      <x:c r="C643" s="2" t="str">
        <x:v>何進</x:v>
      </x:c>
      <x:c r="D643" s="2" t="str">
        <x:v>壽春(野)</x:v>
      </x:c>
      <x:c r="E643" s="2" t="str">
        <x:v>壽春(野)</x:v>
      </x:c>
      <x:c r="F643" s="2" t="str">
        <x:v>汝南(野)</x:v>
      </x:c>
      <x:c r="G643" s="2" t="str">
        <x:v>曹操</x:v>
      </x:c>
      <x:c r="H643" s="2" t="str">
        <x:v>x</x:v>
      </x:c>
      <x:c r="I643" s="2" t="str">
        <x:v>x</x:v>
      </x:c>
      <x:c r="J643" s="2" t="str">
        <x:v>x</x:v>
      </x:c>
      <x:c r="K643" s="2" t="str">
        <x:v>x</x:v>
      </x:c>
      <x:c r="L643" s="2" t="str">
        <x:v>洛陽(未)</x:v>
      </x:c>
    </x:row>
    <x:row r="644" ht="23" customHeight="1">
      <x:c r="A644" s="12" t="n">
        <x:v>636</x:v>
      </x:c>
      <x:c r="B644" s="2" t="str">
        <x:v>张昌蒲</x:v>
      </x:c>
      <x:c r="C644" s="2" t="str">
        <x:v>長安(-)</x:v>
      </x:c>
      <x:c r="D644" s="2" t="str">
        <x:v>長安(-)</x:v>
      </x:c>
      <x:c r="E644" s="2" t="str">
        <x:v>長安(-)</x:v>
      </x:c>
      <x:c r="F644" s="2" t="str">
        <x:v>長安(-)</x:v>
      </x:c>
      <x:c r="G644" s="2" t="str">
        <x:v>長安(-)</x:v>
      </x:c>
      <x:c r="H644" s="2" t="str">
        <x:v>長安(未)</x:v>
      </x:c>
      <x:c r="I644" s="2" t="str">
        <x:v>曹丕</x:v>
      </x:c>
      <x:c r="J644" s="2" t="str">
        <x:v>曹叡</x:v>
      </x:c>
      <x:c r="K644" s="2" t="str">
        <x:v>曹芳</x:v>
      </x:c>
      <x:c r="L644" s="2" t="str">
        <x:v>鍾會</x:v>
      </x:c>
    </x:row>
    <x:row r="645" ht="23" customHeight="1">
      <x:c r="A645" s="12" t="n">
        <x:v>637</x:v>
      </x:c>
      <x:c r="B645" s="2" t="str">
        <x:v>张任</x:v>
      </x:c>
      <x:c r="C645" s="2" t="str">
        <x:v>成都(-)</x:v>
      </x:c>
      <x:c r="D645" s="2" t="str">
        <x:v>成都(未)</x:v>
      </x:c>
      <x:c r="E645" s="2" t="str">
        <x:v>劉璋</x:v>
      </x:c>
      <x:c r="F645" s="2" t="str">
        <x:v>劉璋</x:v>
      </x:c>
      <x:c r="G645" s="2" t="str">
        <x:v>劉璋</x:v>
      </x:c>
      <x:c r="H645" s="2" t="str">
        <x:v>x</x:v>
      </x:c>
      <x:c r="I645" s="2" t="str">
        <x:v>x</x:v>
      </x:c>
      <x:c r="J645" s="2" t="str">
        <x:v>x</x:v>
      </x:c>
      <x:c r="K645" s="2" t="str">
        <x:v>x</x:v>
      </x:c>
      <x:c r="L645" s="2" t="str">
        <x:v>劉焉</x:v>
      </x:c>
    </x:row>
    <x:row r="646" ht="23" customHeight="1">
      <x:c r="A646" s="12" t="n">
        <x:v>638</x:v>
      </x:c>
      <x:c r="B646" s="2" t="str">
        <x:v>张济</x:v>
      </x:c>
      <x:c r="C646" s="2" t="str">
        <x:v>董卓</x:v>
      </x:c>
      <x:c r="D646" s="2" t="str">
        <x:v>董卓</x:v>
      </x:c>
      <x:c r="E646" s="2" t="str">
        <x:v>李傕</x:v>
      </x:c>
      <x:c r="F646" s="2" t="str">
        <x:v>x</x:v>
      </x:c>
      <x:c r="G646" s="2" t="str">
        <x:v>x</x:v>
      </x:c>
      <x:c r="H646" s="2" t="str">
        <x:v>x</x:v>
      </x:c>
      <x:c r="I646" s="2" t="str">
        <x:v>x</x:v>
      </x:c>
      <x:c r="J646" s="2" t="str">
        <x:v>x</x:v>
      </x:c>
      <x:c r="K646" s="2" t="str">
        <x:v>x</x:v>
      </x:c>
      <x:c r="L646" s="2" t="str">
        <x:v>張繡</x:v>
      </x:c>
    </x:row>
    <x:row r="647" ht="23" customHeight="1">
      <x:c r="A647" s="12" t="n">
        <x:v>639</x:v>
      </x:c>
      <x:c r="B647" s="2" t="str">
        <x:v>赵正</x:v>
      </x:c>
      <x:c r="C647" s="2" t="str">
        <x:v>成都(-)</x:v>
      </x:c>
      <x:c r="D647" s="2" t="str">
        <x:v>成都(-)</x:v>
      </x:c>
      <x:c r="E647" s="2" t="str">
        <x:v>成都(-)</x:v>
      </x:c>
      <x:c r="F647" s="2" t="str">
        <x:v>成都(-)</x:v>
      </x:c>
      <x:c r="G647" s="2" t="str">
        <x:v>成都(-)</x:v>
      </x:c>
      <x:c r="H647" s="2" t="str">
        <x:v>成都(-)</x:v>
      </x:c>
      <x:c r="I647" s="2" t="str">
        <x:v>成都(未)</x:v>
      </x:c>
      <x:c r="J647" s="2" t="str">
        <x:v>劉禪</x:v>
      </x:c>
      <x:c r="K647" s="2" t="str">
        <x:v>x</x:v>
      </x:c>
      <x:c r="L647" s="2" t="str">
        <x:v>成都(未)</x:v>
      </x:c>
    </x:row>
    <x:row r="648" ht="23" customHeight="1">
      <x:c r="A648" s="12" t="n">
        <x:v>640</x:v>
      </x:c>
      <x:c r="B648" s="2" t="str">
        <x:v>貂蝉</x:v>
      </x:c>
      <x:c r="C648" s="2" t="str">
        <x:v>洛陽(-)</x:v>
      </x:c>
      <x:c r="D648" s="2" t="str">
        <x:v>洛陽(-)</x:v>
      </x:c>
      <x:c r="E648" s="2" t="str">
        <x:v>呂布</x:v>
      </x:c>
      <x:c r="F648" s="2" t="str">
        <x:v>x</x:v>
      </x:c>
      <x:c r="G648" s="2" t="str">
        <x:v>x</x:v>
      </x:c>
      <x:c r="H648" s="2" t="str">
        <x:v>x</x:v>
      </x:c>
      <x:c r="I648" s="2" t="str">
        <x:v>x</x:v>
      </x:c>
      <x:c r="J648" s="2" t="str">
        <x:v>x</x:v>
      </x:c>
      <x:c r="K648" s="2" t="str">
        <x:v>x</x:v>
      </x:c>
      <x:c r="L648" s="2" t="str">
        <x:v>呂布</x:v>
      </x:c>
    </x:row>
    <x:row r="649" ht="23" customHeight="1">
      <x:c r="A649" s="12" t="n">
        <x:v>641</x:v>
      </x:c>
      <x:c r="B649" s="2" t="str">
        <x:v>张先</x:v>
      </x:c>
      <x:c r="C649" s="2" t="str">
        <x:v>宛(-)</x:v>
      </x:c>
      <x:c r="D649" s="2" t="str">
        <x:v>宛(-)</x:v>
      </x:c>
      <x:c r="E649" s="2" t="str">
        <x:v>宛(未)</x:v>
      </x:c>
      <x:c r="F649" s="2" t="str">
        <x:v>x</x:v>
      </x:c>
      <x:c r="G649" s="2" t="str">
        <x:v>x</x:v>
      </x:c>
      <x:c r="H649" s="2" t="str">
        <x:v>x</x:v>
      </x:c>
      <x:c r="I649" s="2" t="str">
        <x:v>x</x:v>
      </x:c>
      <x:c r="J649" s="2" t="str">
        <x:v>x</x:v>
      </x:c>
      <x:c r="K649" s="2" t="str">
        <x:v>x</x:v>
      </x:c>
      <x:c r="L649" s="2" t="str">
        <x:v>張繡</x:v>
      </x:c>
    </x:row>
    <x:row r="650" ht="23" customHeight="1">
      <x:c r="A650" s="12" t="n">
        <x:v>642</x:v>
      </x:c>
      <x:c r="B650" s="2" t="str">
        <x:v>张羡</x:v>
      </x:c>
      <x:c r="C650" s="2" t="str">
        <x:v>新野(-)</x:v>
      </x:c>
      <x:c r="D650" s="2" t="str">
        <x:v>劉表</x:v>
      </x:c>
      <x:c r="E650" s="2" t="str">
        <x:v>劉表</x:v>
      </x:c>
      <x:c r="F650" s="2" t="str">
        <x:v>劉表</x:v>
      </x:c>
      <x:c r="G650" s="2" t="str">
        <x:v>x</x:v>
      </x:c>
      <x:c r="H650" s="2" t="str">
        <x:v>x</x:v>
      </x:c>
      <x:c r="I650" s="2" t="str">
        <x:v>x</x:v>
      </x:c>
      <x:c r="J650" s="2" t="str">
        <x:v>x</x:v>
      </x:c>
      <x:c r="K650" s="2" t="str">
        <x:v>x</x:v>
      </x:c>
      <x:c r="L650" s="2" t="str">
        <x:v>新野(未)</x:v>
      </x:c>
    </x:row>
    <x:row r="651" ht="23" customHeight="1">
      <x:c r="A651" s="12" t="n">
        <x:v>643</x:v>
      </x:c>
      <x:c r="B651" s="2" t="str">
        <x:v>张泉</x:v>
      </x:c>
      <x:c r="C651" s="2" t="str">
        <x:v>武威(-)</x:v>
      </x:c>
      <x:c r="D651" s="2" t="str">
        <x:v>武威(-)</x:v>
      </x:c>
      <x:c r="E651" s="2" t="str">
        <x:v>安定(-)</x:v>
      </x:c>
      <x:c r="F651" s="2" t="str">
        <x:v>宛(-)</x:v>
      </x:c>
      <x:c r="G651" s="2" t="str">
        <x:v>曹操</x:v>
      </x:c>
      <x:c r="H651" s="2" t="str">
        <x:v>曹操</x:v>
      </x:c>
      <x:c r="I651" s="2" t="str">
        <x:v>x</x:v>
      </x:c>
      <x:c r="J651" s="2" t="str">
        <x:v>x</x:v>
      </x:c>
      <x:c r="K651" s="2" t="str">
        <x:v>x</x:v>
      </x:c>
      <x:c r="L651" s="2" t="str">
        <x:v>張繡</x:v>
      </x:c>
    </x:row>
    <x:row r="652" ht="23" customHeight="1">
      <x:c r="A652" s="12" t="n">
        <x:v>644</x:v>
      </x:c>
      <x:c r="B652" s="2" t="str">
        <x:v>张达</x:v>
      </x:c>
      <x:c r="C652" s="2" t="str">
        <x:v>永安(-)</x:v>
      </x:c>
      <x:c r="D652" s="2" t="str">
        <x:v>永安(-)</x:v>
      </x:c>
      <x:c r="E652" s="2" t="str">
        <x:v>永安(-)</x:v>
      </x:c>
      <x:c r="F652" s="2" t="str">
        <x:v>永安(-)</x:v>
      </x:c>
      <x:c r="G652" s="2" t="str">
        <x:v>永安(-)</x:v>
      </x:c>
      <x:c r="H652" s="2" t="str">
        <x:v>劉備</x:v>
      </x:c>
      <x:c r="I652" s="2" t="str">
        <x:v>孫權</x:v>
      </x:c>
      <x:c r="J652" s="2" t="str">
        <x:v>x</x:v>
      </x:c>
      <x:c r="K652" s="2" t="str">
        <x:v>x</x:v>
      </x:c>
      <x:c r="L652" s="2" t="str">
        <x:v>永安(未)</x:v>
      </x:c>
    </x:row>
    <x:row r="653" ht="23" customHeight="1">
      <x:c r="A653" s="12" t="n">
        <x:v>645</x:v>
      </x:c>
      <x:c r="B653" s="2" t="str">
        <x:v>赵达</x:v>
      </x:c>
      <x:c r="C653" s="2" t="str">
        <x:v>洛陽(-)</x:v>
      </x:c>
      <x:c r="D653" s="2" t="str">
        <x:v>吳(-)</x:v>
      </x:c>
      <x:c r="E653" s="2" t="str">
        <x:v>吳(-)</x:v>
      </x:c>
      <x:c r="F653" s="2" t="str">
        <x:v>吳(未)</x:v>
      </x:c>
      <x:c r="G653" s="2" t="str">
        <x:v>吳(野)</x:v>
      </x:c>
      <x:c r="H653" s="2" t="str">
        <x:v>孫權</x:v>
      </x:c>
      <x:c r="I653" s="2" t="str">
        <x:v>孫權</x:v>
      </x:c>
      <x:c r="J653" s="2" t="str">
        <x:v>孫權</x:v>
      </x:c>
      <x:c r="K653" s="2" t="str">
        <x:v>x</x:v>
      </x:c>
      <x:c r="L653" s="2" t="str">
        <x:v>洛陽(未)</x:v>
      </x:c>
    </x:row>
    <x:row r="654" ht="23" customHeight="1">
      <x:c r="A654" s="12" t="n">
        <x:v>646</x:v>
      </x:c>
      <x:c r="B654" s="2" t="str">
        <x:v>张著</x:v>
      </x:c>
      <x:c r="C654" s="2" t="str">
        <x:v>梓潼(-)</x:v>
      </x:c>
      <x:c r="D654" s="2" t="str">
        <x:v>梓潼(-)</x:v>
      </x:c>
      <x:c r="E654" s="2" t="str">
        <x:v>梓潼(未)</x:v>
      </x:c>
      <x:c r="F654" s="2" t="str">
        <x:v>梓潼(未)</x:v>
      </x:c>
      <x:c r="G654" s="2" t="str">
        <x:v>梓潼(未)</x:v>
      </x:c>
      <x:c r="H654" s="2" t="str">
        <x:v>梓潼(未)</x:v>
      </x:c>
      <x:c r="I654" s="2" t="str">
        <x:v>劉備</x:v>
      </x:c>
      <x:c r="J654" s="2" t="str">
        <x:v>劉禪</x:v>
      </x:c>
      <x:c r="K654" s="2" t="str">
        <x:v>x</x:v>
      </x:c>
      <x:c r="L654" s="2" t="str">
        <x:v>梓潼(未)</x:v>
      </x:c>
    </x:row>
    <x:row r="655" ht="23" customHeight="1">
      <x:c r="A655" s="12" t="n">
        <x:v>647</x:v>
      </x:c>
      <x:c r="B655" s="2" t="str">
        <x:v>张超</x:v>
      </x:c>
      <x:c r="C655" s="2" t="str">
        <x:v>何進</x:v>
      </x:c>
      <x:c r="D655" s="2" t="str">
        <x:v>張超</x:v>
      </x:c>
      <x:c r="E655" s="2" t="str">
        <x:v>呂布</x:v>
      </x:c>
      <x:c r="F655" s="2" t="str">
        <x:v>x</x:v>
      </x:c>
      <x:c r="G655" s="2" t="str">
        <x:v>x</x:v>
      </x:c>
      <x:c r="H655" s="2" t="str">
        <x:v>x</x:v>
      </x:c>
      <x:c r="I655" s="2" t="str">
        <x:v>x</x:v>
      </x:c>
      <x:c r="J655" s="2" t="str">
        <x:v>x</x:v>
      </x:c>
      <x:c r="K655" s="2" t="str">
        <x:v>x</x:v>
      </x:c>
      <x:c r="L655" s="2" t="str">
        <x:v>呂布</x:v>
      </x:c>
    </x:row>
    <x:row r="656" ht="23" customHeight="1">
      <x:c r="A656" s="12" t="n">
        <x:v>648</x:v>
      </x:c>
      <x:c r="B656" s="2" t="str">
        <x:v>张悌</x:v>
      </x:c>
      <x:c r="C656" s="2" t="str">
        <x:v>襄陽(-)</x:v>
      </x:c>
      <x:c r="D656" s="2" t="str">
        <x:v>襄陽(-)</x:v>
      </x:c>
      <x:c r="E656" s="2" t="str">
        <x:v>襄陽(-)</x:v>
      </x:c>
      <x:c r="F656" s="2" t="str">
        <x:v>襄陽(-)</x:v>
      </x:c>
      <x:c r="G656" s="2" t="str">
        <x:v>襄陽(-)</x:v>
      </x:c>
      <x:c r="H656" s="2" t="str">
        <x:v>襄陽(-)</x:v>
      </x:c>
      <x:c r="I656" s="2" t="str">
        <x:v>襄陽(-)</x:v>
      </x:c>
      <x:c r="J656" s="2" t="str">
        <x:v>襄陽(-)</x:v>
      </x:c>
      <x:c r="K656" s="2" t="str">
        <x:v>襄陽(-)</x:v>
      </x:c>
      <x:c r="L656" s="2" t="str">
        <x:v>襄陽(未)</x:v>
      </x:c>
    </x:row>
    <x:row r="657" ht="23" customHeight="1">
      <x:c r="A657" s="12" t="n">
        <x:v>649</x:v>
      </x:c>
      <x:c r="B657" s="2" t="str">
        <x:v>赵统</x:v>
      </x:c>
      <x:c r="C657" s="2" t="str">
        <x:v>薊(-)</x:v>
      </x:c>
      <x:c r="D657" s="2" t="str">
        <x:v>薊(-)</x:v>
      </x:c>
      <x:c r="E657" s="2" t="str">
        <x:v>薊(-)</x:v>
      </x:c>
      <x:c r="F657" s="2" t="str">
        <x:v>薊(-)</x:v>
      </x:c>
      <x:c r="G657" s="2" t="str">
        <x:v>新野(-)</x:v>
      </x:c>
      <x:c r="H657" s="2" t="str">
        <x:v>成都(-)</x:v>
      </x:c>
      <x:c r="I657" s="2" t="str">
        <x:v>成都(-)</x:v>
      </x:c>
      <x:c r="J657" s="2" t="str">
        <x:v>劉禪</x:v>
      </x:c>
      <x:c r="K657" s="2" t="str">
        <x:v>劉禪</x:v>
      </x:c>
      <x:c r="L657" s="2" t="str">
        <x:v>劉備</x:v>
      </x:c>
    </x:row>
    <x:row r="658" ht="23" customHeight="1">
      <x:c r="A658" s="12" t="n">
        <x:v>650</x:v>
      </x:c>
      <x:c r="B658" s="2" t="str">
        <x:v>张特</x:v>
      </x:c>
      <x:c r="C658" s="2" t="str">
        <x:v>薊(-)</x:v>
      </x:c>
      <x:c r="D658" s="2" t="str">
        <x:v>薊(-)</x:v>
      </x:c>
      <x:c r="E658" s="2" t="str">
        <x:v>薊(-)</x:v>
      </x:c>
      <x:c r="F658" s="2" t="str">
        <x:v>薊(-)</x:v>
      </x:c>
      <x:c r="G658" s="2" t="str">
        <x:v>薊(-)</x:v>
      </x:c>
      <x:c r="H658" s="2" t="str">
        <x:v>薊(-)</x:v>
      </x:c>
      <x:c r="I658" s="2" t="str">
        <x:v>薊(-)</x:v>
      </x:c>
      <x:c r="J658" s="2" t="str">
        <x:v>薊(-)</x:v>
      </x:c>
      <x:c r="K658" s="2" t="str">
        <x:v>曹芳</x:v>
      </x:c>
      <x:c r="L658" s="2" t="str">
        <x:v>薊(未)</x:v>
      </x:c>
    </x:row>
    <x:row r="659" ht="23" customHeight="1">
      <x:c r="A659" s="12" t="n">
        <x:v>651</x:v>
      </x:c>
      <x:c r="B659" s="2" t="str">
        <x:v>张南</x:v>
      </x:c>
      <x:c r="C659" s="2" t="str">
        <x:v>南皮(-)</x:v>
      </x:c>
      <x:c r="D659" s="2" t="str">
        <x:v>南皮(未)</x:v>
      </x:c>
      <x:c r="E659" s="2" t="str">
        <x:v>袁紹</x:v>
      </x:c>
      <x:c r="F659" s="2" t="str">
        <x:v>袁紹</x:v>
      </x:c>
      <x:c r="G659" s="2" t="str">
        <x:v>曹操</x:v>
      </x:c>
      <x:c r="H659" s="2" t="str">
        <x:v>x</x:v>
      </x:c>
      <x:c r="I659" s="2" t="str">
        <x:v>x</x:v>
      </x:c>
      <x:c r="J659" s="2" t="str">
        <x:v>x</x:v>
      </x:c>
      <x:c r="K659" s="2" t="str">
        <x:v>x</x:v>
      </x:c>
      <x:c r="L659" s="2" t="str">
        <x:v>袁紹</x:v>
      </x:c>
    </x:row>
    <x:row r="660" ht="23" customHeight="1">
      <x:c r="A660" s="12" t="n">
        <x:v>652</x:v>
      </x:c>
      <x:c r="B660" s="2" t="str">
        <x:v>张南</x:v>
      </x:c>
      <x:c r="C660" s="2" t="str">
        <x:v>武陵(-)</x:v>
      </x:c>
      <x:c r="D660" s="2" t="str">
        <x:v>武陵(-)</x:v>
      </x:c>
      <x:c r="E660" s="2" t="str">
        <x:v>武陵(-)</x:v>
      </x:c>
      <x:c r="F660" s="2" t="str">
        <x:v>武陵(-)</x:v>
      </x:c>
      <x:c r="G660" s="2" t="str">
        <x:v>武陵(-)</x:v>
      </x:c>
      <x:c r="H660" s="2" t="str">
        <x:v>劉備</x:v>
      </x:c>
      <x:c r="I660" s="2" t="str">
        <x:v>劉備</x:v>
      </x:c>
      <x:c r="J660" s="2" t="str">
        <x:v>x</x:v>
      </x:c>
      <x:c r="K660" s="2" t="str">
        <x:v>x</x:v>
      </x:c>
      <x:c r="L660" s="2" t="str">
        <x:v>武陵(未)</x:v>
      </x:c>
    </x:row>
    <x:row r="661" ht="23" customHeight="1">
      <x:c r="A661" s="12" t="n">
        <x:v>653</x:v>
      </x:c>
      <x:c r="B661" s="2" t="str">
        <x:v>张邈</x:v>
      </x:c>
      <x:c r="C661" s="2" t="str">
        <x:v>何進</x:v>
      </x:c>
      <x:c r="D661" s="2" t="str">
        <x:v>曹操</x:v>
      </x:c>
      <x:c r="E661" s="2" t="str">
        <x:v>呂布</x:v>
      </x:c>
      <x:c r="F661" s="2" t="str">
        <x:v>x</x:v>
      </x:c>
      <x:c r="G661" s="2" t="str">
        <x:v>x</x:v>
      </x:c>
      <x:c r="H661" s="2" t="str">
        <x:v>x</x:v>
      </x:c>
      <x:c r="I661" s="2" t="str">
        <x:v>x</x:v>
      </x:c>
      <x:c r="J661" s="2" t="str">
        <x:v>x</x:v>
      </x:c>
      <x:c r="K661" s="2" t="str">
        <x:v>x</x:v>
      </x:c>
      <x:c r="L661" s="2" t="str">
        <x:v>呂布</x:v>
      </x:c>
    </x:row>
    <x:row r="662" ht="23" customHeight="1">
      <x:c r="A662" s="12" t="n">
        <x:v>654</x:v>
      </x:c>
      <x:c r="B662" s="2" t="str">
        <x:v>赵范</x:v>
      </x:c>
      <x:c r="C662" s="2" t="str">
        <x:v>鄴(-)</x:v>
      </x:c>
      <x:c r="D662" s="2" t="str">
        <x:v>鄴(未)</x:v>
      </x:c>
      <x:c r="E662" s="2" t="str">
        <x:v>鄴(未)</x:v>
      </x:c>
      <x:c r="F662" s="2" t="str">
        <x:v>劉表</x:v>
      </x:c>
      <x:c r="G662" s="2" t="str">
        <x:v>趙範</x:v>
      </x:c>
      <x:c r="H662" s="2" t="str">
        <x:v>劉備</x:v>
      </x:c>
      <x:c r="I662" s="2" t="str">
        <x:v>x</x:v>
      </x:c>
      <x:c r="J662" s="2" t="str">
        <x:v>x</x:v>
      </x:c>
      <x:c r="K662" s="2" t="str">
        <x:v>x</x:v>
      </x:c>
      <x:c r="L662" s="2" t="str">
        <x:v>趙範</x:v>
      </x:c>
    </x:row>
    <x:row r="663" ht="23" customHeight="1">
      <x:c r="A663" s="12" t="n">
        <x:v>655</x:v>
      </x:c>
      <x:c r="B663" s="2" t="str">
        <x:v>张范</x:v>
      </x:c>
      <x:c r="C663" s="2" t="str">
        <x:v>洛陽(野)</x:v>
      </x:c>
      <x:c r="D663" s="2" t="str">
        <x:v>壽春(野)</x:v>
      </x:c>
      <x:c r="E663" s="2" t="str">
        <x:v>壽春(野)</x:v>
      </x:c>
      <x:c r="F663" s="2" t="str">
        <x:v>汝南(野)</x:v>
      </x:c>
      <x:c r="G663" s="2" t="str">
        <x:v>汝南(野)</x:v>
      </x:c>
      <x:c r="H663" s="2" t="str">
        <x:v>x</x:v>
      </x:c>
      <x:c r="I663" s="2" t="str">
        <x:v>x</x:v>
      </x:c>
      <x:c r="J663" s="2" t="str">
        <x:v>x</x:v>
      </x:c>
      <x:c r="K663" s="2" t="str">
        <x:v>x</x:v>
      </x:c>
      <x:c r="L663" s="2" t="str">
        <x:v>洛陽(未)</x:v>
      </x:c>
    </x:row>
    <x:row r="664" ht="23" customHeight="1">
      <x:c r="A664" s="12" t="n">
        <x:v>656</x:v>
      </x:c>
      <x:c r="B664" s="2" t="str">
        <x:v>张飞</x:v>
      </x:c>
      <x:c r="C664" s="2" t="str">
        <x:v>劉焉</x:v>
      </x:c>
      <x:c r="D664" s="2" t="str">
        <x:v>劉備</x:v>
      </x:c>
      <x:c r="E664" s="2" t="str">
        <x:v>劉備</x:v>
      </x:c>
      <x:c r="F664" s="2" t="str">
        <x:v>劉備</x:v>
      </x:c>
      <x:c r="G664" s="2" t="str">
        <x:v>劉備</x:v>
      </x:c>
      <x:c r="H664" s="2" t="str">
        <x:v>劉備</x:v>
      </x:c>
      <x:c r="I664" s="2" t="str">
        <x:v>x</x:v>
      </x:c>
      <x:c r="J664" s="2" t="str">
        <x:v>x</x:v>
      </x:c>
      <x:c r="K664" s="2" t="str">
        <x:v>x</x:v>
      </x:c>
      <x:c r="L664" s="2" t="str">
        <x:v>劉備</x:v>
      </x:c>
    </x:row>
    <x:row r="665" ht="23" customHeight="1">
      <x:c r="A665" s="12" t="n">
        <x:v>657</x:v>
      </x:c>
      <x:c r="B665" s="2" t="str">
        <x:v>张布</x:v>
      </x:c>
      <x:c r="C665" s="2" t="str">
        <x:v>吳(-)</x:v>
      </x:c>
      <x:c r="D665" s="2" t="str">
        <x:v>吳(-)</x:v>
      </x:c>
      <x:c r="E665" s="2" t="str">
        <x:v>吳(-)</x:v>
      </x:c>
      <x:c r="F665" s="2" t="str">
        <x:v>吳(-)</x:v>
      </x:c>
      <x:c r="G665" s="2" t="str">
        <x:v>吳(-)</x:v>
      </x:c>
      <x:c r="H665" s="2" t="str">
        <x:v>吳(-)</x:v>
      </x:c>
      <x:c r="I665" s="2" t="str">
        <x:v>吳(-)</x:v>
      </x:c>
      <x:c r="J665" s="2" t="str">
        <x:v>吳(-)</x:v>
      </x:c>
      <x:c r="K665" s="2" t="str">
        <x:v>孫權</x:v>
      </x:c>
      <x:c r="L665" s="2" t="str">
        <x:v>吳(未)</x:v>
      </x:c>
    </x:row>
    <x:row r="666" ht="23" customHeight="1">
      <x:c r="A666" s="12" t="n">
        <x:v>658</x:v>
      </x:c>
      <x:c r="B666" s="2" t="str">
        <x:v>张苞</x:v>
      </x:c>
      <x:c r="C666" s="2" t="str">
        <x:v>薊(-)</x:v>
      </x:c>
      <x:c r="D666" s="2" t="str">
        <x:v>薊(-)</x:v>
      </x:c>
      <x:c r="E666" s="2" t="str">
        <x:v>薊(-)</x:v>
      </x:c>
      <x:c r="F666" s="2" t="str">
        <x:v>薊(-)</x:v>
      </x:c>
      <x:c r="G666" s="2" t="str">
        <x:v>新野(-)</x:v>
      </x:c>
      <x:c r="H666" s="2" t="str">
        <x:v>劉備</x:v>
      </x:c>
      <x:c r="I666" s="2" t="str">
        <x:v>劉備</x:v>
      </x:c>
      <x:c r="J666" s="2" t="str">
        <x:v>劉禪</x:v>
      </x:c>
      <x:c r="K666" s="2" t="str">
        <x:v>x</x:v>
      </x:c>
      <x:c r="L666" s="2" t="str">
        <x:v>劉備</x:v>
      </x:c>
    </x:row>
    <x:row r="667" ht="23" customHeight="1">
      <x:c r="A667" s="12" t="n">
        <x:v>659</x:v>
      </x:c>
      <x:c r="B667" s="2" t="str">
        <x:v>张宝</x:v>
      </x:c>
      <x:c r="C667" s="2" t="str">
        <x:v>張角</x:v>
      </x:c>
      <x:c r="D667" s="2" t="str">
        <x:v>x</x:v>
      </x:c>
      <x:c r="E667" s="2" t="str">
        <x:v>x</x:v>
      </x:c>
      <x:c r="F667" s="2" t="str">
        <x:v>x</x:v>
      </x:c>
      <x:c r="G667" s="2" t="str">
        <x:v>x</x:v>
      </x:c>
      <x:c r="H667" s="2" t="str">
        <x:v>x</x:v>
      </x:c>
      <x:c r="I667" s="2" t="str">
        <x:v>x</x:v>
      </x:c>
      <x:c r="J667" s="2" t="str">
        <x:v>x</x:v>
      </x:c>
      <x:c r="K667" s="2" t="str">
        <x:v>x</x:v>
      </x:c>
      <x:c r="L667" s="2" t="str">
        <x:v>張角</x:v>
      </x:c>
    </x:row>
    <x:row r="668" ht="23" customHeight="1">
      <x:c r="A668" s="12" t="n">
        <x:v>660</x:v>
      </x:c>
      <x:c r="B668" s="2" t="str">
        <x:v>张曼成</x:v>
      </x:c>
      <x:c r="C668" s="2" t="str">
        <x:v>張角</x:v>
      </x:c>
      <x:c r="D668" s="2" t="str">
        <x:v>x</x:v>
      </x:c>
      <x:c r="E668" s="2" t="str">
        <x:v>x</x:v>
      </x:c>
      <x:c r="F668" s="2" t="str">
        <x:v>x</x:v>
      </x:c>
      <x:c r="G668" s="2" t="str">
        <x:v>x</x:v>
      </x:c>
      <x:c r="H668" s="2" t="str">
        <x:v>x</x:v>
      </x:c>
      <x:c r="I668" s="2" t="str">
        <x:v>x</x:v>
      </x:c>
      <x:c r="J668" s="2" t="str">
        <x:v>x</x:v>
      </x:c>
      <x:c r="K668" s="2" t="str">
        <x:v>x</x:v>
      </x:c>
      <x:c r="L668" s="2" t="str">
        <x:v>張角</x:v>
      </x:c>
    </x:row>
    <x:row r="669" ht="23" customHeight="1">
      <x:c r="A669" s="12" t="n">
        <x:v>661</x:v>
      </x:c>
      <x:c r="B669" s="2" t="str">
        <x:v>张杨</x:v>
      </x:c>
      <x:c r="C669" s="2" t="str">
        <x:v>丁原</x:v>
      </x:c>
      <x:c r="D669" s="2" t="str">
        <x:v>張楊</x:v>
      </x:c>
      <x:c r="E669" s="2" t="str">
        <x:v>張楊</x:v>
      </x:c>
      <x:c r="F669" s="2" t="str">
        <x:v>x</x:v>
      </x:c>
      <x:c r="G669" s="2" t="str">
        <x:v>x</x:v>
      </x:c>
      <x:c r="H669" s="2" t="str">
        <x:v>x</x:v>
      </x:c>
      <x:c r="I669" s="2" t="str">
        <x:v>x</x:v>
      </x:c>
      <x:c r="J669" s="2" t="str">
        <x:v>x</x:v>
      </x:c>
      <x:c r="K669" s="2" t="str">
        <x:v>x</x:v>
      </x:c>
      <x:c r="L669" s="2" t="str">
        <x:v>丁原</x:v>
      </x:c>
    </x:row>
    <x:row r="670" ht="23" customHeight="1">
      <x:c r="A670" s="12" t="n">
        <x:v>662</x:v>
      </x:c>
      <x:c r="B670" s="2" t="str">
        <x:v>张翼</x:v>
      </x:c>
      <x:c r="C670" s="2" t="str">
        <x:v>成都(-)</x:v>
      </x:c>
      <x:c r="D670" s="2" t="str">
        <x:v>成都(-)</x:v>
      </x:c>
      <x:c r="E670" s="2" t="str">
        <x:v>成都(-)</x:v>
      </x:c>
      <x:c r="F670" s="2" t="str">
        <x:v>成都(-)</x:v>
      </x:c>
      <x:c r="G670" s="2" t="str">
        <x:v>成都(未)</x:v>
      </x:c>
      <x:c r="H670" s="2" t="str">
        <x:v>劉備</x:v>
      </x:c>
      <x:c r="I670" s="2" t="str">
        <x:v>劉備</x:v>
      </x:c>
      <x:c r="J670" s="2" t="str">
        <x:v>劉禪</x:v>
      </x:c>
      <x:c r="K670" s="2" t="str">
        <x:v>劉禪</x:v>
      </x:c>
      <x:c r="L670" s="2" t="str">
        <x:v>成都(未)</x:v>
      </x:c>
    </x:row>
    <x:row r="671" ht="23" customHeight="1">
      <x:c r="A671" s="12" t="n">
        <x:v>663</x:v>
      </x:c>
      <x:c r="B671" s="2" t="str">
        <x:v>张辽</x:v>
      </x:c>
      <x:c r="C671" s="2" t="str">
        <x:v>晉陽(-)</x:v>
      </x:c>
      <x:c r="D671" s="2" t="str">
        <x:v>董卓</x:v>
      </x:c>
      <x:c r="E671" s="2" t="str">
        <x:v>呂布</x:v>
      </x:c>
      <x:c r="F671" s="2" t="str">
        <x:v>曹操</x:v>
      </x:c>
      <x:c r="G671" s="2" t="str">
        <x:v>曹操</x:v>
      </x:c>
      <x:c r="H671" s="2" t="str">
        <x:v>曹操</x:v>
      </x:c>
      <x:c r="I671" s="2" t="str">
        <x:v>曹丕</x:v>
      </x:c>
      <x:c r="J671" s="2" t="str">
        <x:v>x</x:v>
      </x:c>
      <x:c r="K671" s="2" t="str">
        <x:v>x</x:v>
      </x:c>
      <x:c r="L671" s="2" t="str">
        <x:v>呂布</x:v>
      </x:c>
    </x:row>
    <x:row r="672" ht="23" customHeight="1">
      <x:c r="A672" s="12" t="n">
        <x:v>664</x:v>
      </x:c>
      <x:c r="B672" s="2" t="str">
        <x:v>张梁</x:v>
      </x:c>
      <x:c r="C672" s="2" t="str">
        <x:v>張角</x:v>
      </x:c>
      <x:c r="D672" s="2" t="str">
        <x:v>x</x:v>
      </x:c>
      <x:c r="E672" s="2" t="str">
        <x:v>x</x:v>
      </x:c>
      <x:c r="F672" s="2" t="str">
        <x:v>x</x:v>
      </x:c>
      <x:c r="G672" s="2" t="str">
        <x:v>x</x:v>
      </x:c>
      <x:c r="H672" s="2" t="str">
        <x:v>x</x:v>
      </x:c>
      <x:c r="I672" s="2" t="str">
        <x:v>x</x:v>
      </x:c>
      <x:c r="J672" s="2" t="str">
        <x:v>x</x:v>
      </x:c>
      <x:c r="K672" s="2" t="str">
        <x:v>x</x:v>
      </x:c>
      <x:c r="L672" s="2" t="str">
        <x:v>張角</x:v>
      </x:c>
    </x:row>
    <x:row r="673" ht="23" customHeight="1">
      <x:c r="A673" s="12" t="n">
        <x:v>665</x:v>
      </x:c>
      <x:c r="B673" s="2" t="str">
        <x:v>赵累</x:v>
      </x:c>
      <x:c r="C673" s="2" t="str">
        <x:v>江陵(-)</x:v>
      </x:c>
      <x:c r="D673" s="2" t="str">
        <x:v>江陵(-)</x:v>
      </x:c>
      <x:c r="E673" s="2" t="str">
        <x:v>江陵(-)</x:v>
      </x:c>
      <x:c r="F673" s="2" t="str">
        <x:v>江陵(-)</x:v>
      </x:c>
      <x:c r="G673" s="2" t="str">
        <x:v>江陵(未)</x:v>
      </x:c>
      <x:c r="H673" s="2" t="str">
        <x:v>劉備</x:v>
      </x:c>
      <x:c r="I673" s="2" t="str">
        <x:v>x</x:v>
      </x:c>
      <x:c r="J673" s="2" t="str">
        <x:v>x</x:v>
      </x:c>
      <x:c r="K673" s="2" t="str">
        <x:v>x</x:v>
      </x:c>
      <x:c r="L673" s="2" t="str">
        <x:v>江陵(未)</x:v>
      </x:c>
    </x:row>
    <x:row r="674" ht="23" customHeight="1">
      <x:c r="A674" s="12" t="n">
        <x:v>666</x:v>
      </x:c>
      <x:c r="B674" s="2" t="str">
        <x:v>张鲁</x:v>
      </x:c>
      <x:c r="C674" s="2" t="str">
        <x:v>漢中(野)</x:v>
      </x:c>
      <x:c r="D674" s="2" t="str">
        <x:v>張魯</x:v>
      </x:c>
      <x:c r="E674" s="2" t="str">
        <x:v>張魯</x:v>
      </x:c>
      <x:c r="F674" s="2" t="str">
        <x:v>張魯</x:v>
      </x:c>
      <x:c r="G674" s="2" t="str">
        <x:v>張魯</x:v>
      </x:c>
      <x:c r="H674" s="2" t="str">
        <x:v>x</x:v>
      </x:c>
      <x:c r="I674" s="2" t="str">
        <x:v>x</x:v>
      </x:c>
      <x:c r="J674" s="2" t="str">
        <x:v>x</x:v>
      </x:c>
      <x:c r="K674" s="2" t="str">
        <x:v>x</x:v>
      </x:c>
      <x:c r="L674" s="2" t="str">
        <x:v>張魯</x:v>
      </x:c>
    </x:row>
    <x:row r="675" ht="23" customHeight="1">
      <x:c r="A675" s="12" t="n">
        <x:v>667</x:v>
      </x:c>
      <x:c r="B675" s="2" t="str">
        <x:v>陈横</x:v>
      </x:c>
      <x:c r="C675" s="2" t="str">
        <x:v>建業(未)</x:v>
      </x:c>
      <x:c r="D675" s="2" t="str">
        <x:v>建業(未)</x:v>
      </x:c>
      <x:c r="E675" s="2" t="str">
        <x:v>劉繇</x:v>
      </x:c>
      <x:c r="F675" s="2" t="str">
        <x:v>x</x:v>
      </x:c>
      <x:c r="G675" s="2" t="str">
        <x:v>x</x:v>
      </x:c>
      <x:c r="H675" s="2" t="str">
        <x:v>x</x:v>
      </x:c>
      <x:c r="I675" s="2" t="str">
        <x:v>x</x:v>
      </x:c>
      <x:c r="J675" s="2" t="str">
        <x:v>x</x:v>
      </x:c>
      <x:c r="K675" s="2" t="str">
        <x:v>x</x:v>
      </x:c>
      <x:c r="L675" s="2" t="str">
        <x:v>劉繇</x:v>
      </x:c>
    </x:row>
    <x:row r="676" ht="23" customHeight="1">
      <x:c r="A676" s="12" t="n">
        <x:v>668</x:v>
      </x:c>
      <x:c r="B676" s="2" t="str">
        <x:v>陈应</x:v>
      </x:c>
      <x:c r="C676" s="2" t="str">
        <x:v>桂陽(-)</x:v>
      </x:c>
      <x:c r="D676" s="2" t="str">
        <x:v>桂陽(-)</x:v>
      </x:c>
      <x:c r="E676" s="2" t="str">
        <x:v>桂陽(-)</x:v>
      </x:c>
      <x:c r="F676" s="2" t="str">
        <x:v>桂陽(-)</x:v>
      </x:c>
      <x:c r="G676" s="2" t="str">
        <x:v>趙範</x:v>
      </x:c>
      <x:c r="H676" s="2" t="str">
        <x:v>x</x:v>
      </x:c>
      <x:c r="I676" s="2" t="str">
        <x:v>x</x:v>
      </x:c>
      <x:c r="J676" s="2" t="str">
        <x:v>x</x:v>
      </x:c>
      <x:c r="K676" s="2" t="str">
        <x:v>x</x:v>
      </x:c>
      <x:c r="L676" s="2" t="str">
        <x:v>趙範</x:v>
      </x:c>
    </x:row>
    <x:row r="677" ht="23" customHeight="1">
      <x:c r="A677" s="12" t="n">
        <x:v>669</x:v>
      </x:c>
      <x:c r="B677" s="2" t="str">
        <x:v>陈化</x:v>
      </x:c>
      <x:c r="C677" s="2" t="str">
        <x:v>汝南(-)</x:v>
      </x:c>
      <x:c r="D677" s="2" t="str">
        <x:v>汝南(-)</x:v>
      </x:c>
      <x:c r="E677" s="2" t="str">
        <x:v>汝南(-)</x:v>
      </x:c>
      <x:c r="F677" s="2" t="str">
        <x:v>會稽(-)</x:v>
      </x:c>
      <x:c r="G677" s="2" t="str">
        <x:v>會稽(未)</x:v>
      </x:c>
      <x:c r="H677" s="2" t="str">
        <x:v>孫權</x:v>
      </x:c>
      <x:c r="I677" s="2" t="str">
        <x:v>孫權</x:v>
      </x:c>
      <x:c r="J677" s="2" t="str">
        <x:v>孫權</x:v>
      </x:c>
      <x:c r="K677" s="2" t="str">
        <x:v>孫權</x:v>
      </x:c>
      <x:c r="L677" s="2" t="str">
        <x:v>汝南(未)</x:v>
      </x:c>
    </x:row>
    <x:row r="678" ht="23" customHeight="1">
      <x:c r="A678" s="12" t="n">
        <x:v>670</x:v>
      </x:c>
      <x:c r="B678" s="2" t="str">
        <x:v>陈纪</x:v>
      </x:c>
      <x:c r="C678" s="2" t="str">
        <x:v>柴桑(未)</x:v>
      </x:c>
      <x:c r="D678" s="2" t="str">
        <x:v>袁術</x:v>
      </x:c>
      <x:c r="E678" s="2" t="str">
        <x:v>袁術</x:v>
      </x:c>
      <x:c r="F678" s="2" t="str">
        <x:v>x</x:v>
      </x:c>
      <x:c r="G678" s="2" t="str">
        <x:v>x</x:v>
      </x:c>
      <x:c r="H678" s="2" t="str">
        <x:v>x</x:v>
      </x:c>
      <x:c r="I678" s="2" t="str">
        <x:v>x</x:v>
      </x:c>
      <x:c r="J678" s="2" t="str">
        <x:v>x</x:v>
      </x:c>
      <x:c r="K678" s="2" t="str">
        <x:v>x</x:v>
      </x:c>
      <x:c r="L678" s="2" t="str">
        <x:v>袁術</x:v>
      </x:c>
    </x:row>
    <x:row r="679" ht="23" customHeight="1">
      <x:c r="A679" s="12" t="n">
        <x:v>671</x:v>
      </x:c>
      <x:c r="B679" s="2" t="str">
        <x:v>陈宫</x:v>
      </x:c>
      <x:c r="C679" s="2" t="str">
        <x:v>濮陽(未)</x:v>
      </x:c>
      <x:c r="D679" s="2" t="str">
        <x:v>曹操</x:v>
      </x:c>
      <x:c r="E679" s="2" t="str">
        <x:v>呂布</x:v>
      </x:c>
      <x:c r="F679" s="2" t="str">
        <x:v>x</x:v>
      </x:c>
      <x:c r="G679" s="2" t="str">
        <x:v>x</x:v>
      </x:c>
      <x:c r="H679" s="2" t="str">
        <x:v>x</x:v>
      </x:c>
      <x:c r="I679" s="2" t="str">
        <x:v>x</x:v>
      </x:c>
      <x:c r="J679" s="2" t="str">
        <x:v>x</x:v>
      </x:c>
      <x:c r="K679" s="2" t="str">
        <x:v>x</x:v>
      </x:c>
      <x:c r="L679" s="2" t="str">
        <x:v>呂布</x:v>
      </x:c>
    </x:row>
    <x:row r="680" ht="23" customHeight="1">
      <x:c r="A680" s="12" t="n">
        <x:v>672</x:v>
      </x:c>
      <x:c r="B680" s="2" t="str">
        <x:v>陈矫</x:v>
      </x:c>
      <x:c r="C680" s="2" t="str">
        <x:v>廣陵(-)</x:v>
      </x:c>
      <x:c r="D680" s="2" t="str">
        <x:v>廣陵(-)</x:v>
      </x:c>
      <x:c r="E680" s="2" t="str">
        <x:v>廣陵(未)</x:v>
      </x:c>
      <x:c r="F680" s="2" t="str">
        <x:v>廣陵(未)</x:v>
      </x:c>
      <x:c r="G680" s="2" t="str">
        <x:v>曹操</x:v>
      </x:c>
      <x:c r="H680" s="2" t="str">
        <x:v>曹操</x:v>
      </x:c>
      <x:c r="I680" s="2" t="str">
        <x:v>曹丕</x:v>
      </x:c>
      <x:c r="J680" s="2" t="str">
        <x:v>曹叡</x:v>
      </x:c>
      <x:c r="K680" s="2" t="str">
        <x:v>x</x:v>
      </x:c>
      <x:c r="L680" s="2" t="str">
        <x:v>廣陵(未)</x:v>
      </x:c>
    </x:row>
    <x:row r="681" ht="23" customHeight="1">
      <x:c r="A681" s="12" t="n">
        <x:v>673</x:v>
      </x:c>
      <x:c r="B681" s="2" t="str">
        <x:v>陈群</x:v>
      </x:c>
      <x:c r="C681" s="2" t="str">
        <x:v>許昌(-)</x:v>
      </x:c>
      <x:c r="D681" s="2" t="str">
        <x:v>許昌(未)</x:v>
      </x:c>
      <x:c r="E681" s="2" t="str">
        <x:v>劉備</x:v>
      </x:c>
      <x:c r="F681" s="2" t="str">
        <x:v>曹操</x:v>
      </x:c>
      <x:c r="G681" s="2" t="str">
        <x:v>曹操</x:v>
      </x:c>
      <x:c r="H681" s="2" t="str">
        <x:v>曹操</x:v>
      </x:c>
      <x:c r="I681" s="2" t="str">
        <x:v>曹丕</x:v>
      </x:c>
      <x:c r="J681" s="2" t="str">
        <x:v>曹叡</x:v>
      </x:c>
      <x:c r="K681" s="2" t="str">
        <x:v>x</x:v>
      </x:c>
      <x:c r="L681" s="2" t="str">
        <x:v>許昌(未)</x:v>
      </x:c>
    </x:row>
    <x:row r="682" ht="23" customHeight="1">
      <x:c r="A682" s="12" t="n">
        <x:v>674</x:v>
      </x:c>
      <x:c r="B682" s="2" t="str">
        <x:v>陈珪</x:v>
      </x:c>
      <x:c r="C682" s="2" t="str">
        <x:v>下邳(未)</x:v>
      </x:c>
      <x:c r="D682" s="2" t="str">
        <x:v>陶謙</x:v>
      </x:c>
      <x:c r="E682" s="2" t="str">
        <x:v>陶謙</x:v>
      </x:c>
      <x:c r="F682" s="2" t="str">
        <x:v>劉備</x:v>
      </x:c>
      <x:c r="G682" s="2" t="str">
        <x:v>x</x:v>
      </x:c>
      <x:c r="H682" s="2" t="str">
        <x:v>x</x:v>
      </x:c>
      <x:c r="I682" s="2" t="str">
        <x:v>x</x:v>
      </x:c>
      <x:c r="J682" s="2" t="str">
        <x:v>x</x:v>
      </x:c>
      <x:c r="K682" s="2" t="str">
        <x:v>x</x:v>
      </x:c>
      <x:c r="L682" s="2" t="str">
        <x:v>陶謙</x:v>
      </x:c>
    </x:row>
    <x:row r="683" ht="23" customHeight="1">
      <x:c r="A683" s="12" t="n">
        <x:v>675</x:v>
      </x:c>
      <x:c r="B683" s="2" t="str">
        <x:v>陈骞</x:v>
      </x:c>
      <x:c r="C683" s="2" t="str">
        <x:v>廣陵(-)</x:v>
      </x:c>
      <x:c r="D683" s="2" t="str">
        <x:v>廣陵(-)</x:v>
      </x:c>
      <x:c r="E683" s="2" t="str">
        <x:v>廣陵(-)</x:v>
      </x:c>
      <x:c r="F683" s="2" t="str">
        <x:v>廣陵(-)</x:v>
      </x:c>
      <x:c r="G683" s="2" t="str">
        <x:v>廣陵(-)</x:v>
      </x:c>
      <x:c r="H683" s="2" t="str">
        <x:v>廣陵(-)</x:v>
      </x:c>
      <x:c r="I683" s="2" t="str">
        <x:v>廣陵(-)</x:v>
      </x:c>
      <x:c r="J683" s="2" t="str">
        <x:v>廣陵(-)</x:v>
      </x:c>
      <x:c r="K683" s="2" t="str">
        <x:v>曹芳</x:v>
      </x:c>
      <x:c r="L683" s="2" t="str">
        <x:v>廣陵(未)</x:v>
      </x:c>
    </x:row>
    <x:row r="684" ht="23" customHeight="1">
      <x:c r="A684" s="12" t="n">
        <x:v>676</x:v>
      </x:c>
      <x:c r="B684" s="2" t="str">
        <x:v>陈祗</x:v>
      </x:c>
      <x:c r="C684" s="2" t="str">
        <x:v>汝南(-)</x:v>
      </x:c>
      <x:c r="D684" s="2" t="str">
        <x:v>汝南(-)</x:v>
      </x:c>
      <x:c r="E684" s="2" t="str">
        <x:v>汝南(-)</x:v>
      </x:c>
      <x:c r="F684" s="2" t="str">
        <x:v>汝南(-)</x:v>
      </x:c>
      <x:c r="G684" s="2" t="str">
        <x:v>汝南(-)</x:v>
      </x:c>
      <x:c r="H684" s="2" t="str">
        <x:v>汝南(-)</x:v>
      </x:c>
      <x:c r="I684" s="2" t="str">
        <x:v>成都(-)</x:v>
      </x:c>
      <x:c r="J684" s="2" t="str">
        <x:v>成都(-)</x:v>
      </x:c>
      <x:c r="K684" s="2" t="str">
        <x:v>劉禪</x:v>
      </x:c>
      <x:c r="L684" s="2" t="str">
        <x:v>孔伷</x:v>
      </x:c>
    </x:row>
    <x:row r="685" ht="23" customHeight="1">
      <x:c r="A685" s="12" t="n">
        <x:v>677</x:v>
      </x:c>
      <x:c r="B685" s="2" t="str">
        <x:v>陈寿</x:v>
      </x:c>
      <x:c r="C685" s="2" t="str">
        <x:v>江州(-)</x:v>
      </x:c>
      <x:c r="D685" s="2" t="str">
        <x:v>江州(-)</x:v>
      </x:c>
      <x:c r="E685" s="2" t="str">
        <x:v>江州(-)</x:v>
      </x:c>
      <x:c r="F685" s="2" t="str">
        <x:v>江州(-)</x:v>
      </x:c>
      <x:c r="G685" s="2" t="str">
        <x:v>江州(-)</x:v>
      </x:c>
      <x:c r="H685" s="2" t="str">
        <x:v>江州(-)</x:v>
      </x:c>
      <x:c r="I685" s="2" t="str">
        <x:v>江州(-)</x:v>
      </x:c>
      <x:c r="J685" s="2" t="str">
        <x:v>江州(-)</x:v>
      </x:c>
      <x:c r="K685" s="2" t="str">
        <x:v>江州(-)</x:v>
      </x:c>
      <x:c r="L685" s="2" t="str">
        <x:v>江州(未)</x:v>
      </x:c>
    </x:row>
    <x:row r="686" ht="23" customHeight="1">
      <x:c r="A686" s="12" t="n">
        <x:v>678</x:v>
      </x:c>
      <x:c r="B686" s="2" t="str">
        <x:v>陈就</x:v>
      </x:c>
      <x:c r="C686" s="2" t="str">
        <x:v>江夏(-)</x:v>
      </x:c>
      <x:c r="D686" s="2" t="str">
        <x:v>江夏(-)</x:v>
      </x:c>
      <x:c r="E686" s="2" t="str">
        <x:v>江夏(-)</x:v>
      </x:c>
      <x:c r="F686" s="2" t="str">
        <x:v>劉表</x:v>
      </x:c>
      <x:c r="G686" s="2" t="str">
        <x:v>劉表</x:v>
      </x:c>
      <x:c r="H686" s="2" t="str">
        <x:v>x</x:v>
      </x:c>
      <x:c r="I686" s="2" t="str">
        <x:v>x</x:v>
      </x:c>
      <x:c r="J686" s="2" t="str">
        <x:v>x</x:v>
      </x:c>
      <x:c r="K686" s="2" t="str">
        <x:v>x</x:v>
      </x:c>
      <x:c r="L686" s="2" t="str">
        <x:v>江夏(未)</x:v>
      </x:c>
    </x:row>
    <x:row r="687" ht="23" customHeight="1">
      <x:c r="A687" s="12" t="n">
        <x:v>679</x:v>
      </x:c>
      <x:c r="B687" s="2" t="str">
        <x:v>陈修</x:v>
      </x:c>
      <x:c r="C687" s="2" t="str">
        <x:v>廬江(-)</x:v>
      </x:c>
      <x:c r="D687" s="2" t="str">
        <x:v>廬江(-)</x:v>
      </x:c>
      <x:c r="E687" s="2" t="str">
        <x:v>廬江(-)</x:v>
      </x:c>
      <x:c r="F687" s="2" t="str">
        <x:v>廬江(-)</x:v>
      </x:c>
      <x:c r="G687" s="2" t="str">
        <x:v>廬江(-)</x:v>
      </x:c>
      <x:c r="H687" s="2" t="str">
        <x:v>孫權</x:v>
      </x:c>
      <x:c r="I687" s="2" t="str">
        <x:v>孫權</x:v>
      </x:c>
      <x:c r="J687" s="2" t="str">
        <x:v>孫權</x:v>
      </x:c>
      <x:c r="K687" s="2" t="str">
        <x:v>x</x:v>
      </x:c>
      <x:c r="L687" s="2" t="str">
        <x:v>廬江(未)</x:v>
      </x:c>
    </x:row>
    <x:row r="688" ht="23" customHeight="1">
      <x:c r="A688" s="12" t="n">
        <x:v>680</x:v>
      </x:c>
      <x:c r="B688" s="2" t="str">
        <x:v>陈式</x:v>
      </x:c>
      <x:c r="C688" s="2" t="str">
        <x:v>江州(-)</x:v>
      </x:c>
      <x:c r="D688" s="2" t="str">
        <x:v>江州(-)</x:v>
      </x:c>
      <x:c r="E688" s="2" t="str">
        <x:v>江州(-)</x:v>
      </x:c>
      <x:c r="F688" s="2" t="str">
        <x:v>江州(-)</x:v>
      </x:c>
      <x:c r="G688" s="2" t="str">
        <x:v>江州(-)</x:v>
      </x:c>
      <x:c r="H688" s="2" t="str">
        <x:v>劉備</x:v>
      </x:c>
      <x:c r="I688" s="2" t="str">
        <x:v>劉備</x:v>
      </x:c>
      <x:c r="J688" s="2" t="str">
        <x:v>劉禪</x:v>
      </x:c>
      <x:c r="K688" s="2" t="str">
        <x:v>x</x:v>
      </x:c>
      <x:c r="L688" s="2" t="str">
        <x:v>江州(未)</x:v>
      </x:c>
    </x:row>
    <x:row r="689" ht="23" customHeight="1">
      <x:c r="A689" s="12" t="n">
        <x:v>681</x:v>
      </x:c>
      <x:c r="B689" s="2" t="str">
        <x:v>陈震</x:v>
      </x:c>
      <x:c r="C689" s="2" t="str">
        <x:v>宛(-)</x:v>
      </x:c>
      <x:c r="D689" s="2" t="str">
        <x:v>宛(未)</x:v>
      </x:c>
      <x:c r="E689" s="2" t="str">
        <x:v>袁紹</x:v>
      </x:c>
      <x:c r="F689" s="2" t="str">
        <x:v>袁紹</x:v>
      </x:c>
      <x:c r="G689" s="2" t="str">
        <x:v>新野(野)</x:v>
      </x:c>
      <x:c r="H689" s="2" t="str">
        <x:v>劉備</x:v>
      </x:c>
      <x:c r="I689" s="2" t="str">
        <x:v>劉備</x:v>
      </x:c>
      <x:c r="J689" s="2" t="str">
        <x:v>劉禪</x:v>
      </x:c>
      <x:c r="K689" s="2" t="str">
        <x:v>x</x:v>
      </x:c>
      <x:c r="L689" s="2" t="str">
        <x:v>宛(未)</x:v>
      </x:c>
    </x:row>
    <x:row r="690" ht="23" customHeight="1">
      <x:c r="A690" s="12" t="n">
        <x:v>682</x:v>
      </x:c>
      <x:c r="B690" s="2" t="str">
        <x:v>陈泰</x:v>
      </x:c>
      <x:c r="C690" s="2" t="str">
        <x:v>許昌(-)</x:v>
      </x:c>
      <x:c r="D690" s="2" t="str">
        <x:v>許昌(-)</x:v>
      </x:c>
      <x:c r="E690" s="2" t="str">
        <x:v>許昌(-)</x:v>
      </x:c>
      <x:c r="F690" s="2" t="str">
        <x:v>許昌(-)</x:v>
      </x:c>
      <x:c r="G690" s="2" t="str">
        <x:v>許昌(-)</x:v>
      </x:c>
      <x:c r="H690" s="2" t="str">
        <x:v>許昌(-)</x:v>
      </x:c>
      <x:c r="I690" s="2" t="str">
        <x:v>許昌(-)</x:v>
      </x:c>
      <x:c r="J690" s="2" t="str">
        <x:v>曹叡</x:v>
      </x:c>
      <x:c r="K690" s="2" t="str">
        <x:v>曹芳</x:v>
      </x:c>
      <x:c r="L690" s="2" t="str">
        <x:v>鄧艾</x:v>
      </x:c>
    </x:row>
    <x:row r="691" ht="23" customHeight="1">
      <x:c r="A691" s="12" t="n">
        <x:v>683</x:v>
      </x:c>
      <x:c r="B691" s="2" t="str">
        <x:v>陈登</x:v>
      </x:c>
      <x:c r="C691" s="2" t="str">
        <x:v>下邳(-)</x:v>
      </x:c>
      <x:c r="D691" s="2" t="str">
        <x:v>陶謙</x:v>
      </x:c>
      <x:c r="E691" s="2" t="str">
        <x:v>陶謙</x:v>
      </x:c>
      <x:c r="F691" s="2" t="str">
        <x:v>劉備</x:v>
      </x:c>
      <x:c r="G691" s="2" t="str">
        <x:v>曹操</x:v>
      </x:c>
      <x:c r="H691" s="2" t="str">
        <x:v>x</x:v>
      </x:c>
      <x:c r="I691" s="2" t="str">
        <x:v>x</x:v>
      </x:c>
      <x:c r="J691" s="2" t="str">
        <x:v>x</x:v>
      </x:c>
      <x:c r="K691" s="2" t="str">
        <x:v>x</x:v>
      </x:c>
      <x:c r="L691" s="2" t="str">
        <x:v>陶謙</x:v>
      </x:c>
    </x:row>
    <x:row r="692" ht="23" customHeight="1">
      <x:c r="A692" s="12" t="n">
        <x:v>684</x:v>
      </x:c>
      <x:c r="B692" s="2" t="str">
        <x:v>陈到</x:v>
      </x:c>
      <x:c r="C692" s="2" t="str">
        <x:v>汝南(-)</x:v>
      </x:c>
      <x:c r="D692" s="2" t="str">
        <x:v>汝南(-)</x:v>
      </x:c>
      <x:c r="E692" s="2" t="str">
        <x:v>汝南(未)</x:v>
      </x:c>
      <x:c r="F692" s="2" t="str">
        <x:v>汝南(未)</x:v>
      </x:c>
      <x:c r="G692" s="2" t="str">
        <x:v>劉備</x:v>
      </x:c>
      <x:c r="H692" s="2" t="str">
        <x:v>劉備</x:v>
      </x:c>
      <x:c r="I692" s="2" t="str">
        <x:v>劉備</x:v>
      </x:c>
      <x:c r="J692" s="2" t="str">
        <x:v>劉禪</x:v>
      </x:c>
      <x:c r="K692" s="2" t="str">
        <x:v>x</x:v>
      </x:c>
      <x:c r="L692" s="2" t="str">
        <x:v>汝南(未)</x:v>
      </x:c>
    </x:row>
    <x:row r="693" ht="23" customHeight="1">
      <x:c r="A693" s="12" t="n">
        <x:v>685</x:v>
      </x:c>
      <x:c r="B693" s="2" t="str">
        <x:v>陈表</x:v>
      </x:c>
      <x:c r="C693" s="2" t="str">
        <x:v>廬江(-)</x:v>
      </x:c>
      <x:c r="D693" s="2" t="str">
        <x:v>廬江(-)</x:v>
      </x:c>
      <x:c r="E693" s="2" t="str">
        <x:v>廬江(-)</x:v>
      </x:c>
      <x:c r="F693" s="2" t="str">
        <x:v>廬江(-)</x:v>
      </x:c>
      <x:c r="G693" s="2" t="str">
        <x:v>廬江(-)</x:v>
      </x:c>
      <x:c r="H693" s="2" t="str">
        <x:v>廬江(-)</x:v>
      </x:c>
      <x:c r="I693" s="2" t="str">
        <x:v>孫權</x:v>
      </x:c>
      <x:c r="J693" s="2" t="str">
        <x:v>孫權</x:v>
      </x:c>
      <x:c r="K693" s="2" t="str">
        <x:v>x</x:v>
      </x:c>
      <x:c r="L693" s="2" t="str">
        <x:v>廬江(未)</x:v>
      </x:c>
    </x:row>
    <x:row r="694" ht="23" customHeight="1">
      <x:c r="A694" s="12" t="n">
        <x:v>686</x:v>
      </x:c>
      <x:c r="B694" s="2" t="str">
        <x:v>陈武</x:v>
      </x:c>
      <x:c r="C694" s="2" t="str">
        <x:v>廬江(-)</x:v>
      </x:c>
      <x:c r="D694" s="2" t="str">
        <x:v>廬江(-)</x:v>
      </x:c>
      <x:c r="E694" s="2" t="str">
        <x:v>廬江(-)</x:v>
      </x:c>
      <x:c r="F694" s="2" t="str">
        <x:v>孫策</x:v>
      </x:c>
      <x:c r="G694" s="2" t="str">
        <x:v>孫權</x:v>
      </x:c>
      <x:c r="H694" s="2" t="str">
        <x:v>x</x:v>
      </x:c>
      <x:c r="I694" s="2" t="str">
        <x:v>x</x:v>
      </x:c>
      <x:c r="J694" s="2" t="str">
        <x:v>x</x:v>
      </x:c>
      <x:c r="K694" s="2" t="str">
        <x:v>x</x:v>
      </x:c>
      <x:c r="L694" s="2" t="str">
        <x:v>廬江(未)</x:v>
      </x:c>
    </x:row>
    <x:row r="695" ht="23" customHeight="1">
      <x:c r="A695" s="12" t="n">
        <x:v>687</x:v>
      </x:c>
      <x:c r="B695" s="2" t="str">
        <x:v>陈兰</x:v>
      </x:c>
      <x:c r="C695" s="2" t="str">
        <x:v>汝南(未)</x:v>
      </x:c>
      <x:c r="D695" s="2" t="str">
        <x:v>汝南(未)</x:v>
      </x:c>
      <x:c r="E695" s="2" t="str">
        <x:v>袁術</x:v>
      </x:c>
      <x:c r="F695" s="2" t="str">
        <x:v>壽春(野)</x:v>
      </x:c>
      <x:c r="G695" s="2" t="str">
        <x:v>x</x:v>
      </x:c>
      <x:c r="H695" s="2" t="str">
        <x:v>x</x:v>
      </x:c>
      <x:c r="I695" s="2" t="str">
        <x:v>x</x:v>
      </x:c>
      <x:c r="J695" s="2" t="str">
        <x:v>x</x:v>
      </x:c>
      <x:c r="K695" s="2" t="str">
        <x:v>x</x:v>
      </x:c>
      <x:c r="L695" s="2" t="str">
        <x:v>袁術</x:v>
      </x:c>
    </x:row>
    <x:row r="696" ht="23" customHeight="1">
      <x:c r="A696" s="12" t="n">
        <x:v>688</x:v>
      </x:c>
      <x:c r="B696" s="2" t="str">
        <x:v>陈琳</x:v>
      </x:c>
      <x:c r="C696" s="2" t="str">
        <x:v>何進</x:v>
      </x:c>
      <x:c r="D696" s="2" t="str">
        <x:v>袁紹</x:v>
      </x:c>
      <x:c r="E696" s="2" t="str">
        <x:v>袁紹</x:v>
      </x:c>
      <x:c r="F696" s="2" t="str">
        <x:v>袁紹</x:v>
      </x:c>
      <x:c r="G696" s="2" t="str">
        <x:v>曹操</x:v>
      </x:c>
      <x:c r="H696" s="2" t="str">
        <x:v>x</x:v>
      </x:c>
      <x:c r="I696" s="2" t="str">
        <x:v>x</x:v>
      </x:c>
      <x:c r="J696" s="2" t="str">
        <x:v>x</x:v>
      </x:c>
      <x:c r="K696" s="2" t="str">
        <x:v>x</x:v>
      </x:c>
      <x:c r="L696" s="2" t="str">
        <x:v>袁紹</x:v>
      </x:c>
    </x:row>
    <x:row r="697" ht="23" customHeight="1">
      <x:c r="A697" s="12" t="n">
        <x:v>689</x:v>
      </x:c>
      <x:c r="B697" s="2" t="str">
        <x:v>程昱</x:v>
      </x:c>
      <x:c r="C697" s="2" t="str">
        <x:v>濮陽(未)</x:v>
      </x:c>
      <x:c r="D697" s="2" t="str">
        <x:v>濮陽(野)</x:v>
      </x:c>
      <x:c r="E697" s="2" t="str">
        <x:v>曹操</x:v>
      </x:c>
      <x:c r="F697" s="2" t="str">
        <x:v>曹操</x:v>
      </x:c>
      <x:c r="G697" s="2" t="str">
        <x:v>曹操</x:v>
      </x:c>
      <x:c r="H697" s="2" t="str">
        <x:v>濮陽(野)</x:v>
      </x:c>
      <x:c r="I697" s="2" t="str">
        <x:v>x</x:v>
      </x:c>
      <x:c r="J697" s="2" t="str">
        <x:v>x</x:v>
      </x:c>
      <x:c r="K697" s="2" t="str">
        <x:v>x</x:v>
      </x:c>
      <x:c r="L697" s="2" t="str">
        <x:v>曹操</x:v>
      </x:c>
    </x:row>
    <x:row r="698" ht="23" customHeight="1">
      <x:c r="A698" s="12" t="n">
        <x:v>690</x:v>
      </x:c>
      <x:c r="B698" s="2" t="str">
        <x:v>程远志</x:v>
      </x:c>
      <x:c r="C698" s="2" t="str">
        <x:v>張角</x:v>
      </x:c>
      <x:c r="D698" s="2" t="str">
        <x:v>x</x:v>
      </x:c>
      <x:c r="E698" s="2" t="str">
        <x:v>x</x:v>
      </x:c>
      <x:c r="F698" s="2" t="str">
        <x:v>x</x:v>
      </x:c>
      <x:c r="G698" s="2" t="str">
        <x:v>x</x:v>
      </x:c>
      <x:c r="H698" s="2" t="str">
        <x:v>x</x:v>
      </x:c>
      <x:c r="I698" s="2" t="str">
        <x:v>x</x:v>
      </x:c>
      <x:c r="J698" s="2" t="str">
        <x:v>x</x:v>
      </x:c>
      <x:c r="K698" s="2" t="str">
        <x:v>x</x:v>
      </x:c>
      <x:c r="L698" s="2" t="str">
        <x:v>張角</x:v>
      </x:c>
    </x:row>
    <x:row r="699" ht="23" customHeight="1">
      <x:c r="A699" s="12" t="n">
        <x:v>691</x:v>
      </x:c>
      <x:c r="B699" s="2" t="str">
        <x:v>程畿</x:v>
      </x:c>
      <x:c r="C699" s="2" t="str">
        <x:v>梓潼(-)</x:v>
      </x:c>
      <x:c r="D699" s="2" t="str">
        <x:v>梓潼(未)</x:v>
      </x:c>
      <x:c r="E699" s="2" t="str">
        <x:v>劉璋</x:v>
      </x:c>
      <x:c r="F699" s="2" t="str">
        <x:v>劉璋</x:v>
      </x:c>
      <x:c r="G699" s="2" t="str">
        <x:v>劉璋</x:v>
      </x:c>
      <x:c r="H699" s="2" t="str">
        <x:v>劉備</x:v>
      </x:c>
      <x:c r="I699" s="2" t="str">
        <x:v>劉備</x:v>
      </x:c>
      <x:c r="J699" s="2" t="str">
        <x:v>x</x:v>
      </x:c>
      <x:c r="K699" s="2" t="str">
        <x:v>x</x:v>
      </x:c>
      <x:c r="L699" s="2" t="str">
        <x:v>梓潼(未)</x:v>
      </x:c>
    </x:row>
    <x:row r="700" ht="23" customHeight="1">
      <x:c r="A700" s="12" t="n">
        <x:v>692</x:v>
      </x:c>
      <x:c r="B700" s="2" t="str">
        <x:v>丁仪</x:v>
      </x:c>
      <x:c r="C700" s="2" t="str">
        <x:v>小沛(-)</x:v>
      </x:c>
      <x:c r="D700" s="2" t="str">
        <x:v>小沛(-)</x:v>
      </x:c>
      <x:c r="E700" s="2" t="str">
        <x:v>小沛(-)</x:v>
      </x:c>
      <x:c r="F700" s="2" t="str">
        <x:v>小沛(-)</x:v>
      </x:c>
      <x:c r="G700" s="2" t="str">
        <x:v>小沛(未)</x:v>
      </x:c>
      <x:c r="H700" s="2" t="str">
        <x:v>曹操</x:v>
      </x:c>
      <x:c r="I700" s="2" t="str">
        <x:v>x</x:v>
      </x:c>
      <x:c r="J700" s="2" t="str">
        <x:v>x</x:v>
      </x:c>
      <x:c r="K700" s="2" t="str">
        <x:v>x</x:v>
      </x:c>
      <x:c r="L700" s="2" t="str">
        <x:v>小沛(未)</x:v>
      </x:c>
    </x:row>
    <x:row r="701" ht="23" customHeight="1">
      <x:c r="A701" s="12" t="n">
        <x:v>693</x:v>
      </x:c>
      <x:c r="B701" s="2" t="str">
        <x:v>程银</x:v>
      </x:c>
      <x:c r="C701" s="2" t="str">
        <x:v>安定(未)</x:v>
      </x:c>
      <x:c r="D701" s="2" t="str">
        <x:v>馬騰</x:v>
      </x:c>
      <x:c r="E701" s="2" t="str">
        <x:v>馬騰</x:v>
      </x:c>
      <x:c r="F701" s="2" t="str">
        <x:v>馬騰</x:v>
      </x:c>
      <x:c r="G701" s="2" t="str">
        <x:v>馬騰</x:v>
      </x:c>
      <x:c r="H701" s="2" t="str">
        <x:v>x</x:v>
      </x:c>
      <x:c r="I701" s="2" t="str">
        <x:v>x</x:v>
      </x:c>
      <x:c r="J701" s="2" t="str">
        <x:v>x</x:v>
      </x:c>
      <x:c r="K701" s="2" t="str">
        <x:v>x</x:v>
      </x:c>
      <x:c r="L701" s="2" t="str">
        <x:v>韓遂</x:v>
      </x:c>
    </x:row>
    <x:row r="702" ht="23" customHeight="1">
      <x:c r="A702" s="12" t="n">
        <x:v>694</x:v>
      </x:c>
      <x:c r="B702" s="2" t="str">
        <x:v>丁原</x:v>
      </x:c>
      <x:c r="C702" s="2" t="str">
        <x:v>丁原</x:v>
      </x:c>
      <x:c r="D702" s="2" t="str">
        <x:v>x</x:v>
      </x:c>
      <x:c r="E702" s="2" t="str">
        <x:v>x</x:v>
      </x:c>
      <x:c r="F702" s="2" t="str">
        <x:v>x</x:v>
      </x:c>
      <x:c r="G702" s="2" t="str">
        <x:v>x</x:v>
      </x:c>
      <x:c r="H702" s="2" t="str">
        <x:v>x</x:v>
      </x:c>
      <x:c r="I702" s="2" t="str">
        <x:v>x</x:v>
      </x:c>
      <x:c r="J702" s="2" t="str">
        <x:v>x</x:v>
      </x:c>
      <x:c r="K702" s="2" t="str">
        <x:v>x</x:v>
      </x:c>
      <x:c r="L702" s="2" t="str">
        <x:v>丁原</x:v>
      </x:c>
    </x:row>
    <x:row r="703" ht="23" customHeight="1">
      <x:c r="A703" s="12" t="n">
        <x:v>695</x:v>
      </x:c>
      <x:c r="B703" s="2" t="str">
        <x:v>丁固</x:v>
      </x:c>
      <x:c r="C703" s="2" t="str">
        <x:v>會稽(-)</x:v>
      </x:c>
      <x:c r="D703" s="2" t="str">
        <x:v>會稽(-)</x:v>
      </x:c>
      <x:c r="E703" s="2" t="str">
        <x:v>會稽(-)</x:v>
      </x:c>
      <x:c r="F703" s="2" t="str">
        <x:v>會稽(-)</x:v>
      </x:c>
      <x:c r="G703" s="2" t="str">
        <x:v>會稽(-)</x:v>
      </x:c>
      <x:c r="H703" s="2" t="str">
        <x:v>孫權</x:v>
      </x:c>
      <x:c r="I703" s="2" t="str">
        <x:v>孫權</x:v>
      </x:c>
      <x:c r="J703" s="2" t="str">
        <x:v>孫權</x:v>
      </x:c>
      <x:c r="K703" s="2" t="str">
        <x:v>孫權</x:v>
      </x:c>
      <x:c r="L703" s="2" t="str">
        <x:v>會稽(未)</x:v>
      </x:c>
    </x:row>
    <x:row r="704" ht="23" customHeight="1">
      <x:c r="A704" s="12" t="n">
        <x:v>696</x:v>
      </x:c>
      <x:c r="B704" s="2" t="str">
        <x:v>郑浑</x:v>
      </x:c>
      <x:c r="C704" s="2" t="str">
        <x:v>洛陽(未)</x:v>
      </x:c>
      <x:c r="D704" s="2" t="str">
        <x:v>長安(野)</x:v>
      </x:c>
      <x:c r="E704" s="2" t="str">
        <x:v>壽春(野)</x:v>
      </x:c>
      <x:c r="F704" s="2" t="str">
        <x:v>曹操</x:v>
      </x:c>
      <x:c r="G704" s="2" t="str">
        <x:v>曹操</x:v>
      </x:c>
      <x:c r="H704" s="2" t="str">
        <x:v>曹操</x:v>
      </x:c>
      <x:c r="I704" s="2" t="str">
        <x:v>曹丕</x:v>
      </x:c>
      <x:c r="J704" s="2" t="str">
        <x:v>x</x:v>
      </x:c>
      <x:c r="K704" s="2" t="str">
        <x:v>x</x:v>
      </x:c>
      <x:c r="L704" s="2" t="str">
        <x:v>洛陽(未)</x:v>
      </x:c>
    </x:row>
    <x:row r="705" ht="23" customHeight="1">
      <x:c r="A705" s="12" t="n">
        <x:v>697</x:v>
      </x:c>
      <x:c r="B705" s="2" t="str">
        <x:v>程咨</x:v>
      </x:c>
      <x:c r="C705" s="2" t="str">
        <x:v>北平(-)</x:v>
      </x:c>
      <x:c r="D705" s="2" t="str">
        <x:v>北平(-)</x:v>
      </x:c>
      <x:c r="E705" s="2" t="str">
        <x:v>北平(-)</x:v>
      </x:c>
      <x:c r="F705" s="2" t="str">
        <x:v>吳(-)</x:v>
      </x:c>
      <x:c r="G705" s="2" t="str">
        <x:v>孫權</x:v>
      </x:c>
      <x:c r="H705" s="2" t="str">
        <x:v>孫權</x:v>
      </x:c>
      <x:c r="I705" s="2" t="str">
        <x:v>孫權</x:v>
      </x:c>
      <x:c r="J705" s="2" t="str">
        <x:v>x</x:v>
      </x:c>
      <x:c r="K705" s="2" t="str">
        <x:v>x</x:v>
      </x:c>
      <x:c r="L705" s="2" t="str">
        <x:v>孫堅</x:v>
      </x:c>
    </x:row>
    <x:row r="706" ht="23" customHeight="1">
      <x:c r="A706" s="12" t="n">
        <x:v>698</x:v>
      </x:c>
      <x:c r="B706" s="2" t="str">
        <x:v>郑泉</x:v>
      </x:c>
      <x:c r="C706" s="2" t="str">
        <x:v>許昌(-)</x:v>
      </x:c>
      <x:c r="D706" s="2" t="str">
        <x:v>許昌(-)</x:v>
      </x:c>
      <x:c r="E706" s="2" t="str">
        <x:v>許昌(-)</x:v>
      </x:c>
      <x:c r="F706" s="2" t="str">
        <x:v>許昌(-)</x:v>
      </x:c>
      <x:c r="G706" s="2" t="str">
        <x:v>許昌(未)</x:v>
      </x:c>
      <x:c r="H706" s="2" t="str">
        <x:v>孫權</x:v>
      </x:c>
      <x:c r="I706" s="2" t="str">
        <x:v>孫權</x:v>
      </x:c>
      <x:c r="J706" s="2" t="str">
        <x:v>孫權</x:v>
      </x:c>
      <x:c r="K706" s="2" t="str">
        <x:v>x</x:v>
      </x:c>
      <x:c r="L706" s="2" t="str">
        <x:v>許昌(未)</x:v>
      </x:c>
    </x:row>
    <x:row r="707" ht="23" customHeight="1">
      <x:c r="A707" s="12" t="n">
        <x:v>699</x:v>
      </x:c>
      <x:c r="B707" s="2" t="str">
        <x:v>郑泰</x:v>
      </x:c>
      <x:c r="C707" s="2" t="str">
        <x:v>何進</x:v>
      </x:c>
      <x:c r="D707" s="2" t="str">
        <x:v>董卓</x:v>
      </x:c>
      <x:c r="E707" s="2" t="str">
        <x:v>x</x:v>
      </x:c>
      <x:c r="F707" s="2" t="str">
        <x:v>x</x:v>
      </x:c>
      <x:c r="G707" s="2" t="str">
        <x:v>x</x:v>
      </x:c>
      <x:c r="H707" s="2" t="str">
        <x:v>x</x:v>
      </x:c>
      <x:c r="I707" s="2" t="str">
        <x:v>x</x:v>
      </x:c>
      <x:c r="J707" s="2" t="str">
        <x:v>x</x:v>
      </x:c>
      <x:c r="K707" s="2" t="str">
        <x:v>x</x:v>
      </x:c>
      <x:c r="L707" s="2" t="str">
        <x:v>何進</x:v>
      </x:c>
    </x:row>
    <x:row r="708" ht="23" customHeight="1">
      <x:c r="A708" s="12" t="n">
        <x:v>700</x:v>
      </x:c>
      <x:c r="B708" s="2" t="str">
        <x:v>郑胄</x:v>
      </x:c>
      <x:c r="C708" s="2" t="str">
        <x:v>小沛(-)</x:v>
      </x:c>
      <x:c r="D708" s="2" t="str">
        <x:v>小沛(-)</x:v>
      </x:c>
      <x:c r="E708" s="2" t="str">
        <x:v>小沛(-)</x:v>
      </x:c>
      <x:c r="F708" s="2" t="str">
        <x:v>小沛(-)</x:v>
      </x:c>
      <x:c r="G708" s="2" t="str">
        <x:v>小沛(-)</x:v>
      </x:c>
      <x:c r="H708" s="2" t="str">
        <x:v>小沛(-)</x:v>
      </x:c>
      <x:c r="I708" s="2" t="str">
        <x:v>小沛(未)</x:v>
      </x:c>
      <x:c r="J708" s="2" t="str">
        <x:v>孫權</x:v>
      </x:c>
      <x:c r="K708" s="2" t="str">
        <x:v>孫權</x:v>
      </x:c>
      <x:c r="L708" s="2" t="str">
        <x:v>小沛(未)</x:v>
      </x:c>
    </x:row>
    <x:row r="709" ht="23" customHeight="1">
      <x:c r="A709" s="12" t="n">
        <x:v>701</x:v>
      </x:c>
      <x:c r="B709" s="2" t="str">
        <x:v>郑度</x:v>
      </x:c>
      <x:c r="C709" s="2" t="str">
        <x:v>成都(-)</x:v>
      </x:c>
      <x:c r="D709" s="2" t="str">
        <x:v>成都(-)</x:v>
      </x:c>
      <x:c r="E709" s="2" t="str">
        <x:v>劉璋</x:v>
      </x:c>
      <x:c r="F709" s="2" t="str">
        <x:v>劉璋</x:v>
      </x:c>
      <x:c r="G709" s="2" t="str">
        <x:v>劉璋</x:v>
      </x:c>
      <x:c r="H709" s="2" t="str">
        <x:v>x</x:v>
      </x:c>
      <x:c r="I709" s="2" t="str">
        <x:v>x</x:v>
      </x:c>
      <x:c r="J709" s="2" t="str">
        <x:v>x</x:v>
      </x:c>
      <x:c r="K709" s="2" t="str">
        <x:v>x</x:v>
      </x:c>
      <x:c r="L709" s="2" t="str">
        <x:v>成都(未)</x:v>
      </x:c>
    </x:row>
    <x:row r="710" ht="23" customHeight="1">
      <x:c r="A710" s="12" t="n">
        <x:v>702</x:v>
      </x:c>
      <x:c r="B710" s="2" t="str">
        <x:v>丁斐</x:v>
      </x:c>
      <x:c r="C710" s="2" t="str">
        <x:v>許昌(-)</x:v>
      </x:c>
      <x:c r="D710" s="2" t="str">
        <x:v>曹操</x:v>
      </x:c>
      <x:c r="E710" s="2" t="str">
        <x:v>曹操</x:v>
      </x:c>
      <x:c r="F710" s="2" t="str">
        <x:v>曹操</x:v>
      </x:c>
      <x:c r="G710" s="2" t="str">
        <x:v>曹操</x:v>
      </x:c>
      <x:c r="H710" s="2" t="str">
        <x:v>曹操</x:v>
      </x:c>
      <x:c r="I710" s="2" t="str">
        <x:v>x</x:v>
      </x:c>
      <x:c r="J710" s="2" t="str">
        <x:v>x</x:v>
      </x:c>
      <x:c r="K710" s="2" t="str">
        <x:v>x</x:v>
      </x:c>
      <x:c r="L710" s="2" t="str">
        <x:v>許昌(未)</x:v>
      </x:c>
    </x:row>
    <x:row r="711" ht="23" customHeight="1">
      <x:c r="A711" s="12" t="n">
        <x:v>703</x:v>
      </x:c>
      <x:c r="B711" s="2" t="str">
        <x:v>程普</x:v>
      </x:c>
      <x:c r="C711" s="2" t="str">
        <x:v>孫堅</x:v>
      </x:c>
      <x:c r="D711" s="2" t="str">
        <x:v>孫堅</x:v>
      </x:c>
      <x:c r="E711" s="2" t="str">
        <x:v>孫策</x:v>
      </x:c>
      <x:c r="F711" s="2" t="str">
        <x:v>孫策</x:v>
      </x:c>
      <x:c r="G711" s="2" t="str">
        <x:v>孫權</x:v>
      </x:c>
      <x:c r="H711" s="2" t="str">
        <x:v>x</x:v>
      </x:c>
      <x:c r="I711" s="2" t="str">
        <x:v>x</x:v>
      </x:c>
      <x:c r="J711" s="2" t="str">
        <x:v>x</x:v>
      </x:c>
      <x:c r="K711" s="2" t="str">
        <x:v>x</x:v>
      </x:c>
      <x:c r="L711" s="2" t="str">
        <x:v>孫堅</x:v>
      </x:c>
    </x:row>
    <x:row r="712" ht="23" customHeight="1">
      <x:c r="A712" s="12" t="n">
        <x:v>704</x:v>
      </x:c>
      <x:c r="B712" s="2" t="str">
        <x:v>程武</x:v>
      </x:c>
      <x:c r="C712" s="2" t="str">
        <x:v>濮陽(-)</x:v>
      </x:c>
      <x:c r="D712" s="2" t="str">
        <x:v>濮陽(-)</x:v>
      </x:c>
      <x:c r="E712" s="2" t="str">
        <x:v>濮陽(-)</x:v>
      </x:c>
      <x:c r="F712" s="2" t="str">
        <x:v>濮陽(-)</x:v>
      </x:c>
      <x:c r="G712" s="2" t="str">
        <x:v>濮陽(-)</x:v>
      </x:c>
      <x:c r="H712" s="2" t="str">
        <x:v>曹操</x:v>
      </x:c>
      <x:c r="I712" s="2" t="str">
        <x:v>曹丕</x:v>
      </x:c>
      <x:c r="J712" s="2" t="str">
        <x:v>曹叡</x:v>
      </x:c>
      <x:c r="K712" s="2" t="str">
        <x:v>曹芳</x:v>
      </x:c>
      <x:c r="L712" s="2" t="str">
        <x:v>曹操</x:v>
      </x:c>
    </x:row>
    <x:row r="713" ht="23" customHeight="1">
      <x:c r="A713" s="12" t="n">
        <x:v>705</x:v>
      </x:c>
      <x:c r="B713" s="2" t="str">
        <x:v>程秉</x:v>
      </x:c>
      <x:c r="C713" s="2" t="str">
        <x:v>北海(-)</x:v>
      </x:c>
      <x:c r="D713" s="2" t="str">
        <x:v>北海(-)</x:v>
      </x:c>
      <x:c r="E713" s="2" t="str">
        <x:v>北海(未)</x:v>
      </x:c>
      <x:c r="F713" s="2" t="str">
        <x:v>交趾(未)</x:v>
      </x:c>
      <x:c r="G713" s="2" t="str">
        <x:v>孫權</x:v>
      </x:c>
      <x:c r="H713" s="2" t="str">
        <x:v>孫權</x:v>
      </x:c>
      <x:c r="I713" s="2" t="str">
        <x:v>孫權</x:v>
      </x:c>
      <x:c r="J713" s="2" t="str">
        <x:v>x</x:v>
      </x:c>
      <x:c r="K713" s="2" t="str">
        <x:v>x</x:v>
      </x:c>
      <x:c r="L713" s="2" t="str">
        <x:v>北海(未)</x:v>
      </x:c>
    </x:row>
    <x:row r="714" ht="23" customHeight="1">
      <x:c r="A714" s="12" t="n">
        <x:v>706</x:v>
      </x:c>
      <x:c r="B714" s="2" t="str">
        <x:v>丁奉</x:v>
      </x:c>
      <x:c r="C714" s="2" t="str">
        <x:v>廬江(-)</x:v>
      </x:c>
      <x:c r="D714" s="2" t="str">
        <x:v>廬江(-)</x:v>
      </x:c>
      <x:c r="E714" s="2" t="str">
        <x:v>廬江(-)</x:v>
      </x:c>
      <x:c r="F714" s="2" t="str">
        <x:v>廬江(-)</x:v>
      </x:c>
      <x:c r="G714" s="2" t="str">
        <x:v>孫權</x:v>
      </x:c>
      <x:c r="H714" s="2" t="str">
        <x:v>孫權</x:v>
      </x:c>
      <x:c r="I714" s="2" t="str">
        <x:v>孫權</x:v>
      </x:c>
      <x:c r="J714" s="2" t="str">
        <x:v>孫權</x:v>
      </x:c>
      <x:c r="K714" s="2" t="str">
        <x:v>孫權</x:v>
      </x:c>
      <x:c r="L714" s="2" t="str">
        <x:v>廬江(未)</x:v>
      </x:c>
    </x:row>
    <x:row r="715" ht="23" customHeight="1">
      <x:c r="A715" s="12" t="n">
        <x:v>707</x:v>
      </x:c>
      <x:c r="B715" s="2" t="str">
        <x:v>丁封</x:v>
      </x:c>
      <x:c r="C715" s="2" t="str">
        <x:v>廬江(-)</x:v>
      </x:c>
      <x:c r="D715" s="2" t="str">
        <x:v>廬江(-)</x:v>
      </x:c>
      <x:c r="E715" s="2" t="str">
        <x:v>廬江(-)</x:v>
      </x:c>
      <x:c r="F715" s="2" t="str">
        <x:v>廬江(-)</x:v>
      </x:c>
      <x:c r="G715" s="2" t="str">
        <x:v>廬江(-)</x:v>
      </x:c>
      <x:c r="H715" s="2" t="str">
        <x:v>孫權</x:v>
      </x:c>
      <x:c r="I715" s="2" t="str">
        <x:v>孫權</x:v>
      </x:c>
      <x:c r="J715" s="2" t="str">
        <x:v>孫權</x:v>
      </x:c>
      <x:c r="K715" s="2" t="str">
        <x:v>孫權</x:v>
      </x:c>
      <x:c r="L715" s="2" t="str">
        <x:v>廬江(未)</x:v>
      </x:c>
    </x:row>
    <x:row r="716" ht="23" customHeight="1">
      <x:c r="A716" s="12" t="n">
        <x:v>708</x:v>
      </x:c>
      <x:c r="B716" s="2" t="str">
        <x:v>彻里吉</x:v>
      </x:c>
      <x:c r="C716" s="2" t="str">
        <x:v>天水(-)</x:v>
      </x:c>
      <x:c r="D716" s="2" t="str">
        <x:v>天水(-)</x:v>
      </x:c>
      <x:c r="E716" s="2" t="str">
        <x:v>天水(-)</x:v>
      </x:c>
      <x:c r="F716" s="2" t="str">
        <x:v>天水(-)</x:v>
      </x:c>
      <x:c r="G716" s="2" t="str">
        <x:v>天水(-)</x:v>
      </x:c>
      <x:c r="H716" s="2" t="str">
        <x:v>天水(未)</x:v>
      </x:c>
      <x:c r="I716" s="2" t="str">
        <x:v>天水(未)</x:v>
      </x:c>
      <x:c r="J716" s="2" t="str">
        <x:v>天水(野)</x:v>
      </x:c>
      <x:c r="K716" s="2" t="str">
        <x:v>天水(野)</x:v>
      </x:c>
      <x:c r="L716" s="2" t="str">
        <x:v>天水(未)</x:v>
      </x:c>
    </x:row>
    <x:row r="717" ht="23" customHeight="1">
      <x:c r="A717" s="12" t="n">
        <x:v>709</x:v>
      </x:c>
      <x:c r="B717" s="2" t="str">
        <x:v>典韦</x:v>
      </x:c>
      <x:c r="C717" s="2" t="str">
        <x:v>陳留(未)</x:v>
      </x:c>
      <x:c r="D717" s="2" t="str">
        <x:v>陳留(未)</x:v>
      </x:c>
      <x:c r="E717" s="2" t="str">
        <x:v>曹操</x:v>
      </x:c>
      <x:c r="F717" s="2" t="str">
        <x:v>x</x:v>
      </x:c>
      <x:c r="G717" s="2" t="str">
        <x:v>x</x:v>
      </x:c>
      <x:c r="H717" s="2" t="str">
        <x:v>x</x:v>
      </x:c>
      <x:c r="I717" s="2" t="str">
        <x:v>x</x:v>
      </x:c>
      <x:c r="J717" s="2" t="str">
        <x:v>x</x:v>
      </x:c>
      <x:c r="K717" s="2" t="str">
        <x:v>x</x:v>
      </x:c>
      <x:c r="L717" s="2" t="str">
        <x:v>曹操</x:v>
      </x:c>
    </x:row>
    <x:row r="718" ht="23" customHeight="1">
      <x:c r="A718" s="12" t="n">
        <x:v>710</x:v>
      </x:c>
      <x:c r="B718" s="2" t="str">
        <x:v>田楷</x:v>
      </x:c>
      <x:c r="C718" s="2" t="str">
        <x:v>公孫瓚</x:v>
      </x:c>
      <x:c r="D718" s="2" t="str">
        <x:v>公孫瓚</x:v>
      </x:c>
      <x:c r="E718" s="2" t="str">
        <x:v>公孫瓚</x:v>
      </x:c>
      <x:c r="F718" s="2" t="str">
        <x:v>x</x:v>
      </x:c>
      <x:c r="G718" s="2" t="str">
        <x:v>x</x:v>
      </x:c>
      <x:c r="H718" s="2" t="str">
        <x:v>x</x:v>
      </x:c>
      <x:c r="I718" s="2" t="str">
        <x:v>x</x:v>
      </x:c>
      <x:c r="J718" s="2" t="str">
        <x:v>x</x:v>
      </x:c>
      <x:c r="K718" s="2" t="str">
        <x:v>x</x:v>
      </x:c>
      <x:c r="L718" s="2" t="str">
        <x:v>公孫瓚</x:v>
      </x:c>
    </x:row>
    <x:row r="719" ht="23" customHeight="1">
      <x:c r="A719" s="12" t="n">
        <x:v>711</x:v>
      </x:c>
      <x:c r="B719" s="2" t="str">
        <x:v>田续</x:v>
      </x:c>
      <x:c r="C719" s="2" t="str">
        <x:v>薊(-)</x:v>
      </x:c>
      <x:c r="D719" s="2" t="str">
        <x:v>薊(-)</x:v>
      </x:c>
      <x:c r="E719" s="2" t="str">
        <x:v>薊(-)</x:v>
      </x:c>
      <x:c r="F719" s="2" t="str">
        <x:v>薊(-)</x:v>
      </x:c>
      <x:c r="G719" s="2" t="str">
        <x:v>薊(-)</x:v>
      </x:c>
      <x:c r="H719" s="2" t="str">
        <x:v>薊(-)</x:v>
      </x:c>
      <x:c r="I719" s="2" t="str">
        <x:v>薊(-)</x:v>
      </x:c>
      <x:c r="J719" s="2" t="str">
        <x:v>薊(-)</x:v>
      </x:c>
      <x:c r="K719" s="2" t="str">
        <x:v>曹芳</x:v>
      </x:c>
      <x:c r="L719" s="2" t="str">
        <x:v>鍾會</x:v>
      </x:c>
    </x:row>
    <x:row r="720" ht="23" customHeight="1">
      <x:c r="A720" s="12" t="n">
        <x:v>712</x:v>
      </x:c>
      <x:c r="B720" s="2" t="str">
        <x:v>田畴</x:v>
      </x:c>
      <x:c r="C720" s="2" t="str">
        <x:v>北平(-)</x:v>
      </x:c>
      <x:c r="D720" s="2" t="str">
        <x:v>劉虞</x:v>
      </x:c>
      <x:c r="E720" s="2" t="str">
        <x:v>北平(野)</x:v>
      </x:c>
      <x:c r="F720" s="2" t="str">
        <x:v>北平(野)</x:v>
      </x:c>
      <x:c r="G720" s="2" t="str">
        <x:v>北平(野)</x:v>
      </x:c>
      <x:c r="H720" s="2" t="str">
        <x:v>x</x:v>
      </x:c>
      <x:c r="I720" s="2" t="str">
        <x:v>x</x:v>
      </x:c>
      <x:c r="J720" s="2" t="str">
        <x:v>x</x:v>
      </x:c>
      <x:c r="K720" s="2" t="str">
        <x:v>x</x:v>
      </x:c>
      <x:c r="L720" s="2" t="str">
        <x:v>劉虞</x:v>
      </x:c>
    </x:row>
    <x:row r="721" ht="23" customHeight="1">
      <x:c r="A721" s="12" t="n">
        <x:v>713</x:v>
      </x:c>
      <x:c r="B721" s="2" t="str">
        <x:v>田丰</x:v>
      </x:c>
      <x:c r="C721" s="2" t="str">
        <x:v>鄴(未)</x:v>
      </x:c>
      <x:c r="D721" s="2" t="str">
        <x:v>袁紹</x:v>
      </x:c>
      <x:c r="E721" s="2" t="str">
        <x:v>袁紹</x:v>
      </x:c>
      <x:c r="F721" s="2" t="str">
        <x:v>袁紹</x:v>
      </x:c>
      <x:c r="G721" s="2" t="str">
        <x:v>x</x:v>
      </x:c>
      <x:c r="H721" s="2" t="str">
        <x:v>x</x:v>
      </x:c>
      <x:c r="I721" s="2" t="str">
        <x:v>x</x:v>
      </x:c>
      <x:c r="J721" s="2" t="str">
        <x:v>x</x:v>
      </x:c>
      <x:c r="K721" s="2" t="str">
        <x:v>x</x:v>
      </x:c>
      <x:c r="L721" s="2" t="str">
        <x:v>袁紹</x:v>
      </x:c>
    </x:row>
    <x:row r="722" ht="23" customHeight="1">
      <x:c r="A722" s="12" t="n">
        <x:v>714</x:v>
      </x:c>
      <x:c r="B722" s="2" t="str">
        <x:v>典满</x:v>
      </x:c>
      <x:c r="C722" s="2" t="str">
        <x:v>陳留(-)</x:v>
      </x:c>
      <x:c r="D722" s="2" t="str">
        <x:v>陳留(-)</x:v>
      </x:c>
      <x:c r="E722" s="2" t="str">
        <x:v>陳留(-)</x:v>
      </x:c>
      <x:c r="F722" s="2" t="str">
        <x:v>曹操</x:v>
      </x:c>
      <x:c r="G722" s="2" t="str">
        <x:v>曹操</x:v>
      </x:c>
      <x:c r="H722" s="2" t="str">
        <x:v>曹操</x:v>
      </x:c>
      <x:c r="I722" s="2" t="str">
        <x:v>曹丕</x:v>
      </x:c>
      <x:c r="J722" s="2" t="str">
        <x:v>曹叡</x:v>
      </x:c>
      <x:c r="K722" s="2" t="str">
        <x:v>x</x:v>
      </x:c>
      <x:c r="L722" s="2" t="str">
        <x:v>曹操</x:v>
      </x:c>
    </x:row>
    <x:row r="723" ht="23" customHeight="1">
      <x:c r="A723" s="12" t="n">
        <x:v>715</x:v>
      </x:c>
      <x:c r="B723" s="2" t="str">
        <x:v>田豫</x:v>
      </x:c>
      <x:c r="C723" s="2" t="str">
        <x:v>薊(-)</x:v>
      </x:c>
      <x:c r="D723" s="2" t="str">
        <x:v>劉備</x:v>
      </x:c>
      <x:c r="E723" s="2" t="str">
        <x:v>公孫瓚</x:v>
      </x:c>
      <x:c r="F723" s="2" t="str">
        <x:v>薊(野)</x:v>
      </x:c>
      <x:c r="G723" s="2" t="str">
        <x:v>曹操</x:v>
      </x:c>
      <x:c r="H723" s="2" t="str">
        <x:v>曹操</x:v>
      </x:c>
      <x:c r="I723" s="2" t="str">
        <x:v>曹丕</x:v>
      </x:c>
      <x:c r="J723" s="2" t="str">
        <x:v>曹叡</x:v>
      </x:c>
      <x:c r="K723" s="2" t="str">
        <x:v>曹芳</x:v>
      </x:c>
      <x:c r="L723" s="2" t="str">
        <x:v>公孫瓚</x:v>
      </x:c>
    </x:row>
    <x:row r="724" ht="23" customHeight="1">
      <x:c r="A724" s="12" t="n">
        <x:v>716</x:v>
      </x:c>
      <x:c r="B724" s="2" t="str">
        <x:v>土安</x:v>
      </x:c>
      <x:c r="C724" s="2" t="str">
        <x:v>雲南(-)</x:v>
      </x:c>
      <x:c r="D724" s="2" t="str">
        <x:v>雲南(-)</x:v>
      </x:c>
      <x:c r="E724" s="2" t="str">
        <x:v>雲南(-)</x:v>
      </x:c>
      <x:c r="F724" s="2" t="str">
        <x:v>雲南(-)</x:v>
      </x:c>
      <x:c r="G724" s="2" t="str">
        <x:v>雲南(-)</x:v>
      </x:c>
      <x:c r="H724" s="2" t="str">
        <x:v>雲南(未)</x:v>
      </x:c>
      <x:c r="I724" s="2" t="str">
        <x:v>雲南(未)</x:v>
      </x:c>
      <x:c r="J724" s="2" t="str">
        <x:v>x</x:v>
      </x:c>
      <x:c r="K724" s="2" t="str">
        <x:v>x</x:v>
      </x:c>
      <x:c r="L724" s="2" t="str">
        <x:v>孟獲</x:v>
      </x:c>
    </x:row>
    <x:row r="725" ht="23" customHeight="1">
      <x:c r="A725" s="12" t="n">
        <x:v>717</x:v>
      </x:c>
      <x:c r="B725" s="2" t="str">
        <x:v>滕胤</x:v>
      </x:c>
      <x:c r="C725" s="2" t="str">
        <x:v>北海(-)</x:v>
      </x:c>
      <x:c r="D725" s="2" t="str">
        <x:v>北海(-)</x:v>
      </x:c>
      <x:c r="E725" s="2" t="str">
        <x:v>建業(-)</x:v>
      </x:c>
      <x:c r="F725" s="2" t="str">
        <x:v>建業(-)</x:v>
      </x:c>
      <x:c r="G725" s="2" t="str">
        <x:v>建業(-)</x:v>
      </x:c>
      <x:c r="H725" s="2" t="str">
        <x:v>建業(-)</x:v>
      </x:c>
      <x:c r="I725" s="2" t="str">
        <x:v>孫權</x:v>
      </x:c>
      <x:c r="J725" s="2" t="str">
        <x:v>孫權</x:v>
      </x:c>
      <x:c r="K725" s="2" t="str">
        <x:v>孫權</x:v>
      </x:c>
      <x:c r="L725" s="2" t="str">
        <x:v>劉繇</x:v>
      </x:c>
    </x:row>
    <x:row r="726" ht="23" customHeight="1">
      <x:c r="A726" s="12" t="n">
        <x:v>718</x:v>
      </x:c>
      <x:c r="B726" s="2" t="str">
        <x:v>董允</x:v>
      </x:c>
      <x:c r="C726" s="2" t="str">
        <x:v>江陵(-)</x:v>
      </x:c>
      <x:c r="D726" s="2" t="str">
        <x:v>江陵(-)</x:v>
      </x:c>
      <x:c r="E726" s="2" t="str">
        <x:v>江州(-)</x:v>
      </x:c>
      <x:c r="F726" s="2" t="str">
        <x:v>江州(-)</x:v>
      </x:c>
      <x:c r="G726" s="2" t="str">
        <x:v>江州(-)</x:v>
      </x:c>
      <x:c r="H726" s="2" t="str">
        <x:v>劉備</x:v>
      </x:c>
      <x:c r="I726" s="2" t="str">
        <x:v>劉備</x:v>
      </x:c>
      <x:c r="J726" s="2" t="str">
        <x:v>劉禪</x:v>
      </x:c>
      <x:c r="K726" s="2" t="str">
        <x:v>x</x:v>
      </x:c>
      <x:c r="L726" s="2" t="str">
        <x:v>江陵(未)</x:v>
      </x:c>
    </x:row>
    <x:row r="727" ht="23" customHeight="1">
      <x:c r="A727" s="12" t="n">
        <x:v>719</x:v>
      </x:c>
      <x:c r="B727" s="2" t="str">
        <x:v>董和</x:v>
      </x:c>
      <x:c r="C727" s="2" t="str">
        <x:v>江陵(-)</x:v>
      </x:c>
      <x:c r="D727" s="2" t="str">
        <x:v>江陵(未)</x:v>
      </x:c>
      <x:c r="E727" s="2" t="str">
        <x:v>劉璋</x:v>
      </x:c>
      <x:c r="F727" s="2" t="str">
        <x:v>劉璋</x:v>
      </x:c>
      <x:c r="G727" s="2" t="str">
        <x:v>劉璋</x:v>
      </x:c>
      <x:c r="H727" s="2" t="str">
        <x:v>劉備</x:v>
      </x:c>
      <x:c r="I727" s="2" t="str">
        <x:v>x</x:v>
      </x:c>
      <x:c r="J727" s="2" t="str">
        <x:v>x</x:v>
      </x:c>
      <x:c r="K727" s="2" t="str">
        <x:v>x</x:v>
      </x:c>
      <x:c r="L727" s="2" t="str">
        <x:v>江陵(未)</x:v>
      </x:c>
    </x:row>
    <x:row r="728" ht="23" customHeight="1">
      <x:c r="A728" s="12" t="n">
        <x:v>720</x:v>
      </x:c>
      <x:c r="B728" s="2" t="str">
        <x:v>邓艾</x:v>
      </x:c>
      <x:c r="C728" s="2" t="str">
        <x:v>新野(-)</x:v>
      </x:c>
      <x:c r="D728" s="2" t="str">
        <x:v>新野(-)</x:v>
      </x:c>
      <x:c r="E728" s="2" t="str">
        <x:v>新野(-)</x:v>
      </x:c>
      <x:c r="F728" s="2" t="str">
        <x:v>新野(-)</x:v>
      </x:c>
      <x:c r="G728" s="2" t="str">
        <x:v>新野(-)</x:v>
      </x:c>
      <x:c r="H728" s="2" t="str">
        <x:v>汝南(未)</x:v>
      </x:c>
      <x:c r="I728" s="2" t="str">
        <x:v>汝南(未)</x:v>
      </x:c>
      <x:c r="J728" s="2" t="str">
        <x:v>汝南(未)</x:v>
      </x:c>
      <x:c r="K728" s="2" t="str">
        <x:v>曹芳</x:v>
      </x:c>
      <x:c r="L728" s="2" t="str">
        <x:v>鄧艾</x:v>
      </x:c>
    </x:row>
    <x:row r="729" ht="23" customHeight="1">
      <x:c r="A729" s="12" t="n">
        <x:v>721</x:v>
      </x:c>
      <x:c r="B729" s="2" t="str">
        <x:v>邓义</x:v>
      </x:c>
      <x:c r="C729" s="2" t="str">
        <x:v>新野(-)</x:v>
      </x:c>
      <x:c r="D729" s="2" t="str">
        <x:v>新野(未)</x:v>
      </x:c>
      <x:c r="E729" s="2" t="str">
        <x:v>劉表</x:v>
      </x:c>
      <x:c r="F729" s="2" t="str">
        <x:v>劉表</x:v>
      </x:c>
      <x:c r="G729" s="2" t="str">
        <x:v>劉表</x:v>
      </x:c>
      <x:c r="H729" s="2" t="str">
        <x:v>x</x:v>
      </x:c>
      <x:c r="I729" s="2" t="str">
        <x:v>x</x:v>
      </x:c>
      <x:c r="J729" s="2" t="str">
        <x:v>x</x:v>
      </x:c>
      <x:c r="K729" s="2" t="str">
        <x:v>x</x:v>
      </x:c>
      <x:c r="L729" s="2" t="str">
        <x:v>新野(未)</x:v>
      </x:c>
    </x:row>
    <x:row r="730" ht="23" customHeight="1">
      <x:c r="A730" s="12" t="n">
        <x:v>722</x:v>
      </x:c>
      <x:c r="B730" s="2" t="str">
        <x:v>党均</x:v>
      </x:c>
      <x:c r="C730" s="2" t="str">
        <x:v>襄陽(-)</x:v>
      </x:c>
      <x:c r="D730" s="2" t="str">
        <x:v>襄陽(-)</x:v>
      </x:c>
      <x:c r="E730" s="2" t="str">
        <x:v>襄陽(-)</x:v>
      </x:c>
      <x:c r="F730" s="2" t="str">
        <x:v>襄陽(-)</x:v>
      </x:c>
      <x:c r="G730" s="2" t="str">
        <x:v>襄陽(-)</x:v>
      </x:c>
      <x:c r="H730" s="2" t="str">
        <x:v>襄陽(-)</x:v>
      </x:c>
      <x:c r="I730" s="2" t="str">
        <x:v>襄陽(-)</x:v>
      </x:c>
      <x:c r="J730" s="2" t="str">
        <x:v>襄陽(-)</x:v>
      </x:c>
      <x:c r="K730" s="2" t="str">
        <x:v>襄陽(未)</x:v>
      </x:c>
      <x:c r="L730" s="2" t="str">
        <x:v>鄧艾</x:v>
      </x:c>
    </x:row>
    <x:row r="731" ht="23" customHeight="1">
      <x:c r="A731" s="12" t="n">
        <x:v>723</x:v>
      </x:c>
      <x:c r="B731" s="2" t="str">
        <x:v>董厥</x:v>
      </x:c>
      <x:c r="C731" s="2" t="str">
        <x:v>新野(-)</x:v>
      </x:c>
      <x:c r="D731" s="2" t="str">
        <x:v>新野(-)</x:v>
      </x:c>
      <x:c r="E731" s="2" t="str">
        <x:v>新野(-)</x:v>
      </x:c>
      <x:c r="F731" s="2" t="str">
        <x:v>新野(-)</x:v>
      </x:c>
      <x:c r="G731" s="2" t="str">
        <x:v>新野(-)</x:v>
      </x:c>
      <x:c r="H731" s="2" t="str">
        <x:v>新野(-)</x:v>
      </x:c>
      <x:c r="I731" s="2" t="str">
        <x:v>新野(-)</x:v>
      </x:c>
      <x:c r="J731" s="2" t="str">
        <x:v>劉禪</x:v>
      </x:c>
      <x:c r="K731" s="2" t="str">
        <x:v>劉禪</x:v>
      </x:c>
      <x:c r="L731" s="2" t="str">
        <x:v>新野(未)</x:v>
      </x:c>
    </x:row>
    <x:row r="732" ht="23" customHeight="1">
      <x:c r="A732" s="12" t="n">
        <x:v>724</x:v>
      </x:c>
      <x:c r="B732" s="2" t="str">
        <x:v>陶谦</x:v>
      </x:c>
      <x:c r="C732" s="2" t="str">
        <x:v>何進</x:v>
      </x:c>
      <x:c r="D732" s="2" t="str">
        <x:v>陶謙</x:v>
      </x:c>
      <x:c r="E732" s="2" t="str">
        <x:v>陶謙</x:v>
      </x:c>
      <x:c r="F732" s="2" t="str">
        <x:v>x</x:v>
      </x:c>
      <x:c r="G732" s="2" t="str">
        <x:v>x</x:v>
      </x:c>
      <x:c r="H732" s="2" t="str">
        <x:v>x</x:v>
      </x:c>
      <x:c r="I732" s="2" t="str">
        <x:v>x</x:v>
      </x:c>
      <x:c r="J732" s="2" t="str">
        <x:v>x</x:v>
      </x:c>
      <x:c r="K732" s="2" t="str">
        <x:v>x</x:v>
      </x:c>
      <x:c r="L732" s="2" t="str">
        <x:v>陶謙</x:v>
      </x:c>
    </x:row>
    <x:row r="733" ht="23" customHeight="1">
      <x:c r="A733" s="12" t="n">
        <x:v>725</x:v>
      </x:c>
      <x:c r="B733" s="2" t="str">
        <x:v>邓贤</x:v>
      </x:c>
      <x:c r="C733" s="2" t="str">
        <x:v>長安(-)</x:v>
      </x:c>
      <x:c r="D733" s="2" t="str">
        <x:v>長安(-)</x:v>
      </x:c>
      <x:c r="E733" s="2" t="str">
        <x:v>長安(-)</x:v>
      </x:c>
      <x:c r="F733" s="2" t="str">
        <x:v>成都(-)</x:v>
      </x:c>
      <x:c r="G733" s="2" t="str">
        <x:v>成都(-)</x:v>
      </x:c>
      <x:c r="H733" s="2" t="str">
        <x:v>劉備</x:v>
      </x:c>
      <x:c r="I733" s="2" t="str">
        <x:v>曹丕</x:v>
      </x:c>
      <x:c r="J733" s="2" t="str">
        <x:v>曹叡</x:v>
      </x:c>
      <x:c r="K733" s="2" t="str">
        <x:v>x</x:v>
      </x:c>
      <x:c r="L733" s="2" t="str">
        <x:v>孟達</x:v>
      </x:c>
    </x:row>
    <x:row r="734" ht="23" customHeight="1">
      <x:c r="A734" s="12" t="n">
        <x:v>726</x:v>
      </x:c>
      <x:c r="B734" s="2" t="str">
        <x:v>陶璜</x:v>
      </x:c>
      <x:c r="C734" s="2" t="str">
        <x:v>建業(-)</x:v>
      </x:c>
      <x:c r="D734" s="2" t="str">
        <x:v>建業(-)</x:v>
      </x:c>
      <x:c r="E734" s="2" t="str">
        <x:v>建業(-)</x:v>
      </x:c>
      <x:c r="F734" s="2" t="str">
        <x:v>建業(-)</x:v>
      </x:c>
      <x:c r="G734" s="2" t="str">
        <x:v>建業(-)</x:v>
      </x:c>
      <x:c r="H734" s="2" t="str">
        <x:v>建業(-)</x:v>
      </x:c>
      <x:c r="I734" s="2" t="str">
        <x:v>建業(-)</x:v>
      </x:c>
      <x:c r="J734" s="2" t="str">
        <x:v>建業(-)</x:v>
      </x:c>
      <x:c r="K734" s="2" t="str">
        <x:v>建業(未)</x:v>
      </x:c>
      <x:c r="L734" s="2" t="str">
        <x:v>建業(未)</x:v>
      </x:c>
    </x:row>
    <x:row r="735" ht="23" customHeight="1">
      <x:c r="A735" s="12" t="n">
        <x:v>727</x:v>
      </x:c>
      <x:c r="B735" s="2" t="str">
        <x:v>董璜</x:v>
      </x:c>
      <x:c r="C735" s="2" t="str">
        <x:v>天水(-)</x:v>
      </x:c>
      <x:c r="D735" s="2" t="str">
        <x:v>董卓</x:v>
      </x:c>
      <x:c r="E735" s="2" t="str">
        <x:v>x</x:v>
      </x:c>
      <x:c r="F735" s="2" t="str">
        <x:v>x</x:v>
      </x:c>
      <x:c r="G735" s="2" t="str">
        <x:v>x</x:v>
      </x:c>
      <x:c r="H735" s="2" t="str">
        <x:v>x</x:v>
      </x:c>
      <x:c r="I735" s="2" t="str">
        <x:v>x</x:v>
      </x:c>
      <x:c r="J735" s="2" t="str">
        <x:v>x</x:v>
      </x:c>
      <x:c r="K735" s="2" t="str">
        <x:v>x</x:v>
      </x:c>
      <x:c r="L735" s="2" t="str">
        <x:v>董卓</x:v>
      </x:c>
    </x:row>
    <x:row r="736" ht="23" customHeight="1">
      <x:c r="A736" s="12" t="n">
        <x:v>728</x:v>
      </x:c>
      <x:c r="B736" s="2" t="str">
        <x:v>董衡</x:v>
      </x:c>
      <x:c r="C736" s="2" t="str">
        <x:v>安定(-)</x:v>
      </x:c>
      <x:c r="D736" s="2" t="str">
        <x:v>安定(-)</x:v>
      </x:c>
      <x:c r="E736" s="2" t="str">
        <x:v>安定(未)</x:v>
      </x:c>
      <x:c r="F736" s="2" t="str">
        <x:v>安定(未)</x:v>
      </x:c>
      <x:c r="G736" s="2" t="str">
        <x:v>安定(未)</x:v>
      </x:c>
      <x:c r="H736" s="2" t="str">
        <x:v>曹操</x:v>
      </x:c>
      <x:c r="I736" s="2" t="str">
        <x:v>x</x:v>
      </x:c>
      <x:c r="J736" s="2" t="str">
        <x:v>x</x:v>
      </x:c>
      <x:c r="K736" s="2" t="str">
        <x:v>x</x:v>
      </x:c>
      <x:c r="L736" s="2" t="str">
        <x:v>安定(未)</x:v>
      </x:c>
    </x:row>
    <x:row r="737" ht="23" customHeight="1">
      <x:c r="A737" s="12" t="n">
        <x:v>729</x:v>
      </x:c>
      <x:c r="B737" s="2" t="str">
        <x:v>邓芝</x:v>
      </x:c>
      <x:c r="C737" s="2" t="str">
        <x:v>新野(-)</x:v>
      </x:c>
      <x:c r="D737" s="2" t="str">
        <x:v>新野(-)</x:v>
      </x:c>
      <x:c r="E737" s="2" t="str">
        <x:v>新野(-)</x:v>
      </x:c>
      <x:c r="F737" s="2" t="str">
        <x:v>新野(-)</x:v>
      </x:c>
      <x:c r="G737" s="2" t="str">
        <x:v>新野(未)</x:v>
      </x:c>
      <x:c r="H737" s="2" t="str">
        <x:v>劉備</x:v>
      </x:c>
      <x:c r="I737" s="2" t="str">
        <x:v>劉備</x:v>
      </x:c>
      <x:c r="J737" s="2" t="str">
        <x:v>劉禪</x:v>
      </x:c>
      <x:c r="K737" s="2" t="str">
        <x:v>劉禪</x:v>
      </x:c>
      <x:c r="L737" s="2" t="str">
        <x:v>新野(未)</x:v>
      </x:c>
    </x:row>
    <x:row r="738" ht="23" customHeight="1">
      <x:c r="A738" s="12" t="n">
        <x:v>730</x:v>
      </x:c>
      <x:c r="B738" s="2" t="str">
        <x:v>唐咨</x:v>
      </x:c>
      <x:c r="C738" s="2" t="str">
        <x:v>下邳(-)</x:v>
      </x:c>
      <x:c r="D738" s="2" t="str">
        <x:v>下邳(-)</x:v>
      </x:c>
      <x:c r="E738" s="2" t="str">
        <x:v>下邳(-)</x:v>
      </x:c>
      <x:c r="F738" s="2" t="str">
        <x:v>下邳(-)</x:v>
      </x:c>
      <x:c r="G738" s="2" t="str">
        <x:v>下邳(-)</x:v>
      </x:c>
      <x:c r="H738" s="2" t="str">
        <x:v>下邳(-)</x:v>
      </x:c>
      <x:c r="I738" s="2" t="str">
        <x:v>下邳(-)</x:v>
      </x:c>
      <x:c r="J738" s="2" t="str">
        <x:v>孫權</x:v>
      </x:c>
      <x:c r="K738" s="2" t="str">
        <x:v>孫權</x:v>
      </x:c>
      <x:c r="L738" s="2" t="str">
        <x:v>毌丘儉</x:v>
      </x:c>
    </x:row>
    <x:row r="739" ht="23" customHeight="1">
      <x:c r="A739" s="12" t="n">
        <x:v>731</x:v>
      </x:c>
      <x:c r="B739" s="2" t="str">
        <x:v>董袭</x:v>
      </x:c>
      <x:c r="C739" s="2" t="str">
        <x:v>會稽(-)</x:v>
      </x:c>
      <x:c r="D739" s="2" t="str">
        <x:v>會稽(未)</x:v>
      </x:c>
      <x:c r="E739" s="2" t="str">
        <x:v>會稽(未)</x:v>
      </x:c>
      <x:c r="F739" s="2" t="str">
        <x:v>孫策</x:v>
      </x:c>
      <x:c r="G739" s="2" t="str">
        <x:v>孫權</x:v>
      </x:c>
      <x:c r="H739" s="2" t="str">
        <x:v>x</x:v>
      </x:c>
      <x:c r="I739" s="2" t="str">
        <x:v>x</x:v>
      </x:c>
      <x:c r="J739" s="2" t="str">
        <x:v>x</x:v>
      </x:c>
      <x:c r="K739" s="2" t="str">
        <x:v>x</x:v>
      </x:c>
      <x:c r="L739" s="2" t="str">
        <x:v>會稽(未)</x:v>
      </x:c>
    </x:row>
    <x:row r="740" ht="23" customHeight="1">
      <x:c r="A740" s="12" t="n">
        <x:v>732</x:v>
      </x:c>
      <x:c r="B740" s="2" t="str">
        <x:v>滕修</x:v>
      </x:c>
      <x:c r="C740" s="2" t="str">
        <x:v>宛(-)</x:v>
      </x:c>
      <x:c r="D740" s="2" t="str">
        <x:v>宛(-)</x:v>
      </x:c>
      <x:c r="E740" s="2" t="str">
        <x:v>宛(-)</x:v>
      </x:c>
      <x:c r="F740" s="2" t="str">
        <x:v>宛(-)</x:v>
      </x:c>
      <x:c r="G740" s="2" t="str">
        <x:v>宛(-)</x:v>
      </x:c>
      <x:c r="H740" s="2" t="str">
        <x:v>宛(-)</x:v>
      </x:c>
      <x:c r="I740" s="2" t="str">
        <x:v>宛(-)</x:v>
      </x:c>
      <x:c r="J740" s="2" t="str">
        <x:v>宛(-)</x:v>
      </x:c>
      <x:c r="K740" s="2" t="str">
        <x:v>宛(未)</x:v>
      </x:c>
      <x:c r="L740" s="2" t="str">
        <x:v>宛(未)</x:v>
      </x:c>
    </x:row>
    <x:row r="741" ht="23" customHeight="1">
      <x:c r="A741" s="12" t="n">
        <x:v>733</x:v>
      </x:c>
      <x:c r="B741" s="2" t="str">
        <x:v>陶濬</x:v>
      </x:c>
      <x:c r="C741" s="2" t="str">
        <x:v>建業(-)</x:v>
      </x:c>
      <x:c r="D741" s="2" t="str">
        <x:v>建業(-)</x:v>
      </x:c>
      <x:c r="E741" s="2" t="str">
        <x:v>建業(-)</x:v>
      </x:c>
      <x:c r="F741" s="2" t="str">
        <x:v>建業(-)</x:v>
      </x:c>
      <x:c r="G741" s="2" t="str">
        <x:v>建業(-)</x:v>
      </x:c>
      <x:c r="H741" s="2" t="str">
        <x:v>建業(-)</x:v>
      </x:c>
      <x:c r="I741" s="2" t="str">
        <x:v>建業(-)</x:v>
      </x:c>
      <x:c r="J741" s="2" t="str">
        <x:v>建業(-)</x:v>
      </x:c>
      <x:c r="K741" s="2" t="str">
        <x:v>建業(-)</x:v>
      </x:c>
      <x:c r="L741" s="2" t="str">
        <x:v>建業(未)</x:v>
      </x:c>
    </x:row>
    <x:row r="742" ht="23" customHeight="1">
      <x:c r="A742" s="12" t="n">
        <x:v>734</x:v>
      </x:c>
      <x:c r="B742" s="2" t="str">
        <x:v>董承</x:v>
      </x:c>
      <x:c r="C742" s="2" t="str">
        <x:v>何進</x:v>
      </x:c>
      <x:c r="D742" s="2" t="str">
        <x:v>董卓</x:v>
      </x:c>
      <x:c r="E742" s="2" t="str">
        <x:v>李傕</x:v>
      </x:c>
      <x:c r="F742" s="2" t="str">
        <x:v>曹操</x:v>
      </x:c>
      <x:c r="G742" s="2" t="str">
        <x:v>x</x:v>
      </x:c>
      <x:c r="H742" s="2" t="str">
        <x:v>x</x:v>
      </x:c>
      <x:c r="I742" s="2" t="str">
        <x:v>x</x:v>
      </x:c>
      <x:c r="J742" s="2" t="str">
        <x:v>x</x:v>
      </x:c>
      <x:c r="K742" s="2" t="str">
        <x:v>x</x:v>
      </x:c>
      <x:c r="L742" s="2" t="str">
        <x:v>何進</x:v>
      </x:c>
    </x:row>
    <x:row r="743" ht="23" customHeight="1">
      <x:c r="A743" s="12" t="n">
        <x:v>735</x:v>
      </x:c>
      <x:c r="B743" s="2" t="str">
        <x:v>董昭</x:v>
      </x:c>
      <x:c r="C743" s="2" t="str">
        <x:v>濮陽(未)</x:v>
      </x:c>
      <x:c r="D743" s="2" t="str">
        <x:v>袁紹</x:v>
      </x:c>
      <x:c r="E743" s="2" t="str">
        <x:v>張楊</x:v>
      </x:c>
      <x:c r="F743" s="2" t="str">
        <x:v>曹操</x:v>
      </x:c>
      <x:c r="G743" s="2" t="str">
        <x:v>曹操</x:v>
      </x:c>
      <x:c r="H743" s="2" t="str">
        <x:v>曹操</x:v>
      </x:c>
      <x:c r="I743" s="2" t="str">
        <x:v>曹丕</x:v>
      </x:c>
      <x:c r="J743" s="2" t="str">
        <x:v>曹叡</x:v>
      </x:c>
      <x:c r="K743" s="2" t="str">
        <x:v>x</x:v>
      </x:c>
      <x:c r="L743" s="2" t="str">
        <x:v>丁原</x:v>
      </x:c>
    </x:row>
    <x:row r="744" ht="23" customHeight="1">
      <x:c r="A744" s="12" t="n">
        <x:v>736</x:v>
      </x:c>
      <x:c r="B744" s="2" t="str">
        <x:v>董卓</x:v>
      </x:c>
      <x:c r="C744" s="2" t="str">
        <x:v>董卓</x:v>
      </x:c>
      <x:c r="D744" s="2" t="str">
        <x:v>董卓</x:v>
      </x:c>
      <x:c r="E744" s="2" t="str">
        <x:v>x</x:v>
      </x:c>
      <x:c r="F744" s="2" t="str">
        <x:v>x</x:v>
      </x:c>
      <x:c r="G744" s="2" t="str">
        <x:v>x</x:v>
      </x:c>
      <x:c r="H744" s="2" t="str">
        <x:v>x</x:v>
      </x:c>
      <x:c r="I744" s="2" t="str">
        <x:v>x</x:v>
      </x:c>
      <x:c r="J744" s="2" t="str">
        <x:v>x</x:v>
      </x:c>
      <x:c r="K744" s="2" t="str">
        <x:v>x</x:v>
      </x:c>
      <x:c r="L744" s="2" t="str">
        <x:v>董卓</x:v>
      </x:c>
    </x:row>
    <x:row r="745" ht="23" customHeight="1">
      <x:c r="A745" s="12" t="n">
        <x:v>737</x:v>
      </x:c>
      <x:c r="B745" s="2" t="str">
        <x:v>邓忠</x:v>
      </x:c>
      <x:c r="C745" s="2" t="str">
        <x:v>新野(-)</x:v>
      </x:c>
      <x:c r="D745" s="2" t="str">
        <x:v>新野(-)</x:v>
      </x:c>
      <x:c r="E745" s="2" t="str">
        <x:v>新野(-)</x:v>
      </x:c>
      <x:c r="F745" s="2" t="str">
        <x:v>新野(-)</x:v>
      </x:c>
      <x:c r="G745" s="2" t="str">
        <x:v>新野(-)</x:v>
      </x:c>
      <x:c r="H745" s="2" t="str">
        <x:v>汝南(-)</x:v>
      </x:c>
      <x:c r="I745" s="2" t="str">
        <x:v>汝南(-)</x:v>
      </x:c>
      <x:c r="J745" s="2" t="str">
        <x:v>汝南(-)</x:v>
      </x:c>
      <x:c r="K745" s="2" t="str">
        <x:v>曹芳</x:v>
      </x:c>
      <x:c r="L745" s="2" t="str">
        <x:v>鄧艾</x:v>
      </x:c>
    </x:row>
    <x:row r="746" ht="23" customHeight="1">
      <x:c r="A746" s="12" t="n">
        <x:v>738</x:v>
      </x:c>
      <x:c r="B746" s="2" t="str">
        <x:v>董朝</x:v>
      </x:c>
      <x:c r="C746" s="2" t="str">
        <x:v>會稽(-)</x:v>
      </x:c>
      <x:c r="D746" s="2" t="str">
        <x:v>會稽(-)</x:v>
      </x:c>
      <x:c r="E746" s="2" t="str">
        <x:v>會稽(-)</x:v>
      </x:c>
      <x:c r="F746" s="2" t="str">
        <x:v>會稽(-)</x:v>
      </x:c>
      <x:c r="G746" s="2" t="str">
        <x:v>會稽(-)</x:v>
      </x:c>
      <x:c r="H746" s="2" t="str">
        <x:v>會稽(-)</x:v>
      </x:c>
      <x:c r="I746" s="2" t="str">
        <x:v>會稽(-)</x:v>
      </x:c>
      <x:c r="J746" s="2" t="str">
        <x:v>會稽(-)</x:v>
      </x:c>
      <x:c r="K746" s="2" t="str">
        <x:v>會稽(未)</x:v>
      </x:c>
      <x:c r="L746" s="2" t="str">
        <x:v>會稽(未)</x:v>
      </x:c>
    </x:row>
    <x:row r="747" ht="23" customHeight="1">
      <x:c r="A747" s="12" t="n">
        <x:v>739</x:v>
      </x:c>
      <x:c r="B747" s="2" t="str">
        <x:v>董荼那</x:v>
      </x:c>
      <x:c r="C747" s="2" t="str">
        <x:v>雲南(-)</x:v>
      </x:c>
      <x:c r="D747" s="2" t="str">
        <x:v>雲南(-)</x:v>
      </x:c>
      <x:c r="E747" s="2" t="str">
        <x:v>雲南(-)</x:v>
      </x:c>
      <x:c r="F747" s="2" t="str">
        <x:v>雲南(-)</x:v>
      </x:c>
      <x:c r="G747" s="2" t="str">
        <x:v>雲南(-)</x:v>
      </x:c>
      <x:c r="H747" s="2" t="str">
        <x:v>雲南(未)</x:v>
      </x:c>
      <x:c r="I747" s="2" t="str">
        <x:v>孟獲</x:v>
      </x:c>
      <x:c r="J747" s="2" t="str">
        <x:v>x</x:v>
      </x:c>
      <x:c r="K747" s="2" t="str">
        <x:v>x</x:v>
      </x:c>
      <x:c r="L747" s="2" t="str">
        <x:v>孟獲</x:v>
      </x:c>
    </x:row>
    <x:row r="748" ht="23" customHeight="1">
      <x:c r="A748" s="12" t="n">
        <x:v>740</x:v>
      </x:c>
      <x:c r="B748" s="2" t="str">
        <x:v>蹋顿</x:v>
      </x:c>
      <x:c r="C748" s="2" t="str">
        <x:v>北平(未)</x:v>
      </x:c>
      <x:c r="D748" s="2" t="str">
        <x:v>北平(未)</x:v>
      </x:c>
      <x:c r="E748" s="2" t="str">
        <x:v>北平(未)</x:v>
      </x:c>
      <x:c r="F748" s="2" t="str">
        <x:v>北平(野)</x:v>
      </x:c>
      <x:c r="G748" s="2" t="str">
        <x:v>x</x:v>
      </x:c>
      <x:c r="H748" s="2" t="str">
        <x:v>x</x:v>
      </x:c>
      <x:c r="I748" s="2" t="str">
        <x:v>x</x:v>
      </x:c>
      <x:c r="J748" s="2" t="str">
        <x:v>x</x:v>
      </x:c>
      <x:c r="K748" s="2" t="str">
        <x:v>x</x:v>
      </x:c>
      <x:c r="L748" s="2" t="str">
        <x:v>北平(未)</x:v>
      </x:c>
    </x:row>
    <x:row r="749" ht="23" customHeight="1">
      <x:c r="A749" s="12" t="n">
        <x:v>741</x:v>
      </x:c>
      <x:c r="B749" s="2" t="str">
        <x:v>董白</x:v>
      </x:c>
      <x:c r="C749" s="2" t="str">
        <x:v>天水(-)</x:v>
      </x:c>
      <x:c r="D749" s="2" t="str">
        <x:v>董卓</x:v>
      </x:c>
      <x:c r="E749" s="2" t="str">
        <x:v>x</x:v>
      </x:c>
      <x:c r="F749" s="2" t="str">
        <x:v>x</x:v>
      </x:c>
      <x:c r="G749" s="2" t="str">
        <x:v>x</x:v>
      </x:c>
      <x:c r="H749" s="2" t="str">
        <x:v>x</x:v>
      </x:c>
      <x:c r="I749" s="2" t="str">
        <x:v>x</x:v>
      </x:c>
      <x:c r="J749" s="2" t="str">
        <x:v>x</x:v>
      </x:c>
      <x:c r="K749" s="2" t="str">
        <x:v>x</x:v>
      </x:c>
      <x:c r="L749" s="2" t="str">
        <x:v>董卓</x:v>
      </x:c>
    </x:row>
    <x:row r="750" ht="23" customHeight="1">
      <x:c r="A750" s="12" t="n">
        <x:v>742</x:v>
      </x:c>
      <x:c r="B750" s="2" t="str">
        <x:v>唐彬</x:v>
      </x:c>
      <x:c r="C750" s="2" t="str">
        <x:v>小沛(-)</x:v>
      </x:c>
      <x:c r="D750" s="2" t="str">
        <x:v>小沛(-)</x:v>
      </x:c>
      <x:c r="E750" s="2" t="str">
        <x:v>小沛(-)</x:v>
      </x:c>
      <x:c r="F750" s="2" t="str">
        <x:v>小沛(-)</x:v>
      </x:c>
      <x:c r="G750" s="2" t="str">
        <x:v>小沛(-)</x:v>
      </x:c>
      <x:c r="H750" s="2" t="str">
        <x:v>小沛(-)</x:v>
      </x:c>
      <x:c r="I750" s="2" t="str">
        <x:v>小沛(-)</x:v>
      </x:c>
      <x:c r="J750" s="2" t="str">
        <x:v>小沛(-)</x:v>
      </x:c>
      <x:c r="K750" s="2" t="str">
        <x:v>小沛(-)</x:v>
      </x:c>
      <x:c r="L750" s="2" t="str">
        <x:v>小沛(未)</x:v>
      </x:c>
    </x:row>
    <x:row r="751" ht="23" customHeight="1">
      <x:c r="A751" s="12" t="n">
        <x:v>743</x:v>
      </x:c>
      <x:c r="B751" s="2" t="str">
        <x:v>董旻</x:v>
      </x:c>
      <x:c r="C751" s="2" t="str">
        <x:v>董卓</x:v>
      </x:c>
      <x:c r="D751" s="2" t="str">
        <x:v>董卓</x:v>
      </x:c>
      <x:c r="E751" s="2" t="str">
        <x:v>x</x:v>
      </x:c>
      <x:c r="F751" s="2" t="str">
        <x:v>x</x:v>
      </x:c>
      <x:c r="G751" s="2" t="str">
        <x:v>x</x:v>
      </x:c>
      <x:c r="H751" s="2" t="str">
        <x:v>x</x:v>
      </x:c>
      <x:c r="I751" s="2" t="str">
        <x:v>x</x:v>
      </x:c>
      <x:c r="J751" s="2" t="str">
        <x:v>x</x:v>
      </x:c>
      <x:c r="K751" s="2" t="str">
        <x:v>x</x:v>
      </x:c>
      <x:c r="L751" s="2" t="str">
        <x:v>董卓</x:v>
      </x:c>
    </x:row>
    <x:row r="752" ht="23" customHeight="1">
      <x:c r="A752" s="12" t="n">
        <x:v>744</x:v>
      </x:c>
      <x:c r="B752" s="2" t="str">
        <x:v>董扶</x:v>
      </x:c>
      <x:c r="C752" s="2" t="str">
        <x:v>何進</x:v>
      </x:c>
      <x:c r="D752" s="2" t="str">
        <x:v>劉焉</x:v>
      </x:c>
      <x:c r="E752" s="2" t="str">
        <x:v>x</x:v>
      </x:c>
      <x:c r="F752" s="2" t="str">
        <x:v>x</x:v>
      </x:c>
      <x:c r="G752" s="2" t="str">
        <x:v>x</x:v>
      </x:c>
      <x:c r="H752" s="2" t="str">
        <x:v>x</x:v>
      </x:c>
      <x:c r="I752" s="2" t="str">
        <x:v>x</x:v>
      </x:c>
      <x:c r="J752" s="2" t="str">
        <x:v>x</x:v>
      </x:c>
      <x:c r="K752" s="2" t="str">
        <x:v>x</x:v>
      </x:c>
      <x:c r="L752" s="2" t="str">
        <x:v>劉焉</x:v>
      </x:c>
    </x:row>
    <x:row r="753" ht="23" customHeight="1">
      <x:c r="A753" s="12" t="n">
        <x:v>745</x:v>
      </x:c>
      <x:c r="B753" s="2" t="str">
        <x:v>邓方</x:v>
      </x:c>
      <x:c r="C753" s="2" t="str">
        <x:v>江陵(-)</x:v>
      </x:c>
      <x:c r="D753" s="2" t="str">
        <x:v>江陵(-)</x:v>
      </x:c>
      <x:c r="E753" s="2" t="str">
        <x:v>江陵(-)</x:v>
      </x:c>
      <x:c r="F753" s="2" t="str">
        <x:v>江陵(-)</x:v>
      </x:c>
      <x:c r="G753" s="2" t="str">
        <x:v>江陵(未)</x:v>
      </x:c>
      <x:c r="H753" s="2" t="str">
        <x:v>劉備</x:v>
      </x:c>
      <x:c r="I753" s="2" t="str">
        <x:v>劉備</x:v>
      </x:c>
      <x:c r="J753" s="2" t="str">
        <x:v>x</x:v>
      </x:c>
      <x:c r="K753" s="2" t="str">
        <x:v>x</x:v>
      </x:c>
      <x:c r="L753" s="2" t="str">
        <x:v>江陵(未)</x:v>
      </x:c>
    </x:row>
    <x:row r="754" ht="23" customHeight="1">
      <x:c r="A754" s="12" t="n">
        <x:v>746</x:v>
      </x:c>
      <x:c r="B754" s="2" t="str">
        <x:v>邓茂</x:v>
      </x:c>
      <x:c r="C754" s="2" t="str">
        <x:v>張角</x:v>
      </x:c>
      <x:c r="D754" s="2" t="str">
        <x:v>x</x:v>
      </x:c>
      <x:c r="E754" s="2" t="str">
        <x:v>x</x:v>
      </x:c>
      <x:c r="F754" s="2" t="str">
        <x:v>x</x:v>
      </x:c>
      <x:c r="G754" s="2" t="str">
        <x:v>x</x:v>
      </x:c>
      <x:c r="H754" s="2" t="str">
        <x:v>x</x:v>
      </x:c>
      <x:c r="I754" s="2" t="str">
        <x:v>x</x:v>
      </x:c>
      <x:c r="J754" s="2" t="str">
        <x:v>x</x:v>
      </x:c>
      <x:c r="K754" s="2" t="str">
        <x:v>x</x:v>
      </x:c>
      <x:c r="L754" s="2" t="str">
        <x:v>張角</x:v>
      </x:c>
    </x:row>
    <x:row r="755" ht="23" customHeight="1">
      <x:c r="A755" s="12" t="n">
        <x:v>747</x:v>
      </x:c>
      <x:c r="B755" s="2" t="str">
        <x:v>邓龙</x:v>
      </x:c>
      <x:c r="C755" s="2" t="str">
        <x:v>新野(-)</x:v>
      </x:c>
      <x:c r="D755" s="2" t="str">
        <x:v>新野(-)</x:v>
      </x:c>
      <x:c r="E755" s="2" t="str">
        <x:v>新野(未)</x:v>
      </x:c>
      <x:c r="F755" s="2" t="str">
        <x:v>劉表</x:v>
      </x:c>
      <x:c r="G755" s="2" t="str">
        <x:v>劉表</x:v>
      </x:c>
      <x:c r="H755" s="2" t="str">
        <x:v>x</x:v>
      </x:c>
      <x:c r="I755" s="2" t="str">
        <x:v>x</x:v>
      </x:c>
      <x:c r="J755" s="2" t="str">
        <x:v>x</x:v>
      </x:c>
      <x:c r="K755" s="2" t="str">
        <x:v>x</x:v>
      </x:c>
      <x:c r="L755" s="2" t="str">
        <x:v>新野(未)</x:v>
      </x:c>
    </x:row>
    <x:row r="756" ht="23" customHeight="1">
      <x:c r="A756" s="12" t="n">
        <x:v>748</x:v>
      </x:c>
      <x:c r="B756" s="2" t="str">
        <x:v>杜畿</x:v>
      </x:c>
      <x:c r="C756" s="2" t="str">
        <x:v>長安(未)</x:v>
      </x:c>
      <x:c r="D756" s="2" t="str">
        <x:v>長安(未)</x:v>
      </x:c>
      <x:c r="E756" s="2" t="str">
        <x:v>長安(未)</x:v>
      </x:c>
      <x:c r="F756" s="2" t="str">
        <x:v>曹操</x:v>
      </x:c>
      <x:c r="G756" s="2" t="str">
        <x:v>曹操</x:v>
      </x:c>
      <x:c r="H756" s="2" t="str">
        <x:v>曹操</x:v>
      </x:c>
      <x:c r="I756" s="2" t="str">
        <x:v>曹丕</x:v>
      </x:c>
      <x:c r="J756" s="2" t="str">
        <x:v>x</x:v>
      </x:c>
      <x:c r="K756" s="2" t="str">
        <x:v>x</x:v>
      </x:c>
      <x:c r="L756" s="2" t="str">
        <x:v>長安(未)</x:v>
      </x:c>
    </x:row>
    <x:row r="757" ht="23" customHeight="1">
      <x:c r="A757" s="12" t="n">
        <x:v>749</x:v>
      </x:c>
      <x:c r="B757" s="2" t="str">
        <x:v>杜琼</x:v>
      </x:c>
      <x:c r="C757" s="2" t="str">
        <x:v>成都(-)</x:v>
      </x:c>
      <x:c r="D757" s="2" t="str">
        <x:v>成都(-)</x:v>
      </x:c>
      <x:c r="E757" s="2" t="str">
        <x:v>成都(未)</x:v>
      </x:c>
      <x:c r="F757" s="2" t="str">
        <x:v>成都(未)</x:v>
      </x:c>
      <x:c r="G757" s="2" t="str">
        <x:v>劉璋</x:v>
      </x:c>
      <x:c r="H757" s="2" t="str">
        <x:v>劉備</x:v>
      </x:c>
      <x:c r="I757" s="2" t="str">
        <x:v>劉備</x:v>
      </x:c>
      <x:c r="J757" s="2" t="str">
        <x:v>劉禪</x:v>
      </x:c>
      <x:c r="K757" s="2" t="str">
        <x:v>劉禪</x:v>
      </x:c>
      <x:c r="L757" s="2" t="str">
        <x:v>成都(未)</x:v>
      </x:c>
    </x:row>
    <x:row r="758" ht="23" customHeight="1">
      <x:c r="A758" s="12" t="n">
        <x:v>750</x:v>
      </x:c>
      <x:c r="B758" s="2" t="str">
        <x:v>杜氏</x:v>
      </x:c>
      <x:c r="C758" s="2" t="str">
        <x:v>長安(-)</x:v>
      </x:c>
      <x:c r="D758" s="2" t="str">
        <x:v>長安(-)</x:v>
      </x:c>
      <x:c r="E758" s="2" t="str">
        <x:v>呂布</x:v>
      </x:c>
      <x:c r="F758" s="2" t="str">
        <x:v>曹操</x:v>
      </x:c>
      <x:c r="G758" s="2" t="str">
        <x:v>曹操</x:v>
      </x:c>
      <x:c r="H758" s="2" t="str">
        <x:v>曹操</x:v>
      </x:c>
      <x:c r="I758" s="2" t="str">
        <x:v>x</x:v>
      </x:c>
      <x:c r="J758" s="2" t="str">
        <x:v>x</x:v>
      </x:c>
      <x:c r="K758" s="2" t="str">
        <x:v>x</x:v>
      </x:c>
      <x:c r="L758" s="2" t="str">
        <x:v>呂布</x:v>
      </x:c>
    </x:row>
    <x:row r="759" ht="23" customHeight="1">
      <x:c r="A759" s="12" t="n">
        <x:v>751</x:v>
      </x:c>
      <x:c r="B759" s="2" t="str">
        <x:v>杜袭</x:v>
      </x:c>
      <x:c r="C759" s="2" t="str">
        <x:v>許昌(未)</x:v>
      </x:c>
      <x:c r="D759" s="2" t="str">
        <x:v>許昌(未)</x:v>
      </x:c>
      <x:c r="E759" s="2" t="str">
        <x:v>長沙(未)</x:v>
      </x:c>
      <x:c r="F759" s="2" t="str">
        <x:v>曹操</x:v>
      </x:c>
      <x:c r="G759" s="2" t="str">
        <x:v>曹操</x:v>
      </x:c>
      <x:c r="H759" s="2" t="str">
        <x:v>曹操</x:v>
      </x:c>
      <x:c r="I759" s="2" t="str">
        <x:v>曹丕</x:v>
      </x:c>
      <x:c r="J759" s="2" t="str">
        <x:v>曹叡</x:v>
      </x:c>
      <x:c r="K759" s="2" t="str">
        <x:v>x</x:v>
      </x:c>
      <x:c r="L759" s="2" t="str">
        <x:v>許昌(未)</x:v>
      </x:c>
    </x:row>
    <x:row r="760" ht="23" customHeight="1">
      <x:c r="A760" s="12" t="n">
        <x:v>752</x:v>
      </x:c>
      <x:c r="B760" s="2" t="str">
        <x:v>杜预</x:v>
      </x:c>
      <x:c r="C760" s="2" t="str">
        <x:v>長安(-)</x:v>
      </x:c>
      <x:c r="D760" s="2" t="str">
        <x:v>長安(-)</x:v>
      </x:c>
      <x:c r="E760" s="2" t="str">
        <x:v>長安(-)</x:v>
      </x:c>
      <x:c r="F760" s="2" t="str">
        <x:v>長安(-)</x:v>
      </x:c>
      <x:c r="G760" s="2" t="str">
        <x:v>長安(-)</x:v>
      </x:c>
      <x:c r="H760" s="2" t="str">
        <x:v>長安(-)</x:v>
      </x:c>
      <x:c r="I760" s="2" t="str">
        <x:v>長安(-)</x:v>
      </x:c>
      <x:c r="J760" s="2" t="str">
        <x:v>長安(-)</x:v>
      </x:c>
      <x:c r="K760" s="2" t="str">
        <x:v>長安(未)</x:v>
      </x:c>
      <x:c r="L760" s="2" t="str">
        <x:v>司馬懿</x:v>
      </x:c>
    </x:row>
    <x:row r="761" ht="23" customHeight="1">
      <x:c r="A761" s="12" t="n">
        <x:v>753</x:v>
      </x:c>
      <x:c r="B761" s="2" t="str">
        <x:v>甯随</x:v>
      </x:c>
      <x:c r="C761" s="2" t="str">
        <x:v>天水(-)</x:v>
      </x:c>
      <x:c r="D761" s="2" t="str">
        <x:v>天水(-)</x:v>
      </x:c>
      <x:c r="E761" s="2" t="str">
        <x:v>天水(-)</x:v>
      </x:c>
      <x:c r="F761" s="2" t="str">
        <x:v>天水(-)</x:v>
      </x:c>
      <x:c r="G761" s="2" t="str">
        <x:v>天水(-)</x:v>
      </x:c>
      <x:c r="H761" s="2" t="str">
        <x:v>天水(-)</x:v>
      </x:c>
      <x:c r="I761" s="2" t="str">
        <x:v>天水(-)</x:v>
      </x:c>
      <x:c r="J761" s="2" t="str">
        <x:v>天水(-)</x:v>
      </x:c>
      <x:c r="K761" s="2" t="str">
        <x:v>天水(-)</x:v>
      </x:c>
      <x:c r="L761" s="2" t="str">
        <x:v>天水(未)</x:v>
      </x:c>
    </x:row>
    <x:row r="762" ht="23" customHeight="1">
      <x:c r="A762" s="12" t="n">
        <x:v>754</x:v>
      </x:c>
      <x:c r="B762" s="2" t="str">
        <x:v>裴元绍</x:v>
      </x:c>
      <x:c r="C762" s="2" t="str">
        <x:v>張角</x:v>
      </x:c>
      <x:c r="D762" s="2" t="str">
        <x:v>汝南(野)</x:v>
      </x:c>
      <x:c r="E762" s="2" t="str">
        <x:v>汝南(野)</x:v>
      </x:c>
      <x:c r="F762" s="2" t="str">
        <x:v>汝南(野)</x:v>
      </x:c>
      <x:c r="G762" s="2" t="str">
        <x:v>x</x:v>
      </x:c>
      <x:c r="H762" s="2" t="str">
        <x:v>x</x:v>
      </x:c>
      <x:c r="I762" s="2" t="str">
        <x:v>x</x:v>
      </x:c>
      <x:c r="J762" s="2" t="str">
        <x:v>x</x:v>
      </x:c>
      <x:c r="K762" s="2" t="str">
        <x:v>x</x:v>
      </x:c>
      <x:c r="L762" s="2" t="str">
        <x:v>張角</x:v>
      </x:c>
    </x:row>
    <x:row r="763" ht="23" customHeight="1">
      <x:c r="A763" s="12" t="n">
        <x:v>755</x:v>
      </x:c>
      <x:c r="B763" s="2" t="str">
        <x:v>裴秀</x:v>
      </x:c>
      <x:c r="C763" s="2" t="str">
        <x:v>洛陽(-)</x:v>
      </x:c>
      <x:c r="D763" s="2" t="str">
        <x:v>洛陽(-)</x:v>
      </x:c>
      <x:c r="E763" s="2" t="str">
        <x:v>洛陽(-)</x:v>
      </x:c>
      <x:c r="F763" s="2" t="str">
        <x:v>洛陽(-)</x:v>
      </x:c>
      <x:c r="G763" s="2" t="str">
        <x:v>洛陽(-)</x:v>
      </x:c>
      <x:c r="H763" s="2" t="str">
        <x:v>洛陽(-)</x:v>
      </x:c>
      <x:c r="I763" s="2" t="str">
        <x:v>洛陽(-)</x:v>
      </x:c>
      <x:c r="J763" s="2" t="str">
        <x:v>洛陽(-)</x:v>
      </x:c>
      <x:c r="K763" s="2" t="str">
        <x:v>曹芳</x:v>
      </x:c>
      <x:c r="L763" s="2" t="str">
        <x:v>司馬懿</x:v>
      </x:c>
    </x:row>
    <x:row r="764" ht="23" customHeight="1">
      <x:c r="A764" s="12" t="n">
        <x:v>756</x:v>
      </x:c>
      <x:c r="B764" s="2" t="str">
        <x:v>裴潜</x:v>
      </x:c>
      <x:c r="C764" s="2" t="str">
        <x:v>洛陽(-)</x:v>
      </x:c>
      <x:c r="D764" s="2" t="str">
        <x:v>洛陽(-)</x:v>
      </x:c>
      <x:c r="E764" s="2" t="str">
        <x:v>洛陽(-)</x:v>
      </x:c>
      <x:c r="F764" s="2" t="str">
        <x:v>襄陽(-)</x:v>
      </x:c>
      <x:c r="G764" s="2" t="str">
        <x:v>長沙(未)</x:v>
      </x:c>
      <x:c r="H764" s="2" t="str">
        <x:v>曹操</x:v>
      </x:c>
      <x:c r="I764" s="2" t="str">
        <x:v>曹丕</x:v>
      </x:c>
      <x:c r="J764" s="2" t="str">
        <x:v>曹叡</x:v>
      </x:c>
      <x:c r="K764" s="2" t="str">
        <x:v>x</x:v>
      </x:c>
      <x:c r="L764" s="2" t="str">
        <x:v>洛陽(未)</x:v>
      </x:c>
    </x:row>
    <x:row r="765" ht="23" customHeight="1">
      <x:c r="A765" s="12" t="n">
        <x:v>757</x:v>
      </x:c>
      <x:c r="B765" s="2" t="str">
        <x:v>马云𫘧</x:v>
      </x:c>
      <x:c r="C765" s="2" t="str">
        <x:v>武威(-)</x:v>
      </x:c>
      <x:c r="D765" s="2" t="str">
        <x:v>武威(-)</x:v>
      </x:c>
      <x:c r="E765" s="2" t="str">
        <x:v>武威(-)</x:v>
      </x:c>
      <x:c r="F765" s="2" t="str">
        <x:v>馬騰</x:v>
      </x:c>
      <x:c r="G765" s="2" t="str">
        <x:v>馬騰</x:v>
      </x:c>
      <x:c r="H765" s="2" t="str">
        <x:v>劉備</x:v>
      </x:c>
      <x:c r="I765" s="2" t="str">
        <x:v>劉備</x:v>
      </x:c>
      <x:c r="J765" s="2" t="str">
        <x:v>x</x:v>
      </x:c>
      <x:c r="K765" s="2" t="str">
        <x:v>x</x:v>
      </x:c>
      <x:c r="L765" s="2" t="str">
        <x:v>馬騰</x:v>
      </x:c>
    </x:row>
    <x:row r="766" ht="23" customHeight="1">
      <x:c r="A766" s="12" t="n">
        <x:v>758</x:v>
      </x:c>
      <x:c r="B766" s="2" t="str">
        <x:v>马延</x:v>
      </x:c>
      <x:c r="C766" s="2" t="str">
        <x:v>鄴(-)</x:v>
      </x:c>
      <x:c r="D766" s="2" t="str">
        <x:v>鄴(未)</x:v>
      </x:c>
      <x:c r="E766" s="2" t="str">
        <x:v>袁紹</x:v>
      </x:c>
      <x:c r="F766" s="2" t="str">
        <x:v>袁紹</x:v>
      </x:c>
      <x:c r="G766" s="2" t="str">
        <x:v>曹操</x:v>
      </x:c>
      <x:c r="H766" s="2" t="str">
        <x:v>x</x:v>
      </x:c>
      <x:c r="I766" s="2" t="str">
        <x:v>x</x:v>
      </x:c>
      <x:c r="J766" s="2" t="str">
        <x:v>x</x:v>
      </x:c>
      <x:c r="K766" s="2" t="str">
        <x:v>x</x:v>
      </x:c>
      <x:c r="L766" s="2" t="str">
        <x:v>袁紹</x:v>
      </x:c>
    </x:row>
    <x:row r="767" ht="23" customHeight="1">
      <x:c r="A767" s="12" t="n">
        <x:v>759</x:v>
      </x:c>
      <x:c r="B767" s="2" t="str">
        <x:v>马玩</x:v>
      </x:c>
      <x:c r="C767" s="2" t="str">
        <x:v>武威(-)</x:v>
      </x:c>
      <x:c r="D767" s="2" t="str">
        <x:v>馬騰</x:v>
      </x:c>
      <x:c r="E767" s="2" t="str">
        <x:v>馬騰</x:v>
      </x:c>
      <x:c r="F767" s="2" t="str">
        <x:v>馬騰</x:v>
      </x:c>
      <x:c r="G767" s="2" t="str">
        <x:v>馬騰</x:v>
      </x:c>
      <x:c r="H767" s="2" t="str">
        <x:v>x</x:v>
      </x:c>
      <x:c r="I767" s="2" t="str">
        <x:v>x</x:v>
      </x:c>
      <x:c r="J767" s="2" t="str">
        <x:v>x</x:v>
      </x:c>
      <x:c r="K767" s="2" t="str">
        <x:v>x</x:v>
      </x:c>
      <x:c r="L767" s="2" t="str">
        <x:v>韓遂</x:v>
      </x:c>
    </x:row>
    <x:row r="768" ht="23" customHeight="1">
      <x:c r="A768" s="12" t="n">
        <x:v>760</x:v>
      </x:c>
      <x:c r="B768" s="2" t="str">
        <x:v>马休</x:v>
      </x:c>
      <x:c r="C768" s="2" t="str">
        <x:v>武威(-)</x:v>
      </x:c>
      <x:c r="D768" s="2" t="str">
        <x:v>武威(-)</x:v>
      </x:c>
      <x:c r="E768" s="2" t="str">
        <x:v>馬騰</x:v>
      </x:c>
      <x:c r="F768" s="2" t="str">
        <x:v>馬騰</x:v>
      </x:c>
      <x:c r="G768" s="2" t="str">
        <x:v>馬騰</x:v>
      </x:c>
      <x:c r="H768" s="2" t="str">
        <x:v>x</x:v>
      </x:c>
      <x:c r="I768" s="2" t="str">
        <x:v>x</x:v>
      </x:c>
      <x:c r="J768" s="2" t="str">
        <x:v>x</x:v>
      </x:c>
      <x:c r="K768" s="2" t="str">
        <x:v>x</x:v>
      </x:c>
      <x:c r="L768" s="2" t="str">
        <x:v>馬騰</x:v>
      </x:c>
    </x:row>
    <x:row r="769" ht="23" customHeight="1">
      <x:c r="A769" s="12" t="n">
        <x:v>761</x:v>
      </x:c>
      <x:c r="B769" s="2" t="str">
        <x:v>马钧</x:v>
      </x:c>
      <x:c r="C769" s="2" t="str">
        <x:v>安定(-)</x:v>
      </x:c>
      <x:c r="D769" s="2" t="str">
        <x:v>安定(-)</x:v>
      </x:c>
      <x:c r="E769" s="2" t="str">
        <x:v>安定(-)</x:v>
      </x:c>
      <x:c r="F769" s="2" t="str">
        <x:v>安定(-)</x:v>
      </x:c>
      <x:c r="G769" s="2" t="str">
        <x:v>安定(-)</x:v>
      </x:c>
      <x:c r="H769" s="2" t="str">
        <x:v>安定(-)</x:v>
      </x:c>
      <x:c r="I769" s="2" t="str">
        <x:v>安定(未)</x:v>
      </x:c>
      <x:c r="J769" s="2" t="str">
        <x:v>安定(未)</x:v>
      </x:c>
      <x:c r="K769" s="2" t="str">
        <x:v>曹芳</x:v>
      </x:c>
      <x:c r="L769" s="2" t="str">
        <x:v>安定(未)</x:v>
      </x:c>
    </x:row>
    <x:row r="770" ht="23" customHeight="1">
      <x:c r="A770" s="12" t="n">
        <x:v>762</x:v>
      </x:c>
      <x:c r="B770" s="2" t="str">
        <x:v>波才</x:v>
      </x:c>
      <x:c r="C770" s="2" t="str">
        <x:v>張角</x:v>
      </x:c>
      <x:c r="D770" s="2" t="str">
        <x:v>x</x:v>
      </x:c>
      <x:c r="E770" s="2" t="str">
        <x:v>x</x:v>
      </x:c>
      <x:c r="F770" s="2" t="str">
        <x:v>x</x:v>
      </x:c>
      <x:c r="G770" s="2" t="str">
        <x:v>x</x:v>
      </x:c>
      <x:c r="H770" s="2" t="str">
        <x:v>x</x:v>
      </x:c>
      <x:c r="I770" s="2" t="str">
        <x:v>x</x:v>
      </x:c>
      <x:c r="J770" s="2" t="str">
        <x:v>x</x:v>
      </x:c>
      <x:c r="K770" s="2" t="str">
        <x:v>x</x:v>
      </x:c>
      <x:c r="L770" s="2" t="str">
        <x:v>張角</x:v>
      </x:c>
    </x:row>
    <x:row r="771" ht="23" customHeight="1">
      <x:c r="A771" s="12" t="n">
        <x:v>763</x:v>
      </x:c>
      <x:c r="B771" s="2" t="str">
        <x:v>马日䃅</x:v>
      </x:c>
      <x:c r="C771" s="2" t="str">
        <x:v>何進</x:v>
      </x:c>
      <x:c r="D771" s="2" t="str">
        <x:v>董卓</x:v>
      </x:c>
      <x:c r="E771" s="2" t="str">
        <x:v>袁術</x:v>
      </x:c>
      <x:c r="F771" s="2" t="str">
        <x:v>x</x:v>
      </x:c>
      <x:c r="G771" s="2" t="str">
        <x:v>x</x:v>
      </x:c>
      <x:c r="H771" s="2" t="str">
        <x:v>x</x:v>
      </x:c>
      <x:c r="I771" s="2" t="str">
        <x:v>x</x:v>
      </x:c>
      <x:c r="J771" s="2" t="str">
        <x:v>x</x:v>
      </x:c>
      <x:c r="K771" s="2" t="str">
        <x:v>x</x:v>
      </x:c>
      <x:c r="L771" s="2" t="str">
        <x:v>何進</x:v>
      </x:c>
    </x:row>
    <x:row r="772" ht="23" customHeight="1">
      <x:c r="A772" s="12" t="n">
        <x:v>764</x:v>
      </x:c>
      <x:c r="B772" s="2" t="str">
        <x:v>马遵</x:v>
      </x:c>
      <x:c r="C772" s="2" t="str">
        <x:v>天水(-)</x:v>
      </x:c>
      <x:c r="D772" s="2" t="str">
        <x:v>天水(-)</x:v>
      </x:c>
      <x:c r="E772" s="2" t="str">
        <x:v>天水(-)</x:v>
      </x:c>
      <x:c r="F772" s="2" t="str">
        <x:v>天水(-)</x:v>
      </x:c>
      <x:c r="G772" s="2" t="str">
        <x:v>天水(-)</x:v>
      </x:c>
      <x:c r="H772" s="2" t="str">
        <x:v>曹操</x:v>
      </x:c>
      <x:c r="I772" s="2" t="str">
        <x:v>曹丕</x:v>
      </x:c>
      <x:c r="J772" s="2" t="str">
        <x:v>曹叡</x:v>
      </x:c>
      <x:c r="K772" s="2" t="str">
        <x:v>武威(野)</x:v>
      </x:c>
      <x:c r="L772" s="2" t="str">
        <x:v>天水(未)</x:v>
      </x:c>
    </x:row>
    <x:row r="773" ht="23" customHeight="1">
      <x:c r="A773" s="12" t="n">
        <x:v>765</x:v>
      </x:c>
      <x:c r="B773" s="2" t="str">
        <x:v>马谡</x:v>
      </x:c>
      <x:c r="C773" s="2" t="str">
        <x:v>襄陽(-)</x:v>
      </x:c>
      <x:c r="D773" s="2" t="str">
        <x:v>襄陽(-)</x:v>
      </x:c>
      <x:c r="E773" s="2" t="str">
        <x:v>襄陽(-)</x:v>
      </x:c>
      <x:c r="F773" s="2" t="str">
        <x:v>襄陽(-)</x:v>
      </x:c>
      <x:c r="G773" s="2" t="str">
        <x:v>襄陽(-)</x:v>
      </x:c>
      <x:c r="H773" s="2" t="str">
        <x:v>劉備</x:v>
      </x:c>
      <x:c r="I773" s="2" t="str">
        <x:v>劉備</x:v>
      </x:c>
      <x:c r="J773" s="2" t="str">
        <x:v>劉禪</x:v>
      </x:c>
      <x:c r="K773" s="2" t="str">
        <x:v>x</x:v>
      </x:c>
      <x:c r="L773" s="2" t="str">
        <x:v>劉備</x:v>
      </x:c>
    </x:row>
    <x:row r="774" ht="23" customHeight="1">
      <x:c r="A774" s="12" t="n">
        <x:v>766</x:v>
      </x:c>
      <x:c r="B774" s="2" t="str">
        <x:v>马岱</x:v>
      </x:c>
      <x:c r="C774" s="2" t="str">
        <x:v>武威(-)</x:v>
      </x:c>
      <x:c r="D774" s="2" t="str">
        <x:v>武威(-)</x:v>
      </x:c>
      <x:c r="E774" s="2" t="str">
        <x:v>武威(-)</x:v>
      </x:c>
      <x:c r="F774" s="2" t="str">
        <x:v>馬騰</x:v>
      </x:c>
      <x:c r="G774" s="2" t="str">
        <x:v>馬騰</x:v>
      </x:c>
      <x:c r="H774" s="2" t="str">
        <x:v>劉備</x:v>
      </x:c>
      <x:c r="I774" s="2" t="str">
        <x:v>劉備</x:v>
      </x:c>
      <x:c r="J774" s="2" t="str">
        <x:v>劉禪</x:v>
      </x:c>
      <x:c r="K774" s="2" t="str">
        <x:v>x</x:v>
      </x:c>
      <x:c r="L774" s="2" t="str">
        <x:v>馬騰</x:v>
      </x:c>
    </x:row>
    <x:row r="775" ht="23" customHeight="1">
      <x:c r="A775" s="12" t="n">
        <x:v>767</x:v>
      </x:c>
      <x:c r="B775" s="2" t="str">
        <x:v>马忠</x:v>
      </x:c>
      <x:c r="C775" s="2" t="str">
        <x:v>柴桑(-)</x:v>
      </x:c>
      <x:c r="D775" s="2" t="str">
        <x:v>柴桑(-)</x:v>
      </x:c>
      <x:c r="E775" s="2" t="str">
        <x:v>柴桑(-)</x:v>
      </x:c>
      <x:c r="F775" s="2" t="str">
        <x:v>柴桑(-)</x:v>
      </x:c>
      <x:c r="G775" s="2" t="str">
        <x:v>孫權</x:v>
      </x:c>
      <x:c r="H775" s="2" t="str">
        <x:v>孫權</x:v>
      </x:c>
      <x:c r="I775" s="2" t="str">
        <x:v>孫權</x:v>
      </x:c>
      <x:c r="J775" s="2" t="str">
        <x:v>x</x:v>
      </x:c>
      <x:c r="K775" s="2" t="str">
        <x:v>x</x:v>
      </x:c>
      <x:c r="L775" s="2" t="str">
        <x:v>柴桑(未)</x:v>
      </x:c>
    </x:row>
    <x:row r="776" ht="23" customHeight="1">
      <x:c r="A776" s="12" t="n">
        <x:v>768</x:v>
      </x:c>
      <x:c r="B776" s="2" t="str">
        <x:v>马忠</x:v>
      </x:c>
      <x:c r="C776" s="2" t="str">
        <x:v>梓潼(-)</x:v>
      </x:c>
      <x:c r="D776" s="2" t="str">
        <x:v>梓潼(-)</x:v>
      </x:c>
      <x:c r="E776" s="2" t="str">
        <x:v>梓潼(-)</x:v>
      </x:c>
      <x:c r="F776" s="2" t="str">
        <x:v>梓潼(-)</x:v>
      </x:c>
      <x:c r="G776" s="2" t="str">
        <x:v>梓潼(未)</x:v>
      </x:c>
      <x:c r="H776" s="2" t="str">
        <x:v>劉備</x:v>
      </x:c>
      <x:c r="I776" s="2" t="str">
        <x:v>劉備</x:v>
      </x:c>
      <x:c r="J776" s="2" t="str">
        <x:v>劉禪</x:v>
      </x:c>
      <x:c r="K776" s="2" t="str">
        <x:v>劉禪</x:v>
      </x:c>
      <x:c r="L776" s="2" t="str">
        <x:v>梓潼(未)</x:v>
      </x:c>
    </x:row>
    <x:row r="777" ht="23" customHeight="1">
      <x:c r="A777" s="12" t="n">
        <x:v>769</x:v>
      </x:c>
      <x:c r="B777" s="2" t="str">
        <x:v>马超</x:v>
      </x:c>
      <x:c r="C777" s="2" t="str">
        <x:v>武威(-)</x:v>
      </x:c>
      <x:c r="D777" s="2" t="str">
        <x:v>馬騰</x:v>
      </x:c>
      <x:c r="E777" s="2" t="str">
        <x:v>馬騰</x:v>
      </x:c>
      <x:c r="F777" s="2" t="str">
        <x:v>馬騰</x:v>
      </x:c>
      <x:c r="G777" s="2" t="str">
        <x:v>馬騰</x:v>
      </x:c>
      <x:c r="H777" s="2" t="str">
        <x:v>劉備</x:v>
      </x:c>
      <x:c r="I777" s="2" t="str">
        <x:v>劉備</x:v>
      </x:c>
      <x:c r="J777" s="2" t="str">
        <x:v>x</x:v>
      </x:c>
      <x:c r="K777" s="2" t="str">
        <x:v>x</x:v>
      </x:c>
      <x:c r="L777" s="2" t="str">
        <x:v>馬騰</x:v>
      </x:c>
    </x:row>
    <x:row r="778" ht="23" customHeight="1">
      <x:c r="A778" s="12" t="n">
        <x:v>770</x:v>
      </x:c>
      <x:c r="B778" s="2" t="str">
        <x:v>马铁</x:v>
      </x:c>
      <x:c r="C778" s="2" t="str">
        <x:v>武威(-)</x:v>
      </x:c>
      <x:c r="D778" s="2" t="str">
        <x:v>武威(-)</x:v>
      </x:c>
      <x:c r="E778" s="2" t="str">
        <x:v>馬騰</x:v>
      </x:c>
      <x:c r="F778" s="2" t="str">
        <x:v>馬騰</x:v>
      </x:c>
      <x:c r="G778" s="2" t="str">
        <x:v>馬騰</x:v>
      </x:c>
      <x:c r="H778" s="2" t="str">
        <x:v>x</x:v>
      </x:c>
      <x:c r="I778" s="2" t="str">
        <x:v>x</x:v>
      </x:c>
      <x:c r="J778" s="2" t="str">
        <x:v>x</x:v>
      </x:c>
      <x:c r="K778" s="2" t="str">
        <x:v>x</x:v>
      </x:c>
      <x:c r="L778" s="2" t="str">
        <x:v>馬騰</x:v>
      </x:c>
    </x:row>
    <x:row r="779" ht="23" customHeight="1">
      <x:c r="A779" s="12" t="n">
        <x:v>771</x:v>
      </x:c>
      <x:c r="B779" s="2" t="str">
        <x:v>马腾</x:v>
      </x:c>
      <x:c r="C779" s="2" t="str">
        <x:v>馬騰</x:v>
      </x:c>
      <x:c r="D779" s="2" t="str">
        <x:v>馬騰</x:v>
      </x:c>
      <x:c r="E779" s="2" t="str">
        <x:v>馬騰</x:v>
      </x:c>
      <x:c r="F779" s="2" t="str">
        <x:v>馬騰</x:v>
      </x:c>
      <x:c r="G779" s="2" t="str">
        <x:v>馬騰</x:v>
      </x:c>
      <x:c r="H779" s="2" t="str">
        <x:v>x</x:v>
      </x:c>
      <x:c r="I779" s="2" t="str">
        <x:v>x</x:v>
      </x:c>
      <x:c r="J779" s="2" t="str">
        <x:v>x</x:v>
      </x:c>
      <x:c r="K779" s="2" t="str">
        <x:v>x</x:v>
      </x:c>
      <x:c r="L779" s="2" t="str">
        <x:v>馬騰</x:v>
      </x:c>
    </x:row>
    <x:row r="780" ht="23" customHeight="1">
      <x:c r="A780" s="12" t="n">
        <x:v>772</x:v>
      </x:c>
      <x:c r="B780" s="2" t="str">
        <x:v>马邈</x:v>
      </x:c>
      <x:c r="C780" s="2" t="str">
        <x:v>梓潼(-)</x:v>
      </x:c>
      <x:c r="D780" s="2" t="str">
        <x:v>梓潼(-)</x:v>
      </x:c>
      <x:c r="E780" s="2" t="str">
        <x:v>梓潼(-)</x:v>
      </x:c>
      <x:c r="F780" s="2" t="str">
        <x:v>梓潼(-)</x:v>
      </x:c>
      <x:c r="G780" s="2" t="str">
        <x:v>梓潼(-)</x:v>
      </x:c>
      <x:c r="H780" s="2" t="str">
        <x:v>梓潼(-)</x:v>
      </x:c>
      <x:c r="I780" s="2" t="str">
        <x:v>梓潼(-)</x:v>
      </x:c>
      <x:c r="J780" s="2" t="str">
        <x:v>梓潼(-)</x:v>
      </x:c>
      <x:c r="K780" s="2" t="str">
        <x:v>劉禪</x:v>
      </x:c>
      <x:c r="L780" s="2" t="str">
        <x:v>梓潼(未)</x:v>
      </x:c>
    </x:row>
    <x:row r="781" ht="23" customHeight="1">
      <x:c r="A781" s="12" t="n">
        <x:v>773</x:v>
      </x:c>
      <x:c r="B781" s="2" t="str">
        <x:v>马隆</x:v>
      </x:c>
      <x:c r="C781" s="2" t="str">
        <x:v>濮陽(-)</x:v>
      </x:c>
      <x:c r="D781" s="2" t="str">
        <x:v>濮陽(-)</x:v>
      </x:c>
      <x:c r="E781" s="2" t="str">
        <x:v>濮陽(-)</x:v>
      </x:c>
      <x:c r="F781" s="2" t="str">
        <x:v>濮陽(-)</x:v>
      </x:c>
      <x:c r="G781" s="2" t="str">
        <x:v>濮陽(-)</x:v>
      </x:c>
      <x:c r="H781" s="2" t="str">
        <x:v>濮陽(-)</x:v>
      </x:c>
      <x:c r="I781" s="2" t="str">
        <x:v>濮陽(-)</x:v>
      </x:c>
      <x:c r="J781" s="2" t="str">
        <x:v>濮陽(-)</x:v>
      </x:c>
      <x:c r="K781" s="2" t="str">
        <x:v>濮陽(未)</x:v>
      </x:c>
      <x:c r="L781" s="2" t="str">
        <x:v>濮陽(未)</x:v>
      </x:c>
    </x:row>
    <x:row r="782" ht="23" customHeight="1">
      <x:c r="A782" s="12" t="n">
        <x:v>774</x:v>
      </x:c>
      <x:c r="B782" s="2" t="str">
        <x:v>马良</x:v>
      </x:c>
      <x:c r="C782" s="2" t="str">
        <x:v>襄陽(-)</x:v>
      </x:c>
      <x:c r="D782" s="2" t="str">
        <x:v>襄陽(-)</x:v>
      </x:c>
      <x:c r="E782" s="2" t="str">
        <x:v>襄陽(-)</x:v>
      </x:c>
      <x:c r="F782" s="2" t="str">
        <x:v>襄陽(-)</x:v>
      </x:c>
      <x:c r="G782" s="2" t="str">
        <x:v>襄陽(未)</x:v>
      </x:c>
      <x:c r="H782" s="2" t="str">
        <x:v>劉備</x:v>
      </x:c>
      <x:c r="I782" s="2" t="str">
        <x:v>劉備</x:v>
      </x:c>
      <x:c r="J782" s="2" t="str">
        <x:v>x</x:v>
      </x:c>
      <x:c r="K782" s="2" t="str">
        <x:v>x</x:v>
      </x:c>
      <x:c r="L782" s="2" t="str">
        <x:v>劉備</x:v>
      </x:c>
    </x:row>
    <x:row r="783" ht="23" customHeight="1">
      <x:c r="A783" s="12" t="n">
        <x:v>775</x:v>
      </x:c>
      <x:c r="B783" s="2" t="str">
        <x:v>万彧</x:v>
      </x:c>
      <x:c r="C783" s="2" t="str">
        <x:v>建業(-)</x:v>
      </x:c>
      <x:c r="D783" s="2" t="str">
        <x:v>建業(-)</x:v>
      </x:c>
      <x:c r="E783" s="2" t="str">
        <x:v>建業(-)</x:v>
      </x:c>
      <x:c r="F783" s="2" t="str">
        <x:v>建業(-)</x:v>
      </x:c>
      <x:c r="G783" s="2" t="str">
        <x:v>建業(-)</x:v>
      </x:c>
      <x:c r="H783" s="2" t="str">
        <x:v>建業(-)</x:v>
      </x:c>
      <x:c r="I783" s="2" t="str">
        <x:v>建業(-)</x:v>
      </x:c>
      <x:c r="J783" s="2" t="str">
        <x:v>建業(-)</x:v>
      </x:c>
      <x:c r="K783" s="2" t="str">
        <x:v>建業(-)</x:v>
      </x:c>
      <x:c r="L783" s="2" t="str">
        <x:v>建業(未)</x:v>
      </x:c>
    </x:row>
    <x:row r="784" ht="23" customHeight="1">
      <x:c r="A784" s="12" t="n">
        <x:v>776</x:v>
      </x:c>
      <x:c r="B784" s="2" t="str">
        <x:v>范彊</x:v>
      </x:c>
      <x:c r="C784" s="2" t="str">
        <x:v>永安(-)</x:v>
      </x:c>
      <x:c r="D784" s="2" t="str">
        <x:v>永安(-)</x:v>
      </x:c>
      <x:c r="E784" s="2" t="str">
        <x:v>永安(-)</x:v>
      </x:c>
      <x:c r="F784" s="2" t="str">
        <x:v>永安(-)</x:v>
      </x:c>
      <x:c r="G784" s="2" t="str">
        <x:v>永安(-)</x:v>
      </x:c>
      <x:c r="H784" s="2" t="str">
        <x:v>劉備</x:v>
      </x:c>
      <x:c r="I784" s="2" t="str">
        <x:v>孫權</x:v>
      </x:c>
      <x:c r="J784" s="2" t="str">
        <x:v>x</x:v>
      </x:c>
      <x:c r="K784" s="2" t="str">
        <x:v>x</x:v>
      </x:c>
      <x:c r="L784" s="2" t="str">
        <x:v>永安(未)</x:v>
      </x:c>
    </x:row>
    <x:row r="785" ht="23" customHeight="1">
      <x:c r="A785" s="12" t="n">
        <x:v>777</x:v>
      </x:c>
      <x:c r="B785" s="2" t="str">
        <x:v>樊建</x:v>
      </x:c>
      <x:c r="C785" s="2" t="str">
        <x:v>新野(-)</x:v>
      </x:c>
      <x:c r="D785" s="2" t="str">
        <x:v>新野(-)</x:v>
      </x:c>
      <x:c r="E785" s="2" t="str">
        <x:v>新野(-)</x:v>
      </x:c>
      <x:c r="F785" s="2" t="str">
        <x:v>新野(-)</x:v>
      </x:c>
      <x:c r="G785" s="2" t="str">
        <x:v>新野(-)</x:v>
      </x:c>
      <x:c r="H785" s="2" t="str">
        <x:v>新野(-)</x:v>
      </x:c>
      <x:c r="I785" s="2" t="str">
        <x:v>新野(-)</x:v>
      </x:c>
      <x:c r="J785" s="2" t="str">
        <x:v>劉禪</x:v>
      </x:c>
      <x:c r="K785" s="2" t="str">
        <x:v>劉禪</x:v>
      </x:c>
      <x:c r="L785" s="2" t="str">
        <x:v>新野(未)</x:v>
      </x:c>
    </x:row>
    <x:row r="786" ht="23" customHeight="1">
      <x:c r="A786" s="12" t="n">
        <x:v>778</x:v>
      </x:c>
      <x:c r="B786" s="2" t="str">
        <x:v>樊氏</x:v>
      </x:c>
      <x:c r="C786" s="2" t="str">
        <x:v>鄴(-)</x:v>
      </x:c>
      <x:c r="D786" s="2" t="str">
        <x:v>鄴(-)</x:v>
      </x:c>
      <x:c r="E786" s="2" t="str">
        <x:v>鄴(-)</x:v>
      </x:c>
      <x:c r="F786" s="2" t="str">
        <x:v>鄴(未)</x:v>
      </x:c>
      <x:c r="G786" s="2" t="str">
        <x:v>趙範</x:v>
      </x:c>
      <x:c r="H786" s="2" t="str">
        <x:v>x</x:v>
      </x:c>
      <x:c r="I786" s="2" t="str">
        <x:v>x</x:v>
      </x:c>
      <x:c r="J786" s="2" t="str">
        <x:v>x</x:v>
      </x:c>
      <x:c r="K786" s="2" t="str">
        <x:v>x</x:v>
      </x:c>
      <x:c r="L786" s="2" t="str">
        <x:v>趙範</x:v>
      </x:c>
    </x:row>
    <x:row r="787" ht="23" customHeight="1">
      <x:c r="A787" s="12" t="n">
        <x:v>779</x:v>
      </x:c>
      <x:c r="B787" s="2" t="str">
        <x:v>潘氏</x:v>
      </x:c>
      <x:c r="C787" s="2" t="str">
        <x:v>會稽(-)</x:v>
      </x:c>
      <x:c r="D787" s="2" t="str">
        <x:v>會稽(-)</x:v>
      </x:c>
      <x:c r="E787" s="2" t="str">
        <x:v>會稽(-)</x:v>
      </x:c>
      <x:c r="F787" s="2" t="str">
        <x:v>會稽(-)</x:v>
      </x:c>
      <x:c r="G787" s="2" t="str">
        <x:v>會稽(-)</x:v>
      </x:c>
      <x:c r="H787" s="2" t="str">
        <x:v>會稽(-)</x:v>
      </x:c>
      <x:c r="I787" s="2" t="str">
        <x:v>會稽(-)</x:v>
      </x:c>
      <x:c r="J787" s="2" t="str">
        <x:v>會稽(-)</x:v>
      </x:c>
      <x:c r="K787" s="2" t="str">
        <x:v>孫權</x:v>
      </x:c>
      <x:c r="L787" s="2" t="str">
        <x:v>孫堅</x:v>
      </x:c>
    </x:row>
    <x:row r="788" ht="23" customHeight="1">
      <x:c r="A788" s="12" t="n">
        <x:v>780</x:v>
      </x:c>
      <x:c r="B788" s="2" t="str">
        <x:v>潘濬</x:v>
      </x:c>
      <x:c r="C788" s="2" t="str">
        <x:v>武陵(-)</x:v>
      </x:c>
      <x:c r="D788" s="2" t="str">
        <x:v>武陵(-)</x:v>
      </x:c>
      <x:c r="E788" s="2" t="str">
        <x:v>武陵(未)</x:v>
      </x:c>
      <x:c r="F788" s="2" t="str">
        <x:v>武陵(未)</x:v>
      </x:c>
      <x:c r="G788" s="2" t="str">
        <x:v>劉表</x:v>
      </x:c>
      <x:c r="H788" s="2" t="str">
        <x:v>劉備</x:v>
      </x:c>
      <x:c r="I788" s="2" t="str">
        <x:v>孫權</x:v>
      </x:c>
      <x:c r="J788" s="2" t="str">
        <x:v>孫權</x:v>
      </x:c>
      <x:c r="K788" s="2" t="str">
        <x:v>x</x:v>
      </x:c>
      <x:c r="L788" s="2" t="str">
        <x:v>武陵(未)</x:v>
      </x:c>
    </x:row>
    <x:row r="789" ht="23" customHeight="1">
      <x:c r="A789" s="12" t="n">
        <x:v>781</x:v>
      </x:c>
      <x:c r="B789" s="2" t="str">
        <x:v>潘璋</x:v>
      </x:c>
      <x:c r="C789" s="2" t="str">
        <x:v>陳留(-)</x:v>
      </x:c>
      <x:c r="D789" s="2" t="str">
        <x:v>陳留(-)</x:v>
      </x:c>
      <x:c r="E789" s="2" t="str">
        <x:v>吳(-)</x:v>
      </x:c>
      <x:c r="F789" s="2" t="str">
        <x:v>孫策</x:v>
      </x:c>
      <x:c r="G789" s="2" t="str">
        <x:v>孫權</x:v>
      </x:c>
      <x:c r="H789" s="2" t="str">
        <x:v>孫權</x:v>
      </x:c>
      <x:c r="I789" s="2" t="str">
        <x:v>孫權</x:v>
      </x:c>
      <x:c r="J789" s="2" t="str">
        <x:v>x</x:v>
      </x:c>
      <x:c r="K789" s="2" t="str">
        <x:v>x</x:v>
      </x:c>
      <x:c r="L789" s="2" t="str">
        <x:v>陳留(未)</x:v>
      </x:c>
    </x:row>
    <x:row r="790" ht="23" customHeight="1">
      <x:c r="A790" s="12" t="n">
        <x:v>782</x:v>
      </x:c>
      <x:c r="B790" s="2" t="str">
        <x:v>樊稠</x:v>
      </x:c>
      <x:c r="C790" s="2" t="str">
        <x:v>董卓</x:v>
      </x:c>
      <x:c r="D790" s="2" t="str">
        <x:v>董卓</x:v>
      </x:c>
      <x:c r="E790" s="2" t="str">
        <x:v>x</x:v>
      </x:c>
      <x:c r="F790" s="2" t="str">
        <x:v>x</x:v>
      </x:c>
      <x:c r="G790" s="2" t="str">
        <x:v>x</x:v>
      </x:c>
      <x:c r="H790" s="2" t="str">
        <x:v>x</x:v>
      </x:c>
      <x:c r="I790" s="2" t="str">
        <x:v>x</x:v>
      </x:c>
      <x:c r="J790" s="2" t="str">
        <x:v>x</x:v>
      </x:c>
      <x:c r="K790" s="2" t="str">
        <x:v>x</x:v>
      </x:c>
      <x:c r="L790" s="2" t="str">
        <x:v>董卓</x:v>
      </x:c>
    </x:row>
    <x:row r="791" ht="23" customHeight="1">
      <x:c r="A791" s="12" t="n">
        <x:v>783</x:v>
      </x:c>
      <x:c r="B791" s="2" t="str">
        <x:v>樊能</x:v>
      </x:c>
      <x:c r="C791" s="2" t="str">
        <x:v>會稽(未)</x:v>
      </x:c>
      <x:c r="D791" s="2" t="str">
        <x:v>會稽(未)</x:v>
      </x:c>
      <x:c r="E791" s="2" t="str">
        <x:v>劉繇</x:v>
      </x:c>
      <x:c r="F791" s="2" t="str">
        <x:v>x</x:v>
      </x:c>
      <x:c r="G791" s="2" t="str">
        <x:v>x</x:v>
      </x:c>
      <x:c r="H791" s="2" t="str">
        <x:v>x</x:v>
      </x:c>
      <x:c r="I791" s="2" t="str">
        <x:v>x</x:v>
      </x:c>
      <x:c r="J791" s="2" t="str">
        <x:v>x</x:v>
      </x:c>
      <x:c r="K791" s="2" t="str">
        <x:v>x</x:v>
      </x:c>
      <x:c r="L791" s="2" t="str">
        <x:v>劉繇</x:v>
      </x:c>
    </x:row>
    <x:row r="792" ht="23" customHeight="1">
      <x:c r="A792" s="12" t="n">
        <x:v>784</x:v>
      </x:c>
      <x:c r="B792" s="2" t="str">
        <x:v>范方</x:v>
      </x:c>
      <x:c r="C792" s="2" t="str">
        <x:v>公孫瓚</x:v>
      </x:c>
      <x:c r="D792" s="2" t="str">
        <x:v>公孫瓚</x:v>
      </x:c>
      <x:c r="E792" s="2" t="str">
        <x:v>x</x:v>
      </x:c>
      <x:c r="F792" s="2" t="str">
        <x:v>x</x:v>
      </x:c>
      <x:c r="G792" s="2" t="str">
        <x:v>x</x:v>
      </x:c>
      <x:c r="H792" s="2" t="str">
        <x:v>x</x:v>
      </x:c>
      <x:c r="I792" s="2" t="str">
        <x:v>x</x:v>
      </x:c>
      <x:c r="J792" s="2" t="str">
        <x:v>x</x:v>
      </x:c>
      <x:c r="K792" s="2" t="str">
        <x:v>x</x:v>
      </x:c>
      <x:c r="L792" s="2" t="str">
        <x:v>公孫瓚</x:v>
      </x:c>
    </x:row>
    <x:row r="793" ht="23" customHeight="1">
      <x:c r="A793" s="12" t="n">
        <x:v>785</x:v>
      </x:c>
      <x:c r="B793" s="2" t="str">
        <x:v>潘凤</x:v>
      </x:c>
      <x:c r="C793" s="2" t="str">
        <x:v>鄴(未)</x:v>
      </x:c>
      <x:c r="D793" s="2" t="str">
        <x:v>韓馥</x:v>
      </x:c>
      <x:c r="E793" s="2" t="str">
        <x:v>x</x:v>
      </x:c>
      <x:c r="F793" s="2" t="str">
        <x:v>x</x:v>
      </x:c>
      <x:c r="G793" s="2" t="str">
        <x:v>x</x:v>
      </x:c>
      <x:c r="H793" s="2" t="str">
        <x:v>x</x:v>
      </x:c>
      <x:c r="I793" s="2" t="str">
        <x:v>x</x:v>
      </x:c>
      <x:c r="J793" s="2" t="str">
        <x:v>x</x:v>
      </x:c>
      <x:c r="K793" s="2" t="str">
        <x:v>x</x:v>
      </x:c>
      <x:c r="L793" s="2" t="str">
        <x:v>韓馥</x:v>
      </x:c>
    </x:row>
    <x:row r="794" ht="23" customHeight="1">
      <x:c r="A794" s="12" t="n">
        <x:v>786</x:v>
      </x:c>
      <x:c r="B794" s="2" t="str">
        <x:v>潘临</x:v>
      </x:c>
      <x:c r="C794" s="2" t="str">
        <x:v>會稽(未)</x:v>
      </x:c>
      <x:c r="D794" s="2" t="str">
        <x:v>會稽(未)</x:v>
      </x:c>
      <x:c r="E794" s="2" t="str">
        <x:v>會稽(未)</x:v>
      </x:c>
      <x:c r="F794" s="2" t="str">
        <x:v>會稽(未)</x:v>
      </x:c>
      <x:c r="G794" s="2" t="str">
        <x:v>會稽(野)</x:v>
      </x:c>
      <x:c r="H794" s="2" t="str">
        <x:v>會稽(野)</x:v>
      </x:c>
      <x:c r="I794" s="2" t="str">
        <x:v>會稽(野)</x:v>
      </x:c>
      <x:c r="J794" s="2" t="str">
        <x:v>x</x:v>
      </x:c>
      <x:c r="K794" s="2" t="str">
        <x:v>x</x:v>
      </x:c>
      <x:c r="L794" s="2" t="str">
        <x:v>會稽(未)</x:v>
      </x:c>
    </x:row>
    <x:row r="795" ht="23" customHeight="1">
      <x:c r="A795" s="12" t="n">
        <x:v>787</x:v>
      </x:c>
      <x:c r="B795" s="2" t="str">
        <x:v>费祎</x:v>
      </x:c>
      <x:c r="C795" s="2" t="str">
        <x:v>江夏(-)</x:v>
      </x:c>
      <x:c r="D795" s="2" t="str">
        <x:v>江夏(-)</x:v>
      </x:c>
      <x:c r="E795" s="2" t="str">
        <x:v>江夏(-)</x:v>
      </x:c>
      <x:c r="F795" s="2" t="str">
        <x:v>江州(-)</x:v>
      </x:c>
      <x:c r="G795" s="2" t="str">
        <x:v>江州(-)</x:v>
      </x:c>
      <x:c r="H795" s="2" t="str">
        <x:v>劉備</x:v>
      </x:c>
      <x:c r="I795" s="2" t="str">
        <x:v>劉備</x:v>
      </x:c>
      <x:c r="J795" s="2" t="str">
        <x:v>劉禪</x:v>
      </x:c>
      <x:c r="K795" s="2" t="str">
        <x:v>劉禪</x:v>
      </x:c>
      <x:c r="L795" s="2" t="str">
        <x:v>江夏(未)</x:v>
      </x:c>
    </x:row>
    <x:row r="796" ht="23" customHeight="1">
      <x:c r="A796" s="12" t="n">
        <x:v>788</x:v>
      </x:c>
      <x:c r="B796" s="2" t="str">
        <x:v>卑衍</x:v>
      </x:c>
      <x:c r="C796" s="2" t="str">
        <x:v>襄平(-)</x:v>
      </x:c>
      <x:c r="D796" s="2" t="str">
        <x:v>襄平(-)</x:v>
      </x:c>
      <x:c r="E796" s="2" t="str">
        <x:v>襄平(-)</x:v>
      </x:c>
      <x:c r="F796" s="2" t="str">
        <x:v>襄平(-)</x:v>
      </x:c>
      <x:c r="G796" s="2" t="str">
        <x:v>襄平(-)</x:v>
      </x:c>
      <x:c r="H796" s="2" t="str">
        <x:v>公孫恭</x:v>
      </x:c>
      <x:c r="I796" s="2" t="str">
        <x:v>公孫恭</x:v>
      </x:c>
      <x:c r="J796" s="2" t="str">
        <x:v>公孫恭</x:v>
      </x:c>
      <x:c r="K796" s="2" t="str">
        <x:v>x</x:v>
      </x:c>
      <x:c r="L796" s="2" t="str">
        <x:v>公孫度</x:v>
      </x:c>
    </x:row>
    <x:row r="797" ht="23" customHeight="1">
      <x:c r="A797" s="12" t="n">
        <x:v>789</x:v>
      </x:c>
      <x:c r="B797" s="2" t="str">
        <x:v>费观</x:v>
      </x:c>
      <x:c r="C797" s="2" t="str">
        <x:v>江夏(-)</x:v>
      </x:c>
      <x:c r="D797" s="2" t="str">
        <x:v>江夏(-)</x:v>
      </x:c>
      <x:c r="E797" s="2" t="str">
        <x:v>江夏(-)</x:v>
      </x:c>
      <x:c r="F797" s="2" t="str">
        <x:v>江州(-)</x:v>
      </x:c>
      <x:c r="G797" s="2" t="str">
        <x:v>劉璋</x:v>
      </x:c>
      <x:c r="H797" s="2" t="str">
        <x:v>劉備</x:v>
      </x:c>
      <x:c r="I797" s="2" t="str">
        <x:v>劉備</x:v>
      </x:c>
      <x:c r="J797" s="2" t="str">
        <x:v>x</x:v>
      </x:c>
      <x:c r="K797" s="2" t="str">
        <x:v>x</x:v>
      </x:c>
      <x:c r="L797" s="2" t="str">
        <x:v>江夏(未)</x:v>
      </x:c>
    </x:row>
    <x:row r="798" ht="23" customHeight="1">
      <x:c r="A798" s="12" t="n">
        <x:v>790</x:v>
      </x:c>
      <x:c r="B798" s="2" t="str">
        <x:v>费栈</x:v>
      </x:c>
      <x:c r="C798" s="2" t="str">
        <x:v>建業(-)</x:v>
      </x:c>
      <x:c r="D798" s="2" t="str">
        <x:v>建業(-)</x:v>
      </x:c>
      <x:c r="E798" s="2" t="str">
        <x:v>建業(-)</x:v>
      </x:c>
      <x:c r="F798" s="2" t="str">
        <x:v>建業(未)</x:v>
      </x:c>
      <x:c r="G798" s="2" t="str">
        <x:v>建業(未)</x:v>
      </x:c>
      <x:c r="H798" s="2" t="str">
        <x:v>x</x:v>
      </x:c>
      <x:c r="I798" s="2" t="str">
        <x:v>x</x:v>
      </x:c>
      <x:c r="J798" s="2" t="str">
        <x:v>x</x:v>
      </x:c>
      <x:c r="K798" s="2" t="str">
        <x:v>x</x:v>
      </x:c>
      <x:c r="L798" s="2" t="str">
        <x:v>建業(未)</x:v>
      </x:c>
    </x:row>
    <x:row r="799" ht="23" customHeight="1">
      <x:c r="A799" s="12" t="n">
        <x:v>791</x:v>
      </x:c>
      <x:c r="B799" s="2" t="str">
        <x:v>费诗</x:v>
      </x:c>
      <x:c r="C799" s="2" t="str">
        <x:v>成都(-)</x:v>
      </x:c>
      <x:c r="D799" s="2" t="str">
        <x:v>成都(-)</x:v>
      </x:c>
      <x:c r="E799" s="2" t="str">
        <x:v>成都(-)</x:v>
      </x:c>
      <x:c r="F799" s="2" t="str">
        <x:v>劉璋</x:v>
      </x:c>
      <x:c r="G799" s="2" t="str">
        <x:v>劉璋</x:v>
      </x:c>
      <x:c r="H799" s="2" t="str">
        <x:v>劉備</x:v>
      </x:c>
      <x:c r="I799" s="2" t="str">
        <x:v>劉備</x:v>
      </x:c>
      <x:c r="J799" s="2" t="str">
        <x:v>劉禪</x:v>
      </x:c>
      <x:c r="K799" s="2" t="str">
        <x:v>x</x:v>
      </x:c>
      <x:c r="L799" s="2" t="str">
        <x:v>成都(未)</x:v>
      </x:c>
    </x:row>
    <x:row r="800" ht="23" customHeight="1">
      <x:c r="A800" s="12" t="n">
        <x:v>792</x:v>
      </x:c>
      <x:c r="B800" s="2" t="str">
        <x:v>糜氏</x:v>
      </x:c>
      <x:c r="C800" s="2" t="str">
        <x:v>下邳(-)</x:v>
      </x:c>
      <x:c r="D800" s="2" t="str">
        <x:v>下邳(-)</x:v>
      </x:c>
      <x:c r="E800" s="2" t="str">
        <x:v>下邳(未)</x:v>
      </x:c>
      <x:c r="F800" s="2" t="str">
        <x:v>劉備</x:v>
      </x:c>
      <x:c r="G800" s="2" t="str">
        <x:v>劉備</x:v>
      </x:c>
      <x:c r="H800" s="2" t="str">
        <x:v>x</x:v>
      </x:c>
      <x:c r="I800" s="2" t="str">
        <x:v>x</x:v>
      </x:c>
      <x:c r="J800" s="2" t="str">
        <x:v>x</x:v>
      </x:c>
      <x:c r="K800" s="2" t="str">
        <x:v>x</x:v>
      </x:c>
      <x:c r="L800" s="2" t="str">
        <x:v>劉備</x:v>
      </x:c>
    </x:row>
    <x:row r="801" ht="23" customHeight="1">
      <x:c r="A801" s="12" t="n">
        <x:v>793</x:v>
      </x:c>
      <x:c r="B801" s="2" t="str">
        <x:v>糜竺</x:v>
      </x:c>
      <x:c r="C801" s="2" t="str">
        <x:v>下邳(未)</x:v>
      </x:c>
      <x:c r="D801" s="2" t="str">
        <x:v>陶謙</x:v>
      </x:c>
      <x:c r="E801" s="2" t="str">
        <x:v>陶謙</x:v>
      </x:c>
      <x:c r="F801" s="2" t="str">
        <x:v>劉備</x:v>
      </x:c>
      <x:c r="G801" s="2" t="str">
        <x:v>劉備</x:v>
      </x:c>
      <x:c r="H801" s="2" t="str">
        <x:v>劉備</x:v>
      </x:c>
      <x:c r="I801" s="2" t="str">
        <x:v>x</x:v>
      </x:c>
      <x:c r="J801" s="2" t="str">
        <x:v>x</x:v>
      </x:c>
      <x:c r="K801" s="2" t="str">
        <x:v>x</x:v>
      </x:c>
      <x:c r="L801" s="2" t="str">
        <x:v>劉備</x:v>
      </x:c>
    </x:row>
    <x:row r="802" ht="23" customHeight="1">
      <x:c r="A802" s="12" t="n">
        <x:v>794</x:v>
      </x:c>
      <x:c r="B802" s="2" t="str">
        <x:v>毕轨</x:v>
      </x:c>
      <x:c r="C802" s="2" t="str">
        <x:v>鄴(-)</x:v>
      </x:c>
      <x:c r="D802" s="2" t="str">
        <x:v>鄴(-)</x:v>
      </x:c>
      <x:c r="E802" s="2" t="str">
        <x:v>鄴(-)</x:v>
      </x:c>
      <x:c r="F802" s="2" t="str">
        <x:v>鄴(-)</x:v>
      </x:c>
      <x:c r="G802" s="2" t="str">
        <x:v>鄴(-)</x:v>
      </x:c>
      <x:c r="H802" s="2" t="str">
        <x:v>鄴(-)</x:v>
      </x:c>
      <x:c r="I802" s="2" t="str">
        <x:v>鄴(未)</x:v>
      </x:c>
      <x:c r="J802" s="2" t="str">
        <x:v>曹叡</x:v>
      </x:c>
      <x:c r="K802" s="2" t="str">
        <x:v>曹爽</x:v>
      </x:c>
      <x:c r="L802" s="2" t="str">
        <x:v>鄴(未)</x:v>
      </x:c>
    </x:row>
    <x:row r="803" ht="23" customHeight="1">
      <x:c r="A803" s="12" t="n">
        <x:v>795</x:v>
      </x:c>
      <x:c r="B803" s="2" t="str">
        <x:v>糜芳</x:v>
      </x:c>
      <x:c r="C803" s="2" t="str">
        <x:v>下邳(-)</x:v>
      </x:c>
      <x:c r="D803" s="2" t="str">
        <x:v>陶謙</x:v>
      </x:c>
      <x:c r="E803" s="2" t="str">
        <x:v>陶謙</x:v>
      </x:c>
      <x:c r="F803" s="2" t="str">
        <x:v>劉備</x:v>
      </x:c>
      <x:c r="G803" s="2" t="str">
        <x:v>劉備</x:v>
      </x:c>
      <x:c r="H803" s="2" t="str">
        <x:v>劉備</x:v>
      </x:c>
      <x:c r="I803" s="2" t="str">
        <x:v>孫權</x:v>
      </x:c>
      <x:c r="J803" s="2" t="str">
        <x:v>x</x:v>
      </x:c>
      <x:c r="K803" s="2" t="str">
        <x:v>x</x:v>
      </x:c>
      <x:c r="L803" s="2" t="str">
        <x:v>劉備</x:v>
      </x:c>
    </x:row>
    <x:row r="804" ht="23" customHeight="1">
      <x:c r="A804" s="12" t="n">
        <x:v>796</x:v>
      </x:c>
      <x:c r="B804" s="2" t="str">
        <x:v>费耀</x:v>
      </x:c>
      <x:c r="C804" s="2" t="str">
        <x:v>天水(-)</x:v>
      </x:c>
      <x:c r="D804" s="2" t="str">
        <x:v>天水(-)</x:v>
      </x:c>
      <x:c r="E804" s="2" t="str">
        <x:v>天水(-)</x:v>
      </x:c>
      <x:c r="F804" s="2" t="str">
        <x:v>天水(-)</x:v>
      </x:c>
      <x:c r="G804" s="2" t="str">
        <x:v>天水(-)</x:v>
      </x:c>
      <x:c r="H804" s="2" t="str">
        <x:v>曹操</x:v>
      </x:c>
      <x:c r="I804" s="2" t="str">
        <x:v>曹丕</x:v>
      </x:c>
      <x:c r="J804" s="2" t="str">
        <x:v>曹叡</x:v>
      </x:c>
      <x:c r="K804" s="2" t="str">
        <x:v>x</x:v>
      </x:c>
      <x:c r="L804" s="2" t="str">
        <x:v>天水(未)</x:v>
      </x:c>
    </x:row>
    <x:row r="805" ht="23" customHeight="1">
      <x:c r="A805" s="12" t="n">
        <x:v>797</x:v>
      </x:c>
      <x:c r="B805" s="2" t="str">
        <x:v>闵纯</x:v>
      </x:c>
      <x:c r="C805" s="2" t="str">
        <x:v>鄴(-)</x:v>
      </x:c>
      <x:c r="D805" s="2" t="str">
        <x:v>韓馥</x:v>
      </x:c>
      <x:c r="E805" s="2" t="str">
        <x:v>x</x:v>
      </x:c>
      <x:c r="F805" s="2" t="str">
        <x:v>x</x:v>
      </x:c>
      <x:c r="G805" s="2" t="str">
        <x:v>x</x:v>
      </x:c>
      <x:c r="H805" s="2" t="str">
        <x:v>x</x:v>
      </x:c>
      <x:c r="I805" s="2" t="str">
        <x:v>x</x:v>
      </x:c>
      <x:c r="J805" s="2" t="str">
        <x:v>x</x:v>
      </x:c>
      <x:c r="K805" s="2" t="str">
        <x:v>x</x:v>
      </x:c>
      <x:c r="L805" s="2" t="str">
        <x:v>韓馥</x:v>
      </x:c>
    </x:row>
    <x:row r="806" ht="23" customHeight="1">
      <x:c r="A806" s="12" t="n">
        <x:v>798</x:v>
      </x:c>
      <x:c r="B806" s="2" t="str">
        <x:v>武安国</x:v>
      </x:c>
      <x:c r="C806" s="2" t="str">
        <x:v>北海(未)</x:v>
      </x:c>
      <x:c r="D806" s="2" t="str">
        <x:v>孔融</x:v>
      </x:c>
      <x:c r="E806" s="2" t="str">
        <x:v>x</x:v>
      </x:c>
      <x:c r="F806" s="2" t="str">
        <x:v>x</x:v>
      </x:c>
      <x:c r="G806" s="2" t="str">
        <x:v>x</x:v>
      </x:c>
      <x:c r="H806" s="2" t="str">
        <x:v>x</x:v>
      </x:c>
      <x:c r="I806" s="2" t="str">
        <x:v>x</x:v>
      </x:c>
      <x:c r="J806" s="2" t="str">
        <x:v>x</x:v>
      </x:c>
      <x:c r="K806" s="2" t="str">
        <x:v>x</x:v>
      </x:c>
      <x:c r="L806" s="2" t="str">
        <x:v>孔融</x:v>
      </x:c>
    </x:row>
    <x:row r="807" ht="23" customHeight="1">
      <x:c r="A807" s="12" t="n">
        <x:v>799</x:v>
      </x:c>
      <x:c r="B807" s="2" t="str">
        <x:v>冯楷</x:v>
      </x:c>
      <x:c r="C807" s="2" t="str">
        <x:v>汝南(-)</x:v>
      </x:c>
      <x:c r="D807" s="2" t="str">
        <x:v>汝南(-)</x:v>
      </x:c>
      <x:c r="E807" s="2" t="str">
        <x:v>汝南(-)</x:v>
      </x:c>
      <x:c r="F807" s="2" t="str">
        <x:v>汝南(未)</x:v>
      </x:c>
      <x:c r="G807" s="2" t="str">
        <x:v>曹操</x:v>
      </x:c>
      <x:c r="H807" s="2" t="str">
        <x:v>曹操</x:v>
      </x:c>
      <x:c r="I807" s="2" t="str">
        <x:v>曹丕</x:v>
      </x:c>
      <x:c r="J807" s="2" t="str">
        <x:v>x</x:v>
      </x:c>
      <x:c r="K807" s="2" t="str">
        <x:v>x</x:v>
      </x:c>
      <x:c r="L807" s="2" t="str">
        <x:v>汝南(未)</x:v>
      </x:c>
    </x:row>
    <x:row r="808" ht="23" customHeight="1">
      <x:c r="A808" s="12" t="n">
        <x:v>800</x:v>
      </x:c>
      <x:c r="B808" s="2" t="str">
        <x:v>冯氏</x:v>
      </x:c>
      <x:c r="C808" s="2" t="str">
        <x:v>壽春(-)</x:v>
      </x:c>
      <x:c r="D808" s="2" t="str">
        <x:v>壽春(-)</x:v>
      </x:c>
      <x:c r="E808" s="2" t="str">
        <x:v>袁術</x:v>
      </x:c>
      <x:c r="F808" s="2" t="str">
        <x:v>x</x:v>
      </x:c>
      <x:c r="G808" s="2" t="str">
        <x:v>x</x:v>
      </x:c>
      <x:c r="H808" s="2" t="str">
        <x:v>x</x:v>
      </x:c>
      <x:c r="I808" s="2" t="str">
        <x:v>x</x:v>
      </x:c>
      <x:c r="J808" s="2" t="str">
        <x:v>x</x:v>
      </x:c>
      <x:c r="K808" s="2" t="str">
        <x:v>x</x:v>
      </x:c>
      <x:c r="L808" s="2" t="str">
        <x:v>袁術</x:v>
      </x:c>
    </x:row>
    <x:row r="809" ht="23" customHeight="1">
      <x:c r="A809" s="12" t="n">
        <x:v>801</x:v>
      </x:c>
      <x:c r="B809" s="2" t="str">
        <x:v>冯习</x:v>
      </x:c>
      <x:c r="C809" s="2" t="str">
        <x:v>江陵(-)</x:v>
      </x:c>
      <x:c r="D809" s="2" t="str">
        <x:v>江陵(-)</x:v>
      </x:c>
      <x:c r="E809" s="2" t="str">
        <x:v>江陵(-)</x:v>
      </x:c>
      <x:c r="F809" s="2" t="str">
        <x:v>江陵(-)</x:v>
      </x:c>
      <x:c r="G809" s="2" t="str">
        <x:v>江陵(未)</x:v>
      </x:c>
      <x:c r="H809" s="2" t="str">
        <x:v>劉備</x:v>
      </x:c>
      <x:c r="I809" s="2" t="str">
        <x:v>劉備</x:v>
      </x:c>
      <x:c r="J809" s="2" t="str">
        <x:v>x</x:v>
      </x:c>
      <x:c r="K809" s="2" t="str">
        <x:v>x</x:v>
      </x:c>
      <x:c r="L809" s="2" t="str">
        <x:v>江陵(未)</x:v>
      </x:c>
    </x:row>
    <x:row r="810" ht="23" customHeight="1">
      <x:c r="A810" s="12" t="n">
        <x:v>802</x:v>
      </x:c>
      <x:c r="B810" s="2" t="str">
        <x:v>傅婴</x:v>
      </x:c>
      <x:c r="C810" s="2" t="str">
        <x:v>建業(-)</x:v>
      </x:c>
      <x:c r="D810" s="2" t="str">
        <x:v>建業(-)</x:v>
      </x:c>
      <x:c r="E810" s="2" t="str">
        <x:v>建業(-)</x:v>
      </x:c>
      <x:c r="F810" s="2" t="str">
        <x:v>孫策</x:v>
      </x:c>
      <x:c r="G810" s="2" t="str">
        <x:v>孫權</x:v>
      </x:c>
      <x:c r="H810" s="2" t="str">
        <x:v>孫權</x:v>
      </x:c>
      <x:c r="I810" s="2" t="str">
        <x:v>孫權</x:v>
      </x:c>
      <x:c r="J810" s="2" t="str">
        <x:v>x</x:v>
      </x:c>
      <x:c r="K810" s="2" t="str">
        <x:v>x</x:v>
      </x:c>
      <x:c r="L810" s="2" t="str">
        <x:v>建業(未)</x:v>
      </x:c>
    </x:row>
    <x:row r="811" ht="23" customHeight="1">
      <x:c r="A811" s="12" t="n">
        <x:v>803</x:v>
      </x:c>
      <x:c r="B811" s="2" t="str">
        <x:v>傅嘏</x:v>
      </x:c>
      <x:c r="C811" s="2" t="str">
        <x:v>長安(-)</x:v>
      </x:c>
      <x:c r="D811" s="2" t="str">
        <x:v>長安(-)</x:v>
      </x:c>
      <x:c r="E811" s="2" t="str">
        <x:v>長安(-)</x:v>
      </x:c>
      <x:c r="F811" s="2" t="str">
        <x:v>長安(-)</x:v>
      </x:c>
      <x:c r="G811" s="2" t="str">
        <x:v>長安(-)</x:v>
      </x:c>
      <x:c r="H811" s="2" t="str">
        <x:v>長安(-)</x:v>
      </x:c>
      <x:c r="I811" s="2" t="str">
        <x:v>長安(-)</x:v>
      </x:c>
      <x:c r="J811" s="2" t="str">
        <x:v>長安(-)</x:v>
      </x:c>
      <x:c r="K811" s="2" t="str">
        <x:v>曹芳</x:v>
      </x:c>
      <x:c r="L811" s="2" t="str">
        <x:v>長安(未)</x:v>
      </x:c>
    </x:row>
    <x:row r="812" ht="23" customHeight="1">
      <x:c r="A812" s="12" t="n">
        <x:v>804</x:v>
      </x:c>
      <x:c r="B812" s="2" t="str">
        <x:v>傅干</x:v>
      </x:c>
      <x:c r="C812" s="2" t="str">
        <x:v>天水(-)</x:v>
      </x:c>
      <x:c r="D812" s="2" t="str">
        <x:v>馬騰</x:v>
      </x:c>
      <x:c r="E812" s="2" t="str">
        <x:v>馬騰</x:v>
      </x:c>
      <x:c r="F812" s="2" t="str">
        <x:v>馬騰</x:v>
      </x:c>
      <x:c r="G812" s="2" t="str">
        <x:v>馬騰</x:v>
      </x:c>
      <x:c r="H812" s="2" t="str">
        <x:v>曹操</x:v>
      </x:c>
      <x:c r="I812" s="2" t="str">
        <x:v>x</x:v>
      </x:c>
      <x:c r="J812" s="2" t="str">
        <x:v>x</x:v>
      </x:c>
      <x:c r="K812" s="2" t="str">
        <x:v>x</x:v>
      </x:c>
      <x:c r="L812" s="2" t="str">
        <x:v>天水(未)</x:v>
      </x:c>
    </x:row>
    <x:row r="813" ht="23" customHeight="1">
      <x:c r="A813" s="12" t="n">
        <x:v>805</x:v>
      </x:c>
      <x:c r="B813" s="2" t="str">
        <x:v>傅士仁</x:v>
      </x:c>
      <x:c r="C813" s="2" t="str">
        <x:v>薊(-)</x:v>
      </x:c>
      <x:c r="D813" s="2" t="str">
        <x:v>薊(-)</x:v>
      </x:c>
      <x:c r="E813" s="2" t="str">
        <x:v>薊(-)</x:v>
      </x:c>
      <x:c r="F813" s="2" t="str">
        <x:v>薊(-)</x:v>
      </x:c>
      <x:c r="G813" s="2" t="str">
        <x:v>薊(未)</x:v>
      </x:c>
      <x:c r="H813" s="2" t="str">
        <x:v>劉備</x:v>
      </x:c>
      <x:c r="I813" s="2" t="str">
        <x:v>孫權</x:v>
      </x:c>
      <x:c r="J813" s="2" t="str">
        <x:v>x</x:v>
      </x:c>
      <x:c r="K813" s="2" t="str">
        <x:v>x</x:v>
      </x:c>
      <x:c r="L813" s="2" t="str">
        <x:v>薊(未)</x:v>
      </x:c>
    </x:row>
    <x:row r="814" ht="23" customHeight="1">
      <x:c r="A814" s="12" t="n">
        <x:v>806</x:v>
      </x:c>
      <x:c r="B814" s="2" t="str">
        <x:v>傅佥</x:v>
      </x:c>
      <x:c r="C814" s="2" t="str">
        <x:v>新野(-)</x:v>
      </x:c>
      <x:c r="D814" s="2" t="str">
        <x:v>新野(-)</x:v>
      </x:c>
      <x:c r="E814" s="2" t="str">
        <x:v>新野(-)</x:v>
      </x:c>
      <x:c r="F814" s="2" t="str">
        <x:v>新野(-)</x:v>
      </x:c>
      <x:c r="G814" s="2" t="str">
        <x:v>新野(-)</x:v>
      </x:c>
      <x:c r="H814" s="2" t="str">
        <x:v>成都(-)</x:v>
      </x:c>
      <x:c r="I814" s="2" t="str">
        <x:v>成都(-)</x:v>
      </x:c>
      <x:c r="J814" s="2" t="str">
        <x:v>成都(-)</x:v>
      </x:c>
      <x:c r="K814" s="2" t="str">
        <x:v>劉禪</x:v>
      </x:c>
      <x:c r="L814" s="2" t="str">
        <x:v>新野(未)</x:v>
      </x:c>
    </x:row>
    <x:row r="815" ht="23" customHeight="1">
      <x:c r="A815" s="12" t="n">
        <x:v>807</x:v>
      </x:c>
      <x:c r="B815" s="2" t="str">
        <x:v>傅巽</x:v>
      </x:c>
      <x:c r="C815" s="2" t="str">
        <x:v>長安(未)</x:v>
      </x:c>
      <x:c r="D815" s="2" t="str">
        <x:v>長安(未)</x:v>
      </x:c>
      <x:c r="E815" s="2" t="str">
        <x:v>長安(未)</x:v>
      </x:c>
      <x:c r="F815" s="2" t="str">
        <x:v>劉表</x:v>
      </x:c>
      <x:c r="G815" s="2" t="str">
        <x:v>劉表</x:v>
      </x:c>
      <x:c r="H815" s="2" t="str">
        <x:v>曹操</x:v>
      </x:c>
      <x:c r="I815" s="2" t="str">
        <x:v>曹丕</x:v>
      </x:c>
      <x:c r="J815" s="2" t="str">
        <x:v>曹叡</x:v>
      </x:c>
      <x:c r="K815" s="2" t="str">
        <x:v>x</x:v>
      </x:c>
      <x:c r="L815" s="2" t="str">
        <x:v>長安(未)</x:v>
      </x:c>
    </x:row>
    <x:row r="816" ht="23" customHeight="1">
      <x:c r="A816" s="12" t="n">
        <x:v>808</x:v>
      </x:c>
      <x:c r="B816" s="2" t="str">
        <x:v>傅彤</x:v>
      </x:c>
      <x:c r="C816" s="2" t="str">
        <x:v>新野(-)</x:v>
      </x:c>
      <x:c r="D816" s="2" t="str">
        <x:v>新野(-)</x:v>
      </x:c>
      <x:c r="E816" s="2" t="str">
        <x:v>新野(-)</x:v>
      </x:c>
      <x:c r="F816" s="2" t="str">
        <x:v>新野(-)</x:v>
      </x:c>
      <x:c r="G816" s="2" t="str">
        <x:v>新野(未)</x:v>
      </x:c>
      <x:c r="H816" s="2" t="str">
        <x:v>劉備</x:v>
      </x:c>
      <x:c r="I816" s="2" t="str">
        <x:v>劉備</x:v>
      </x:c>
      <x:c r="J816" s="2" t="str">
        <x:v>x</x:v>
      </x:c>
      <x:c r="K816" s="2" t="str">
        <x:v>x</x:v>
      </x:c>
      <x:c r="L816" s="2" t="str">
        <x:v>新野(未)</x:v>
      </x:c>
    </x:row>
    <x:row r="817" ht="23" customHeight="1">
      <x:c r="A817" s="12" t="n">
        <x:v>809</x:v>
      </x:c>
      <x:c r="B817" s="2" t="str">
        <x:v>文鸯</x:v>
      </x:c>
      <x:c r="C817" s="2" t="str">
        <x:v>許昌(-)</x:v>
      </x:c>
      <x:c r="D817" s="2" t="str">
        <x:v>許昌(-)</x:v>
      </x:c>
      <x:c r="E817" s="2" t="str">
        <x:v>許昌(-)</x:v>
      </x:c>
      <x:c r="F817" s="2" t="str">
        <x:v>許昌(-)</x:v>
      </x:c>
      <x:c r="G817" s="2" t="str">
        <x:v>許昌(-)</x:v>
      </x:c>
      <x:c r="H817" s="2" t="str">
        <x:v>許昌(-)</x:v>
      </x:c>
      <x:c r="I817" s="2" t="str">
        <x:v>許昌(-)</x:v>
      </x:c>
      <x:c r="J817" s="2" t="str">
        <x:v>許昌(-)</x:v>
      </x:c>
      <x:c r="K817" s="2" t="str">
        <x:v>曹芳</x:v>
      </x:c>
      <x:c r="L817" s="2" t="str">
        <x:v>毌丘儉</x:v>
      </x:c>
    </x:row>
    <x:row r="818" ht="23" customHeight="1">
      <x:c r="A818" s="12" t="n">
        <x:v>810</x:v>
      </x:c>
      <x:c r="B818" s="2" t="str">
        <x:v>文钦</x:v>
      </x:c>
      <x:c r="C818" s="2" t="str">
        <x:v>許昌(-)</x:v>
      </x:c>
      <x:c r="D818" s="2" t="str">
        <x:v>許昌(-)</x:v>
      </x:c>
      <x:c r="E818" s="2" t="str">
        <x:v>許昌(-)</x:v>
      </x:c>
      <x:c r="F818" s="2" t="str">
        <x:v>許昌(-)</x:v>
      </x:c>
      <x:c r="G818" s="2" t="str">
        <x:v>許昌(-)</x:v>
      </x:c>
      <x:c r="H818" s="2" t="str">
        <x:v>曹操</x:v>
      </x:c>
      <x:c r="I818" s="2" t="str">
        <x:v>曹丕</x:v>
      </x:c>
      <x:c r="J818" s="2" t="str">
        <x:v>曹叡</x:v>
      </x:c>
      <x:c r="K818" s="2" t="str">
        <x:v>曹芳</x:v>
      </x:c>
      <x:c r="L818" s="2" t="str">
        <x:v>毌丘儉</x:v>
      </x:c>
    </x:row>
    <x:row r="819" ht="23" customHeight="1">
      <x:c r="A819" s="12" t="n">
        <x:v>811</x:v>
      </x:c>
      <x:c r="B819" s="2" t="str">
        <x:v>文虎</x:v>
      </x:c>
      <x:c r="C819" s="2" t="str">
        <x:v>許昌(-)</x:v>
      </x:c>
      <x:c r="D819" s="2" t="str">
        <x:v>許昌(-)</x:v>
      </x:c>
      <x:c r="E819" s="2" t="str">
        <x:v>許昌(-)</x:v>
      </x:c>
      <x:c r="F819" s="2" t="str">
        <x:v>許昌(-)</x:v>
      </x:c>
      <x:c r="G819" s="2" t="str">
        <x:v>許昌(-)</x:v>
      </x:c>
      <x:c r="H819" s="2" t="str">
        <x:v>許昌(-)</x:v>
      </x:c>
      <x:c r="I819" s="2" t="str">
        <x:v>許昌(-)</x:v>
      </x:c>
      <x:c r="J819" s="2" t="str">
        <x:v>許昌(-)</x:v>
      </x:c>
      <x:c r="K819" s="2" t="str">
        <x:v>曹芳</x:v>
      </x:c>
      <x:c r="L819" s="2" t="str">
        <x:v>毌丘儉</x:v>
      </x:c>
    </x:row>
    <x:row r="820" ht="23" customHeight="1">
      <x:c r="A820" s="12" t="n">
        <x:v>812</x:v>
      </x:c>
      <x:c r="B820" s="2" t="str">
        <x:v>文丑</x:v>
      </x:c>
      <x:c r="C820" s="2" t="str">
        <x:v>南皮(未)</x:v>
      </x:c>
      <x:c r="D820" s="2" t="str">
        <x:v>袁紹</x:v>
      </x:c>
      <x:c r="E820" s="2" t="str">
        <x:v>袁紹</x:v>
      </x:c>
      <x:c r="F820" s="2" t="str">
        <x:v>袁紹</x:v>
      </x:c>
      <x:c r="G820" s="2" t="str">
        <x:v>x</x:v>
      </x:c>
      <x:c r="H820" s="2" t="str">
        <x:v>x</x:v>
      </x:c>
      <x:c r="I820" s="2" t="str">
        <x:v>x</x:v>
      </x:c>
      <x:c r="J820" s="2" t="str">
        <x:v>x</x:v>
      </x:c>
      <x:c r="K820" s="2" t="str">
        <x:v>x</x:v>
      </x:c>
      <x:c r="L820" s="2" t="str">
        <x:v>袁紹</x:v>
      </x:c>
    </x:row>
    <x:row r="821" ht="23" customHeight="1">
      <x:c r="A821" s="12" t="n">
        <x:v>813</x:v>
      </x:c>
      <x:c r="B821" s="2" t="str">
        <x:v>文则</x:v>
      </x:c>
      <x:c r="C821" s="2" t="str">
        <x:v>北平(未)</x:v>
      </x:c>
      <x:c r="D821" s="2" t="str">
        <x:v>公孫瓚</x:v>
      </x:c>
      <x:c r="E821" s="2" t="str">
        <x:v>公孫瓚</x:v>
      </x:c>
      <x:c r="F821" s="2" t="str">
        <x:v>x</x:v>
      </x:c>
      <x:c r="G821" s="2" t="str">
        <x:v>x</x:v>
      </x:c>
      <x:c r="H821" s="2" t="str">
        <x:v>x</x:v>
      </x:c>
      <x:c r="I821" s="2" t="str">
        <x:v>x</x:v>
      </x:c>
      <x:c r="J821" s="2" t="str">
        <x:v>x</x:v>
      </x:c>
      <x:c r="K821" s="2" t="str">
        <x:v>x</x:v>
      </x:c>
      <x:c r="L821" s="2" t="str">
        <x:v>公孫瓚</x:v>
      </x:c>
    </x:row>
    <x:row r="822" ht="23" customHeight="1">
      <x:c r="A822" s="12" t="n">
        <x:v>814</x:v>
      </x:c>
      <x:c r="B822" s="2" t="str">
        <x:v>文聘</x:v>
      </x:c>
      <x:c r="C822" s="2" t="str">
        <x:v>宛(-)</x:v>
      </x:c>
      <x:c r="D822" s="2" t="str">
        <x:v>宛(-)</x:v>
      </x:c>
      <x:c r="E822" s="2" t="str">
        <x:v>宛(-)</x:v>
      </x:c>
      <x:c r="F822" s="2" t="str">
        <x:v>劉表</x:v>
      </x:c>
      <x:c r="G822" s="2" t="str">
        <x:v>劉表</x:v>
      </x:c>
      <x:c r="H822" s="2" t="str">
        <x:v>曹操</x:v>
      </x:c>
      <x:c r="I822" s="2" t="str">
        <x:v>曹丕</x:v>
      </x:c>
      <x:c r="J822" s="2" t="str">
        <x:v>曹叡</x:v>
      </x:c>
      <x:c r="K822" s="2" t="str">
        <x:v>x</x:v>
      </x:c>
      <x:c r="L822" s="2" t="str">
        <x:v>劉表</x:v>
      </x:c>
    </x:row>
    <x:row r="823" ht="23" customHeight="1">
      <x:c r="A823" s="12" t="n">
        <x:v>815</x:v>
      </x:c>
      <x:c r="B823" s="2" t="str">
        <x:v>卞喜</x:v>
      </x:c>
      <x:c r="C823" s="2" t="str">
        <x:v>張角</x:v>
      </x:c>
      <x:c r="D823" s="2" t="str">
        <x:v>晉陽(野)</x:v>
      </x:c>
      <x:c r="E823" s="2" t="str">
        <x:v>晉陽(野)</x:v>
      </x:c>
      <x:c r="F823" s="2" t="str">
        <x:v>曹操</x:v>
      </x:c>
      <x:c r="G823" s="2" t="str">
        <x:v>x</x:v>
      </x:c>
      <x:c r="H823" s="2" t="str">
        <x:v>x</x:v>
      </x:c>
      <x:c r="I823" s="2" t="str">
        <x:v>x</x:v>
      </x:c>
      <x:c r="J823" s="2" t="str">
        <x:v>x</x:v>
      </x:c>
      <x:c r="K823" s="2" t="str">
        <x:v>x</x:v>
      </x:c>
      <x:c r="L823" s="2" t="str">
        <x:v>張角</x:v>
      </x:c>
    </x:row>
    <x:row r="824" ht="23" customHeight="1">
      <x:c r="A824" s="12" t="n">
        <x:v>816</x:v>
      </x:c>
      <x:c r="B824" s="2" t="str">
        <x:v>卞氏</x:v>
      </x:c>
      <x:c r="C824" s="2" t="str">
        <x:v>何進</x:v>
      </x:c>
      <x:c r="D824" s="2" t="str">
        <x:v>曹操</x:v>
      </x:c>
      <x:c r="E824" s="2" t="str">
        <x:v>曹操</x:v>
      </x:c>
      <x:c r="F824" s="2" t="str">
        <x:v>曹操</x:v>
      </x:c>
      <x:c r="G824" s="2" t="str">
        <x:v>曹操</x:v>
      </x:c>
      <x:c r="H824" s="2" t="str">
        <x:v>曹操</x:v>
      </x:c>
      <x:c r="I824" s="2" t="str">
        <x:v>曹丕</x:v>
      </x:c>
      <x:c r="J824" s="2" t="str">
        <x:v>曹叡</x:v>
      </x:c>
      <x:c r="K824" s="2" t="str">
        <x:v>x</x:v>
      </x:c>
      <x:c r="L824" s="2" t="str">
        <x:v>曹操</x:v>
      </x:c>
    </x:row>
    <x:row r="825" ht="23" customHeight="1">
      <x:c r="A825" s="12" t="n">
        <x:v>817</x:v>
      </x:c>
      <x:c r="B825" s="2" t="str">
        <x:v>庞淯</x:v>
      </x:c>
      <x:c r="C825" s="2" t="str">
        <x:v>武威(-)</x:v>
      </x:c>
      <x:c r="D825" s="2" t="str">
        <x:v>武威(-)</x:v>
      </x:c>
      <x:c r="E825" s="2" t="str">
        <x:v>武威(-)</x:v>
      </x:c>
      <x:c r="F825" s="2" t="str">
        <x:v>武威(未)</x:v>
      </x:c>
      <x:c r="G825" s="2" t="str">
        <x:v>武威(未)</x:v>
      </x:c>
      <x:c r="H825" s="2" t="str">
        <x:v>武威(未)</x:v>
      </x:c>
      <x:c r="I825" s="2" t="str">
        <x:v>曹丕</x:v>
      </x:c>
      <x:c r="J825" s="2" t="str">
        <x:v>曹叡</x:v>
      </x:c>
      <x:c r="K825" s="2" t="str">
        <x:v>x</x:v>
      </x:c>
      <x:c r="L825" s="2" t="str">
        <x:v>武威(未)</x:v>
      </x:c>
    </x:row>
    <x:row r="826" ht="23" customHeight="1">
      <x:c r="A826" s="12" t="n">
        <x:v>818</x:v>
      </x:c>
      <x:c r="B826" s="2" t="str">
        <x:v>方悦</x:v>
      </x:c>
      <x:c r="C826" s="2" t="str">
        <x:v>晉陽(未)</x:v>
      </x:c>
      <x:c r="D826" s="2" t="str">
        <x:v>張楊</x:v>
      </x:c>
      <x:c r="E826" s="2" t="str">
        <x:v>x</x:v>
      </x:c>
      <x:c r="F826" s="2" t="str">
        <x:v>x</x:v>
      </x:c>
      <x:c r="G826" s="2" t="str">
        <x:v>x</x:v>
      </x:c>
      <x:c r="H826" s="2" t="str">
        <x:v>x</x:v>
      </x:c>
      <x:c r="I826" s="2" t="str">
        <x:v>x</x:v>
      </x:c>
      <x:c r="J826" s="2" t="str">
        <x:v>x</x:v>
      </x:c>
      <x:c r="K826" s="2" t="str">
        <x:v>x</x:v>
      </x:c>
      <x:c r="L826" s="2" t="str">
        <x:v>晉陽(未)</x:v>
      </x:c>
    </x:row>
    <x:row r="827" ht="23" customHeight="1">
      <x:c r="A827" s="12" t="n">
        <x:v>819</x:v>
      </x:c>
      <x:c r="B827" s="2" t="str">
        <x:v>赵娥</x:v>
      </x:c>
      <x:c r="C827" s="2" t="str">
        <x:v>武威(未)</x:v>
      </x:c>
      <x:c r="D827" s="2" t="str">
        <x:v>武威(未)</x:v>
      </x:c>
      <x:c r="E827" s="2" t="str">
        <x:v>武威(未)</x:v>
      </x:c>
      <x:c r="F827" s="2" t="str">
        <x:v>武威(未)</x:v>
      </x:c>
      <x:c r="G827" s="2" t="str">
        <x:v>武威(未)</x:v>
      </x:c>
      <x:c r="H827" s="2" t="str">
        <x:v>x</x:v>
      </x:c>
      <x:c r="I827" s="2" t="str">
        <x:v>x</x:v>
      </x:c>
      <x:c r="J827" s="2" t="str">
        <x:v>x</x:v>
      </x:c>
      <x:c r="K827" s="2" t="str">
        <x:v>x</x:v>
      </x:c>
      <x:c r="L827" s="2" t="str">
        <x:v>武威(未)</x:v>
      </x:c>
    </x:row>
    <x:row r="828" ht="23" customHeight="1">
      <x:c r="A828" s="12" t="n">
        <x:v>820</x:v>
      </x:c>
      <x:c r="B828" s="2" t="str">
        <x:v>庞会</x:v>
      </x:c>
      <x:c r="C828" s="2" t="str">
        <x:v>武威(-)</x:v>
      </x:c>
      <x:c r="D828" s="2" t="str">
        <x:v>武威(-)</x:v>
      </x:c>
      <x:c r="E828" s="2" t="str">
        <x:v>武威(-)</x:v>
      </x:c>
      <x:c r="F828" s="2" t="str">
        <x:v>武威(-)</x:v>
      </x:c>
      <x:c r="G828" s="2" t="str">
        <x:v>武威(-)</x:v>
      </x:c>
      <x:c r="H828" s="2" t="str">
        <x:v>武威(-)</x:v>
      </x:c>
      <x:c r="I828" s="2" t="str">
        <x:v>曹丕</x:v>
      </x:c>
      <x:c r="J828" s="2" t="str">
        <x:v>曹叡</x:v>
      </x:c>
      <x:c r="K828" s="2" t="str">
        <x:v>曹芳</x:v>
      </x:c>
      <x:c r="L828" s="2" t="str">
        <x:v>馬騰</x:v>
      </x:c>
    </x:row>
    <x:row r="829" ht="23" customHeight="1">
      <x:c r="A829" s="12" t="n">
        <x:v>821</x:v>
      </x:c>
      <x:c r="B829" s="2" t="str">
        <x:v>忙牙长</x:v>
      </x:c>
      <x:c r="C829" s="2" t="str">
        <x:v>雲南(-)</x:v>
      </x:c>
      <x:c r="D829" s="2" t="str">
        <x:v>雲南(-)</x:v>
      </x:c>
      <x:c r="E829" s="2" t="str">
        <x:v>雲南(-)</x:v>
      </x:c>
      <x:c r="F829" s="2" t="str">
        <x:v>雲南(-)</x:v>
      </x:c>
      <x:c r="G829" s="2" t="str">
        <x:v>雲南(-)</x:v>
      </x:c>
      <x:c r="H829" s="2" t="str">
        <x:v>雲南(未)</x:v>
      </x:c>
      <x:c r="I829" s="2" t="str">
        <x:v>雲南(未)</x:v>
      </x:c>
      <x:c r="J829" s="2" t="str">
        <x:v>x</x:v>
      </x:c>
      <x:c r="K829" s="2" t="str">
        <x:v>x</x:v>
      </x:c>
      <x:c r="L829" s="2" t="str">
        <x:v>孟獲</x:v>
      </x:c>
    </x:row>
    <x:row r="830" ht="23" customHeight="1">
      <x:c r="A830" s="12" t="n">
        <x:v>822</x:v>
      </x:c>
      <x:c r="B830" s="2" t="str">
        <x:v>逢纪</x:v>
      </x:c>
      <x:c r="C830" s="2" t="str">
        <x:v>南皮(未)</x:v>
      </x:c>
      <x:c r="D830" s="2" t="str">
        <x:v>袁紹</x:v>
      </x:c>
      <x:c r="E830" s="2" t="str">
        <x:v>袁紹</x:v>
      </x:c>
      <x:c r="F830" s="2" t="str">
        <x:v>袁紹</x:v>
      </x:c>
      <x:c r="G830" s="2" t="str">
        <x:v>x</x:v>
      </x:c>
      <x:c r="H830" s="2" t="str">
        <x:v>x</x:v>
      </x:c>
      <x:c r="I830" s="2" t="str">
        <x:v>x</x:v>
      </x:c>
      <x:c r="J830" s="2" t="str">
        <x:v>x</x:v>
      </x:c>
      <x:c r="K830" s="2" t="str">
        <x:v>x</x:v>
      </x:c>
      <x:c r="L830" s="2" t="str">
        <x:v>袁紹</x:v>
      </x:c>
    </x:row>
    <x:row r="831" ht="23" customHeight="1">
      <x:c r="A831" s="12" t="n">
        <x:v>823</x:v>
      </x:c>
      <x:c r="B831" s="2" t="str">
        <x:v>庞羲</x:v>
      </x:c>
      <x:c r="C831" s="2" t="str">
        <x:v>梓潼(未)</x:v>
      </x:c>
      <x:c r="D831" s="2" t="str">
        <x:v>劉焉</x:v>
      </x:c>
      <x:c r="E831" s="2" t="str">
        <x:v>劉璋</x:v>
      </x:c>
      <x:c r="F831" s="2" t="str">
        <x:v>劉璋</x:v>
      </x:c>
      <x:c r="G831" s="2" t="str">
        <x:v>劉璋</x:v>
      </x:c>
      <x:c r="H831" s="2" t="str">
        <x:v>劉備</x:v>
      </x:c>
      <x:c r="I831" s="2" t="str">
        <x:v>x</x:v>
      </x:c>
      <x:c r="J831" s="2" t="str">
        <x:v>x</x:v>
      </x:c>
      <x:c r="K831" s="2" t="str">
        <x:v>x</x:v>
      </x:c>
      <x:c r="L831" s="2" t="str">
        <x:v>劉焉</x:v>
      </x:c>
    </x:row>
    <x:row r="832" ht="23" customHeight="1">
      <x:c r="A832" s="12" t="n">
        <x:v>824</x:v>
      </x:c>
      <x:c r="B832" s="2" t="str">
        <x:v>鲍勋</x:v>
      </x:c>
      <x:c r="C832" s="2" t="str">
        <x:v>濮陽(-)</x:v>
      </x:c>
      <x:c r="D832" s="2" t="str">
        <x:v>濮陽(-)</x:v>
      </x:c>
      <x:c r="E832" s="2" t="str">
        <x:v>濮陽(-)</x:v>
      </x:c>
      <x:c r="F832" s="2" t="str">
        <x:v>濮陽(未)</x:v>
      </x:c>
      <x:c r="G832" s="2" t="str">
        <x:v>濮陽(未)</x:v>
      </x:c>
      <x:c r="H832" s="2" t="str">
        <x:v>曹操</x:v>
      </x:c>
      <x:c r="I832" s="2" t="str">
        <x:v>曹丕</x:v>
      </x:c>
      <x:c r="J832" s="2" t="str">
        <x:v>x</x:v>
      </x:c>
      <x:c r="K832" s="2" t="str">
        <x:v>x</x:v>
      </x:c>
      <x:c r="L832" s="2" t="str">
        <x:v>劉岱</x:v>
      </x:c>
    </x:row>
    <x:row r="833" ht="23" customHeight="1">
      <x:c r="A833" s="12" t="n">
        <x:v>825</x:v>
      </x:c>
      <x:c r="B833" s="2" t="str">
        <x:v>鲍三娘</x:v>
      </x:c>
      <x:c r="C833" s="2" t="str">
        <x:v>江陵(-)</x:v>
      </x:c>
      <x:c r="D833" s="2" t="str">
        <x:v>江陵(-)</x:v>
      </x:c>
      <x:c r="E833" s="2" t="str">
        <x:v>江陵(-)</x:v>
      </x:c>
      <x:c r="F833" s="2" t="str">
        <x:v>江陵(-)</x:v>
      </x:c>
      <x:c r="G833" s="2" t="str">
        <x:v>江陵(-)</x:v>
      </x:c>
      <x:c r="H833" s="2" t="str">
        <x:v>江陵(-)</x:v>
      </x:c>
      <x:c r="I833" s="2" t="str">
        <x:v>劉備</x:v>
      </x:c>
      <x:c r="J833" s="2" t="str">
        <x:v>劉禪</x:v>
      </x:c>
      <x:c r="K833" s="2" t="str">
        <x:v>x</x:v>
      </x:c>
      <x:c r="L833" s="2" t="str">
        <x:v>江陵(未)</x:v>
      </x:c>
    </x:row>
    <x:row r="834" ht="23" customHeight="1">
      <x:c r="A834" s="12" t="n">
        <x:v>826</x:v>
      </x:c>
      <x:c r="B834" s="2" t="str">
        <x:v>鲍信</x:v>
      </x:c>
      <x:c r="C834" s="2" t="str">
        <x:v>何進</x:v>
      </x:c>
      <x:c r="D834" s="2" t="str">
        <x:v>劉岱</x:v>
      </x:c>
      <x:c r="E834" s="2" t="str">
        <x:v>x</x:v>
      </x:c>
      <x:c r="F834" s="2" t="str">
        <x:v>x</x:v>
      </x:c>
      <x:c r="G834" s="2" t="str">
        <x:v>x</x:v>
      </x:c>
      <x:c r="H834" s="2" t="str">
        <x:v>x</x:v>
      </x:c>
      <x:c r="I834" s="2" t="str">
        <x:v>x</x:v>
      </x:c>
      <x:c r="J834" s="2" t="str">
        <x:v>x</x:v>
      </x:c>
      <x:c r="K834" s="2" t="str">
        <x:v>x</x:v>
      </x:c>
      <x:c r="L834" s="2" t="str">
        <x:v>劉岱</x:v>
      </x:c>
    </x:row>
    <x:row r="835" ht="23" customHeight="1">
      <x:c r="A835" s="12" t="n">
        <x:v>827</x:v>
      </x:c>
      <x:c r="B835" s="2" t="str">
        <x:v>法正</x:v>
      </x:c>
      <x:c r="C835" s="2" t="str">
        <x:v>長安(-)</x:v>
      </x:c>
      <x:c r="D835" s="2" t="str">
        <x:v>長安(-)</x:v>
      </x:c>
      <x:c r="E835" s="2" t="str">
        <x:v>長安(-)</x:v>
      </x:c>
      <x:c r="F835" s="2" t="str">
        <x:v>劉璋</x:v>
      </x:c>
      <x:c r="G835" s="2" t="str">
        <x:v>劉璋</x:v>
      </x:c>
      <x:c r="H835" s="2" t="str">
        <x:v>劉備</x:v>
      </x:c>
      <x:c r="I835" s="2" t="str">
        <x:v>x</x:v>
      </x:c>
      <x:c r="J835" s="2" t="str">
        <x:v>x</x:v>
      </x:c>
      <x:c r="K835" s="2" t="str">
        <x:v>x</x:v>
      </x:c>
      <x:c r="L835" s="2" t="str">
        <x:v>孟達</x:v>
      </x:c>
    </x:row>
    <x:row r="836" ht="23" customHeight="1">
      <x:c r="A836" s="12" t="n">
        <x:v>828</x:v>
      </x:c>
      <x:c r="B836" s="2" t="str">
        <x:v>庞统</x:v>
      </x:c>
      <x:c r="C836" s="2" t="str">
        <x:v>襄陽(-)</x:v>
      </x:c>
      <x:c r="D836" s="2" t="str">
        <x:v>襄陽(-)</x:v>
      </x:c>
      <x:c r="E836" s="2" t="str">
        <x:v>襄陽(-)</x:v>
      </x:c>
      <x:c r="F836" s="2" t="str">
        <x:v>襄陽(-)</x:v>
      </x:c>
      <x:c r="G836" s="2" t="str">
        <x:v>襄陽(-)</x:v>
      </x:c>
      <x:c r="H836" s="2" t="str">
        <x:v>x</x:v>
      </x:c>
      <x:c r="I836" s="2" t="str">
        <x:v>x</x:v>
      </x:c>
      <x:c r="J836" s="2" t="str">
        <x:v>x</x:v>
      </x:c>
      <x:c r="K836" s="2" t="str">
        <x:v>x</x:v>
      </x:c>
      <x:c r="L836" s="2" t="str">
        <x:v>劉備</x:v>
      </x:c>
    </x:row>
    <x:row r="837" ht="23" customHeight="1">
      <x:c r="A837" s="12" t="n">
        <x:v>829</x:v>
      </x:c>
      <x:c r="B837" s="2" t="str">
        <x:v>鲍韬</x:v>
      </x:c>
      <x:c r="C837" s="2" t="str">
        <x:v>濮陽(未)</x:v>
      </x:c>
      <x:c r="D837" s="2" t="str">
        <x:v>劉岱</x:v>
      </x:c>
      <x:c r="E837" s="2" t="str">
        <x:v>x</x:v>
      </x:c>
      <x:c r="F837" s="2" t="str">
        <x:v>x</x:v>
      </x:c>
      <x:c r="G837" s="2" t="str">
        <x:v>x</x:v>
      </x:c>
      <x:c r="H837" s="2" t="str">
        <x:v>x</x:v>
      </x:c>
      <x:c r="I837" s="2" t="str">
        <x:v>x</x:v>
      </x:c>
      <x:c r="J837" s="2" t="str">
        <x:v>x</x:v>
      </x:c>
      <x:c r="K837" s="2" t="str">
        <x:v>x</x:v>
      </x:c>
      <x:c r="L837" s="2" t="str">
        <x:v>劉岱</x:v>
      </x:c>
    </x:row>
    <x:row r="838" ht="23" customHeight="1">
      <x:c r="A838" s="12" t="n">
        <x:v>830</x:v>
      </x:c>
      <x:c r="B838" s="2" t="str">
        <x:v>庞德</x:v>
      </x:c>
      <x:c r="C838" s="2" t="str">
        <x:v>馬騰</x:v>
      </x:c>
      <x:c r="D838" s="2" t="str">
        <x:v>馬騰</x:v>
      </x:c>
      <x:c r="E838" s="2" t="str">
        <x:v>馬騰</x:v>
      </x:c>
      <x:c r="F838" s="2" t="str">
        <x:v>馬騰</x:v>
      </x:c>
      <x:c r="G838" s="2" t="str">
        <x:v>馬騰</x:v>
      </x:c>
      <x:c r="H838" s="2" t="str">
        <x:v>曹操</x:v>
      </x:c>
      <x:c r="I838" s="2" t="str">
        <x:v>x</x:v>
      </x:c>
      <x:c r="J838" s="2" t="str">
        <x:v>x</x:v>
      </x:c>
      <x:c r="K838" s="2" t="str">
        <x:v>x</x:v>
      </x:c>
      <x:c r="L838" s="2" t="str">
        <x:v>馬騰</x:v>
      </x:c>
    </x:row>
    <x:row r="839" ht="23" customHeight="1">
      <x:c r="A839" s="12" t="n">
        <x:v>831</x:v>
      </x:c>
      <x:c r="B839" s="2" t="str">
        <x:v>鲍隆</x:v>
      </x:c>
      <x:c r="C839" s="2" t="str">
        <x:v>桂陽(-)</x:v>
      </x:c>
      <x:c r="D839" s="2" t="str">
        <x:v>桂陽(-)</x:v>
      </x:c>
      <x:c r="E839" s="2" t="str">
        <x:v>桂陽(-)</x:v>
      </x:c>
      <x:c r="F839" s="2" t="str">
        <x:v>桂陽(-)</x:v>
      </x:c>
      <x:c r="G839" s="2" t="str">
        <x:v>趙範</x:v>
      </x:c>
      <x:c r="H839" s="2" t="str">
        <x:v>x</x:v>
      </x:c>
      <x:c r="I839" s="2" t="str">
        <x:v>x</x:v>
      </x:c>
      <x:c r="J839" s="2" t="str">
        <x:v>x</x:v>
      </x:c>
      <x:c r="K839" s="2" t="str">
        <x:v>x</x:v>
      </x:c>
      <x:c r="L839" s="2" t="str">
        <x:v>趙範</x:v>
      </x:c>
    </x:row>
    <x:row r="840" ht="23" customHeight="1">
      <x:c r="A840" s="12" t="n">
        <x:v>832</x:v>
      </x:c>
      <x:c r="B840" s="2" t="str">
        <x:v>庞林</x:v>
      </x:c>
      <x:c r="C840" s="2" t="str">
        <x:v>襄陽(-)</x:v>
      </x:c>
      <x:c r="D840" s="2" t="str">
        <x:v>襄陽(-)</x:v>
      </x:c>
      <x:c r="E840" s="2" t="str">
        <x:v>襄陽(-)</x:v>
      </x:c>
      <x:c r="F840" s="2" t="str">
        <x:v>襄陽(-)</x:v>
      </x:c>
      <x:c r="G840" s="2" t="str">
        <x:v>襄陽(-)</x:v>
      </x:c>
      <x:c r="H840" s="2" t="str">
        <x:v>劉備</x:v>
      </x:c>
      <x:c r="I840" s="2" t="str">
        <x:v>劉備</x:v>
      </x:c>
      <x:c r="J840" s="2" t="str">
        <x:v>曹叡</x:v>
      </x:c>
      <x:c r="K840" s="2" t="str">
        <x:v>x</x:v>
      </x:c>
      <x:c r="L840" s="2" t="str">
        <x:v>劉備</x:v>
      </x:c>
    </x:row>
    <x:row r="841" ht="23" customHeight="1">
      <x:c r="A841" s="12" t="n">
        <x:v>833</x:v>
      </x:c>
      <x:c r="B841" s="2" t="str">
        <x:v>步协</x:v>
      </x:c>
      <x:c r="C841" s="2" t="str">
        <x:v>廣陵(-)</x:v>
      </x:c>
      <x:c r="D841" s="2" t="str">
        <x:v>廣陵(-)</x:v>
      </x:c>
      <x:c r="E841" s="2" t="str">
        <x:v>吳(-)</x:v>
      </x:c>
      <x:c r="F841" s="2" t="str">
        <x:v>吳(-)</x:v>
      </x:c>
      <x:c r="G841" s="2" t="str">
        <x:v>吳(-)</x:v>
      </x:c>
      <x:c r="H841" s="2" t="str">
        <x:v>吳(-)</x:v>
      </x:c>
      <x:c r="I841" s="2" t="str">
        <x:v>吳(-)</x:v>
      </x:c>
      <x:c r="J841" s="2" t="str">
        <x:v>吳(-)</x:v>
      </x:c>
      <x:c r="K841" s="2" t="str">
        <x:v>孫權</x:v>
      </x:c>
      <x:c r="L841" s="2" t="str">
        <x:v>廣陵(未)</x:v>
      </x:c>
    </x:row>
    <x:row r="842" ht="23" customHeight="1">
      <x:c r="A842" s="12" t="n">
        <x:v>834</x:v>
      </x:c>
      <x:c r="B842" s="2" t="str">
        <x:v>辅匡</x:v>
      </x:c>
      <x:c r="C842" s="2" t="str">
        <x:v>襄陽(-)</x:v>
      </x:c>
      <x:c r="D842" s="2" t="str">
        <x:v>襄陽(-)</x:v>
      </x:c>
      <x:c r="E842" s="2" t="str">
        <x:v>襄陽(未)</x:v>
      </x:c>
      <x:c r="F842" s="2" t="str">
        <x:v>襄陽(未)</x:v>
      </x:c>
      <x:c r="G842" s="2" t="str">
        <x:v>襄陽(未)</x:v>
      </x:c>
      <x:c r="H842" s="2" t="str">
        <x:v>劉備</x:v>
      </x:c>
      <x:c r="I842" s="2" t="str">
        <x:v>劉備</x:v>
      </x:c>
      <x:c r="J842" s="2" t="str">
        <x:v>劉禪</x:v>
      </x:c>
      <x:c r="K842" s="2" t="str">
        <x:v>x</x:v>
      </x:c>
      <x:c r="L842" s="2" t="str">
        <x:v>襄陽(未)</x:v>
      </x:c>
    </x:row>
    <x:row r="843" ht="23" customHeight="1">
      <x:c r="A843" s="12" t="n">
        <x:v>835</x:v>
      </x:c>
      <x:c r="B843" s="2" t="str">
        <x:v>穆顺</x:v>
      </x:c>
      <x:c r="C843" s="2" t="str">
        <x:v>晉陽(未)</x:v>
      </x:c>
      <x:c r="D843" s="2" t="str">
        <x:v>張楊</x:v>
      </x:c>
      <x:c r="E843" s="2" t="str">
        <x:v>x</x:v>
      </x:c>
      <x:c r="F843" s="2" t="str">
        <x:v>x</x:v>
      </x:c>
      <x:c r="G843" s="2" t="str">
        <x:v>x</x:v>
      </x:c>
      <x:c r="H843" s="2" t="str">
        <x:v>x</x:v>
      </x:c>
      <x:c r="I843" s="2" t="str">
        <x:v>x</x:v>
      </x:c>
      <x:c r="J843" s="2" t="str">
        <x:v>x</x:v>
      </x:c>
      <x:c r="K843" s="2" t="str">
        <x:v>x</x:v>
      </x:c>
      <x:c r="L843" s="2" t="str">
        <x:v>丁原</x:v>
      </x:c>
    </x:row>
    <x:row r="844" ht="23" customHeight="1">
      <x:c r="A844" s="12" t="n">
        <x:v>836</x:v>
      </x:c>
      <x:c r="B844" s="2" t="str">
        <x:v>濮阳兴</x:v>
      </x:c>
      <x:c r="C844" s="2" t="str">
        <x:v>濮陽(-)</x:v>
      </x:c>
      <x:c r="D844" s="2" t="str">
        <x:v>濮陽(-)</x:v>
      </x:c>
      <x:c r="E844" s="2" t="str">
        <x:v>濮陽(-)</x:v>
      </x:c>
      <x:c r="F844" s="2" t="str">
        <x:v>濮陽(-)</x:v>
      </x:c>
      <x:c r="G844" s="2" t="str">
        <x:v>濮陽(-)</x:v>
      </x:c>
      <x:c r="H844" s="2" t="str">
        <x:v>濮陽(-)</x:v>
      </x:c>
      <x:c r="I844" s="2" t="str">
        <x:v>濮陽(-)</x:v>
      </x:c>
      <x:c r="J844" s="2" t="str">
        <x:v>濮陽(-)</x:v>
      </x:c>
      <x:c r="K844" s="2" t="str">
        <x:v>孫權</x:v>
      </x:c>
      <x:c r="L844" s="2" t="str">
        <x:v>濮陽(未)</x:v>
      </x:c>
    </x:row>
    <x:row r="845" ht="23" customHeight="1">
      <x:c r="A845" s="12" t="n">
        <x:v>837</x:v>
      </x:c>
      <x:c r="B845" s="2" t="str">
        <x:v>木鹿大王</x:v>
      </x:c>
      <x:c r="C845" s="2" t="str">
        <x:v>雲南(-)</x:v>
      </x:c>
      <x:c r="D845" s="2" t="str">
        <x:v>雲南(-)</x:v>
      </x:c>
      <x:c r="E845" s="2" t="str">
        <x:v>雲南(-)</x:v>
      </x:c>
      <x:c r="F845" s="2" t="str">
        <x:v>雲南(-)</x:v>
      </x:c>
      <x:c r="G845" s="2" t="str">
        <x:v>雲南(-)</x:v>
      </x:c>
      <x:c r="H845" s="2" t="str">
        <x:v>雲南(未)</x:v>
      </x:c>
      <x:c r="I845" s="2" t="str">
        <x:v>雲南(野)</x:v>
      </x:c>
      <x:c r="J845" s="2" t="str">
        <x:v>x</x:v>
      </x:c>
      <x:c r="K845" s="2" t="str">
        <x:v>x</x:v>
      </x:c>
      <x:c r="L845" s="2" t="str">
        <x:v>孟獲</x:v>
      </x:c>
    </x:row>
    <x:row r="846" ht="23" customHeight="1">
      <x:c r="A846" s="12" t="n">
        <x:v>838</x:v>
      </x:c>
      <x:c r="B846" s="2" t="str">
        <x:v>步骘</x:v>
      </x:c>
      <x:c r="C846" s="2" t="str">
        <x:v>廣陵(-)</x:v>
      </x:c>
      <x:c r="D846" s="2" t="str">
        <x:v>廣陵(-)</x:v>
      </x:c>
      <x:c r="E846" s="2" t="str">
        <x:v>吳(-)</x:v>
      </x:c>
      <x:c r="F846" s="2" t="str">
        <x:v>吳(未)</x:v>
      </x:c>
      <x:c r="G846" s="2" t="str">
        <x:v>孫權</x:v>
      </x:c>
      <x:c r="H846" s="2" t="str">
        <x:v>孫權</x:v>
      </x:c>
      <x:c r="I846" s="2" t="str">
        <x:v>孫權</x:v>
      </x:c>
      <x:c r="J846" s="2" t="str">
        <x:v>孫權</x:v>
      </x:c>
      <x:c r="K846" s="2" t="str">
        <x:v>x</x:v>
      </x:c>
      <x:c r="L846" s="2" t="str">
        <x:v>廣陵(未)</x:v>
      </x:c>
    </x:row>
    <x:row r="847" ht="23" customHeight="1">
      <x:c r="A847" s="12" t="n">
        <x:v>839</x:v>
      </x:c>
      <x:c r="B847" s="2" t="str">
        <x:v>步阐</x:v>
      </x:c>
      <x:c r="C847" s="2" t="str">
        <x:v>廣陵(-)</x:v>
      </x:c>
      <x:c r="D847" s="2" t="str">
        <x:v>廣陵(-)</x:v>
      </x:c>
      <x:c r="E847" s="2" t="str">
        <x:v>吳(-)</x:v>
      </x:c>
      <x:c r="F847" s="2" t="str">
        <x:v>吳(-)</x:v>
      </x:c>
      <x:c r="G847" s="2" t="str">
        <x:v>吳(-)</x:v>
      </x:c>
      <x:c r="H847" s="2" t="str">
        <x:v>吳(-)</x:v>
      </x:c>
      <x:c r="I847" s="2" t="str">
        <x:v>吳(-)</x:v>
      </x:c>
      <x:c r="J847" s="2" t="str">
        <x:v>吳(-)</x:v>
      </x:c>
      <x:c r="K847" s="2" t="str">
        <x:v>孫權</x:v>
      </x:c>
      <x:c r="L847" s="2" t="str">
        <x:v>廣陵(未)</x:v>
      </x:c>
    </x:row>
    <x:row r="848" ht="23" customHeight="1">
      <x:c r="A848" s="12" t="n">
        <x:v>840</x:v>
      </x:c>
      <x:c r="B848" s="2" t="str">
        <x:v>步度根</x:v>
      </x:c>
      <x:c r="C848" s="2" t="str">
        <x:v>晉陽(-)</x:v>
      </x:c>
      <x:c r="D848" s="2" t="str">
        <x:v>晉陽(未)</x:v>
      </x:c>
      <x:c r="E848" s="2" t="str">
        <x:v>晉陽(未)</x:v>
      </x:c>
      <x:c r="F848" s="2" t="str">
        <x:v>晉陽(野)</x:v>
      </x:c>
      <x:c r="G848" s="2" t="str">
        <x:v>晉陽(野)</x:v>
      </x:c>
      <x:c r="H848" s="2" t="str">
        <x:v>晉陽(野)</x:v>
      </x:c>
      <x:c r="I848" s="2" t="str">
        <x:v>晉陽(野)</x:v>
      </x:c>
      <x:c r="J848" s="2" t="str">
        <x:v>晉陽(野)</x:v>
      </x:c>
      <x:c r="K848" s="2" t="str">
        <x:v>x</x:v>
      </x:c>
      <x:c r="L848" s="2" t="str">
        <x:v>晉陽(未)</x:v>
      </x:c>
    </x:row>
    <x:row r="849" ht="23" customHeight="1">
      <x:c r="A849" s="12" t="n">
        <x:v>841</x:v>
      </x:c>
      <x:c r="B849" s="2" t="str">
        <x:v>步练师</x:v>
      </x:c>
      <x:c r="C849" s="2" t="str">
        <x:v>廣陵(-)</x:v>
      </x:c>
      <x:c r="D849" s="2" t="str">
        <x:v>廣陵(-)</x:v>
      </x:c>
      <x:c r="E849" s="2" t="str">
        <x:v>吳(-)</x:v>
      </x:c>
      <x:c r="F849" s="2" t="str">
        <x:v>吳(未)</x:v>
      </x:c>
      <x:c r="G849" s="2" t="str">
        <x:v>孫權</x:v>
      </x:c>
      <x:c r="H849" s="2" t="str">
        <x:v>孫權</x:v>
      </x:c>
      <x:c r="I849" s="2" t="str">
        <x:v>孫權</x:v>
      </x:c>
      <x:c r="J849" s="2" t="str">
        <x:v>孫權</x:v>
      </x:c>
      <x:c r="K849" s="2" t="str">
        <x:v>x</x:v>
      </x:c>
      <x:c r="L849" s="2" t="str">
        <x:v>孫堅</x:v>
      </x:c>
    </x:row>
    <x:row r="850" ht="23" customHeight="1">
      <x:c r="A850" s="12" t="n">
        <x:v>842</x:v>
      </x:c>
      <x:c r="B850" s="2" t="str">
        <x:v>满宠</x:v>
      </x:c>
      <x:c r="C850" s="2" t="str">
        <x:v>陳留(-)</x:v>
      </x:c>
      <x:c r="D850" s="2" t="str">
        <x:v>陳留(未)</x:v>
      </x:c>
      <x:c r="E850" s="2" t="str">
        <x:v>曹操</x:v>
      </x:c>
      <x:c r="F850" s="2" t="str">
        <x:v>曹操</x:v>
      </x:c>
      <x:c r="G850" s="2" t="str">
        <x:v>曹操</x:v>
      </x:c>
      <x:c r="H850" s="2" t="str">
        <x:v>曹操</x:v>
      </x:c>
      <x:c r="I850" s="2" t="str">
        <x:v>曹丕</x:v>
      </x:c>
      <x:c r="J850" s="2" t="str">
        <x:v>曹叡</x:v>
      </x:c>
      <x:c r="K850" s="2" t="str">
        <x:v>x</x:v>
      </x:c>
      <x:c r="L850" s="2" t="str">
        <x:v>曹操</x:v>
      </x:c>
    </x:row>
    <x:row r="851" ht="23" customHeight="1">
      <x:c r="A851" s="12" t="n">
        <x:v>843</x:v>
      </x:c>
      <x:c r="B851" s="2" t="str">
        <x:v>迷当大王</x:v>
      </x:c>
      <x:c r="C851" s="2" t="str">
        <x:v>天水(-)</x:v>
      </x:c>
      <x:c r="D851" s="2" t="str">
        <x:v>天水(-)</x:v>
      </x:c>
      <x:c r="E851" s="2" t="str">
        <x:v>天水(-)</x:v>
      </x:c>
      <x:c r="F851" s="2" t="str">
        <x:v>天水(-)</x:v>
      </x:c>
      <x:c r="G851" s="2" t="str">
        <x:v>天水(-)</x:v>
      </x:c>
      <x:c r="H851" s="2" t="str">
        <x:v>天水(-)</x:v>
      </x:c>
      <x:c r="I851" s="2" t="str">
        <x:v>天水(未)</x:v>
      </x:c>
      <x:c r="J851" s="2" t="str">
        <x:v>天水(未)</x:v>
      </x:c>
      <x:c r="K851" s="2" t="str">
        <x:v>天水(野)</x:v>
      </x:c>
      <x:c r="L851" s="2" t="str">
        <x:v>天水(未)</x:v>
      </x:c>
    </x:row>
    <x:row r="852" ht="23" customHeight="1">
      <x:c r="A852" s="12" t="n">
        <x:v>844</x:v>
      </x:c>
      <x:c r="B852" s="2" t="str">
        <x:v>毛玠</x:v>
      </x:c>
      <x:c r="C852" s="2" t="str">
        <x:v>陳留(未)</x:v>
      </x:c>
      <x:c r="D852" s="2" t="str">
        <x:v>陳留(未)</x:v>
      </x:c>
      <x:c r="E852" s="2" t="str">
        <x:v>曹操</x:v>
      </x:c>
      <x:c r="F852" s="2" t="str">
        <x:v>曹操</x:v>
      </x:c>
      <x:c r="G852" s="2" t="str">
        <x:v>曹操</x:v>
      </x:c>
      <x:c r="H852" s="2" t="str">
        <x:v>x</x:v>
      </x:c>
      <x:c r="I852" s="2" t="str">
        <x:v>x</x:v>
      </x:c>
      <x:c r="J852" s="2" t="str">
        <x:v>x</x:v>
      </x:c>
      <x:c r="K852" s="2" t="str">
        <x:v>x</x:v>
      </x:c>
      <x:c r="L852" s="2" t="str">
        <x:v>陳留(未)</x:v>
      </x:c>
    </x:row>
    <x:row r="853" ht="23" customHeight="1">
      <x:c r="A853" s="12" t="n">
        <x:v>845</x:v>
      </x:c>
      <x:c r="B853" s="2" t="str">
        <x:v>孟获</x:v>
      </x:c>
      <x:c r="C853" s="2" t="str">
        <x:v>雲南(-)</x:v>
      </x:c>
      <x:c r="D853" s="2" t="str">
        <x:v>雲南(-)</x:v>
      </x:c>
      <x:c r="E853" s="2" t="str">
        <x:v>雲南(-)</x:v>
      </x:c>
      <x:c r="F853" s="2" t="str">
        <x:v>雲南(-)</x:v>
      </x:c>
      <x:c r="G853" s="2" t="str">
        <x:v>雲南(-)</x:v>
      </x:c>
      <x:c r="H853" s="2" t="str">
        <x:v>孟獲</x:v>
      </x:c>
      <x:c r="I853" s="2" t="str">
        <x:v>孟獲</x:v>
      </x:c>
      <x:c r="J853" s="2" t="str">
        <x:v>劉禪</x:v>
      </x:c>
      <x:c r="K853" s="2" t="str">
        <x:v>劉禪</x:v>
      </x:c>
      <x:c r="L853" s="2" t="str">
        <x:v>孟獲</x:v>
      </x:c>
    </x:row>
    <x:row r="854" ht="23" customHeight="1">
      <x:c r="A854" s="12" t="n">
        <x:v>846</x:v>
      </x:c>
      <x:c r="B854" s="2" t="str">
        <x:v>孟建</x:v>
      </x:c>
      <x:c r="C854" s="2" t="str">
        <x:v>汝南(-)</x:v>
      </x:c>
      <x:c r="D854" s="2" t="str">
        <x:v>汝南(-)</x:v>
      </x:c>
      <x:c r="E854" s="2" t="str">
        <x:v>汝南(-)</x:v>
      </x:c>
      <x:c r="F854" s="2" t="str">
        <x:v>襄陽(-)</x:v>
      </x:c>
      <x:c r="G854" s="2" t="str">
        <x:v>襄陽(未)</x:v>
      </x:c>
      <x:c r="H854" s="2" t="str">
        <x:v>曹操</x:v>
      </x:c>
      <x:c r="I854" s="2" t="str">
        <x:v>曹丕</x:v>
      </x:c>
      <x:c r="J854" s="2" t="str">
        <x:v>曹叡</x:v>
      </x:c>
      <x:c r="K854" s="2" t="str">
        <x:v>x</x:v>
      </x:c>
      <x:c r="L854" s="2" t="str">
        <x:v>汝南(未)</x:v>
      </x:c>
    </x:row>
    <x:row r="855" ht="23" customHeight="1">
      <x:c r="A855" s="12" t="n">
        <x:v>847</x:v>
      </x:c>
      <x:c r="B855" s="2" t="str">
        <x:v>孟光</x:v>
      </x:c>
      <x:c r="C855" s="2" t="str">
        <x:v>洛陽(-)</x:v>
      </x:c>
      <x:c r="D855" s="2" t="str">
        <x:v>董卓</x:v>
      </x:c>
      <x:c r="E855" s="2" t="str">
        <x:v>劉璋</x:v>
      </x:c>
      <x:c r="F855" s="2" t="str">
        <x:v>劉璋</x:v>
      </x:c>
      <x:c r="G855" s="2" t="str">
        <x:v>劉璋</x:v>
      </x:c>
      <x:c r="H855" s="2" t="str">
        <x:v>劉備</x:v>
      </x:c>
      <x:c r="I855" s="2" t="str">
        <x:v>劉備</x:v>
      </x:c>
      <x:c r="J855" s="2" t="str">
        <x:v>劉禪</x:v>
      </x:c>
      <x:c r="K855" s="2" t="str">
        <x:v>劉禪</x:v>
      </x:c>
      <x:c r="L855" s="2" t="str">
        <x:v>洛陽(未)</x:v>
      </x:c>
    </x:row>
    <x:row r="856" ht="23" customHeight="1">
      <x:c r="A856" s="12" t="n">
        <x:v>848</x:v>
      </x:c>
      <x:c r="B856" s="2" t="str">
        <x:v>孟宗</x:v>
      </x:c>
      <x:c r="C856" s="2" t="str">
        <x:v>江夏(-)</x:v>
      </x:c>
      <x:c r="D856" s="2" t="str">
        <x:v>江夏(-)</x:v>
      </x:c>
      <x:c r="E856" s="2" t="str">
        <x:v>江夏(-)</x:v>
      </x:c>
      <x:c r="F856" s="2" t="str">
        <x:v>江夏(-)</x:v>
      </x:c>
      <x:c r="G856" s="2" t="str">
        <x:v>江夏(-)</x:v>
      </x:c>
      <x:c r="H856" s="2" t="str">
        <x:v>江夏(-)</x:v>
      </x:c>
      <x:c r="I856" s="2" t="str">
        <x:v>江夏(-)</x:v>
      </x:c>
      <x:c r="J856" s="2" t="str">
        <x:v>江夏(-)</x:v>
      </x:c>
      <x:c r="K856" s="2" t="str">
        <x:v>孫權</x:v>
      </x:c>
      <x:c r="L856" s="2" t="str">
        <x:v>江夏(未)</x:v>
      </x:c>
    </x:row>
    <x:row r="857" ht="23" customHeight="1">
      <x:c r="A857" s="12" t="n">
        <x:v>849</x:v>
      </x:c>
      <x:c r="B857" s="2" t="str">
        <x:v>孟达</x:v>
      </x:c>
      <x:c r="C857" s="2" t="str">
        <x:v>長安(-)</x:v>
      </x:c>
      <x:c r="D857" s="2" t="str">
        <x:v>長安(-)</x:v>
      </x:c>
      <x:c r="E857" s="2" t="str">
        <x:v>長安(未)</x:v>
      </x:c>
      <x:c r="F857" s="2" t="str">
        <x:v>劉璋</x:v>
      </x:c>
      <x:c r="G857" s="2" t="str">
        <x:v>劉璋</x:v>
      </x:c>
      <x:c r="H857" s="2" t="str">
        <x:v>劉備</x:v>
      </x:c>
      <x:c r="I857" s="2" t="str">
        <x:v>曹丕</x:v>
      </x:c>
      <x:c r="J857" s="2" t="str">
        <x:v>曹叡</x:v>
      </x:c>
      <x:c r="K857" s="2" t="str">
        <x:v>x</x:v>
      </x:c>
      <x:c r="L857" s="2" t="str">
        <x:v>孟達</x:v>
      </x:c>
    </x:row>
    <x:row r="858" ht="23" customHeight="1">
      <x:c r="A858" s="12" t="n">
        <x:v>850</x:v>
      </x:c>
      <x:c r="B858" s="2" t="str">
        <x:v>孟优</x:v>
      </x:c>
      <x:c r="C858" s="2" t="str">
        <x:v>雲南(-)</x:v>
      </x:c>
      <x:c r="D858" s="2" t="str">
        <x:v>雲南(-)</x:v>
      </x:c>
      <x:c r="E858" s="2" t="str">
        <x:v>雲南(-)</x:v>
      </x:c>
      <x:c r="F858" s="2" t="str">
        <x:v>雲南(-)</x:v>
      </x:c>
      <x:c r="G858" s="2" t="str">
        <x:v>雲南(-)</x:v>
      </x:c>
      <x:c r="H858" s="2" t="str">
        <x:v>孟獲</x:v>
      </x:c>
      <x:c r="I858" s="2" t="str">
        <x:v>孟獲</x:v>
      </x:c>
      <x:c r="J858" s="2" t="str">
        <x:v>劉禪</x:v>
      </x:c>
      <x:c r="K858" s="2" t="str">
        <x:v>劉禪</x:v>
      </x:c>
      <x:c r="L858" s="2" t="str">
        <x:v>孟獲</x:v>
      </x:c>
    </x:row>
    <x:row r="859" ht="23" customHeight="1">
      <x:c r="A859" s="12" t="n">
        <x:v>851</x:v>
      </x:c>
      <x:c r="B859" s="2" t="str">
        <x:v>游楚</x:v>
      </x:c>
      <x:c r="C859" s="2" t="str">
        <x:v>長安(-)</x:v>
      </x:c>
      <x:c r="D859" s="2" t="str">
        <x:v>長安(-)</x:v>
      </x:c>
      <x:c r="E859" s="2" t="str">
        <x:v>長安(-)</x:v>
      </x:c>
      <x:c r="F859" s="2" t="str">
        <x:v>長安(未)</x:v>
      </x:c>
      <x:c r="G859" s="2" t="str">
        <x:v>長安(未)</x:v>
      </x:c>
      <x:c r="H859" s="2" t="str">
        <x:v>曹操</x:v>
      </x:c>
      <x:c r="I859" s="2" t="str">
        <x:v>曹丕</x:v>
      </x:c>
      <x:c r="J859" s="2" t="str">
        <x:v>曹叡</x:v>
      </x:c>
      <x:c r="K859" s="2" t="str">
        <x:v>曹芳</x:v>
      </x:c>
      <x:c r="L859" s="2" t="str">
        <x:v>長安(未)</x:v>
      </x:c>
    </x:row>
    <x:row r="860" ht="23" customHeight="1">
      <x:c r="A860" s="12" t="n">
        <x:v>852</x:v>
      </x:c>
      <x:c r="B860" s="2" t="str">
        <x:v>尤突</x:v>
      </x:c>
      <x:c r="C860" s="2" t="str">
        <x:v>建業(-)</x:v>
      </x:c>
      <x:c r="D860" s="2" t="str">
        <x:v>建業(-)</x:v>
      </x:c>
      <x:c r="E860" s="2" t="str">
        <x:v>建業(-)</x:v>
      </x:c>
      <x:c r="F860" s="2" t="str">
        <x:v>建業(未)</x:v>
      </x:c>
      <x:c r="G860" s="2" t="str">
        <x:v>建業(未)</x:v>
      </x:c>
      <x:c r="H860" s="2" t="str">
        <x:v>x</x:v>
      </x:c>
      <x:c r="I860" s="2" t="str">
        <x:v>x</x:v>
      </x:c>
      <x:c r="J860" s="2" t="str">
        <x:v>x</x:v>
      </x:c>
      <x:c r="K860" s="2" t="str">
        <x:v>x</x:v>
      </x:c>
      <x:c r="L860" s="2" t="str">
        <x:v>建業(未)</x:v>
      </x:c>
    </x:row>
    <x:row r="861" ht="23" customHeight="1">
      <x:c r="A861" s="12" t="n">
        <x:v>853</x:v>
      </x:c>
      <x:c r="B861" s="2" t="str">
        <x:v>俞涉</x:v>
      </x:c>
      <x:c r="C861" s="2" t="str">
        <x:v>宛(未)</x:v>
      </x:c>
      <x:c r="D861" s="2" t="str">
        <x:v>袁術</x:v>
      </x:c>
      <x:c r="E861" s="2" t="str">
        <x:v>x</x:v>
      </x:c>
      <x:c r="F861" s="2" t="str">
        <x:v>x</x:v>
      </x:c>
      <x:c r="G861" s="2" t="str">
        <x:v>x</x:v>
      </x:c>
      <x:c r="H861" s="2" t="str">
        <x:v>x</x:v>
      </x:c>
      <x:c r="I861" s="2" t="str">
        <x:v>x</x:v>
      </x:c>
      <x:c r="J861" s="2" t="str">
        <x:v>x</x:v>
      </x:c>
      <x:c r="K861" s="2" t="str">
        <x:v>x</x:v>
      </x:c>
      <x:c r="L861" s="2" t="str">
        <x:v>袁術</x:v>
      </x:c>
    </x:row>
    <x:row r="862" ht="23" customHeight="1">
      <x:c r="A862" s="12" t="n">
        <x:v>854</x:v>
      </x:c>
      <x:c r="B862" s="2" t="str">
        <x:v>杨怀</x:v>
      </x:c>
      <x:c r="C862" s="2" t="str">
        <x:v>梓潼(-)</x:v>
      </x:c>
      <x:c r="D862" s="2" t="str">
        <x:v>劉焉</x:v>
      </x:c>
      <x:c r="E862" s="2" t="str">
        <x:v>劉璋</x:v>
      </x:c>
      <x:c r="F862" s="2" t="str">
        <x:v>劉璋</x:v>
      </x:c>
      <x:c r="G862" s="2" t="str">
        <x:v>劉璋</x:v>
      </x:c>
      <x:c r="H862" s="2" t="str">
        <x:v>x</x:v>
      </x:c>
      <x:c r="I862" s="2" t="str">
        <x:v>x</x:v>
      </x:c>
      <x:c r="J862" s="2" t="str">
        <x:v>x</x:v>
      </x:c>
      <x:c r="K862" s="2" t="str">
        <x:v>x</x:v>
      </x:c>
      <x:c r="L862" s="2" t="str">
        <x:v>劉焉</x:v>
      </x:c>
    </x:row>
    <x:row r="863" ht="23" customHeight="1">
      <x:c r="A863" s="12" t="n">
        <x:v>855</x:v>
      </x:c>
      <x:c r="B863" s="2" t="str">
        <x:v>雍闿</x:v>
      </x:c>
      <x:c r="C863" s="2" t="str">
        <x:v>建寧(-)</x:v>
      </x:c>
      <x:c r="D863" s="2" t="str">
        <x:v>建寧(-)</x:v>
      </x:c>
      <x:c r="E863" s="2" t="str">
        <x:v>建寧(-)</x:v>
      </x:c>
      <x:c r="F863" s="2" t="str">
        <x:v>建寧(未)</x:v>
      </x:c>
      <x:c r="G863" s="2" t="str">
        <x:v>建寧(未)</x:v>
      </x:c>
      <x:c r="H863" s="2" t="str">
        <x:v>劉備</x:v>
      </x:c>
      <x:c r="I863" s="2" t="str">
        <x:v>劉備</x:v>
      </x:c>
      <x:c r="J863" s="2" t="str">
        <x:v>x</x:v>
      </x:c>
      <x:c r="K863" s="2" t="str">
        <x:v>x</x:v>
      </x:c>
      <x:c r="L863" s="2" t="str">
        <x:v>雍闓</x:v>
      </x:c>
    </x:row>
    <x:row r="864" ht="23" customHeight="1">
      <x:c r="A864" s="12" t="n">
        <x:v>856</x:v>
      </x:c>
      <x:c r="B864" s="2" t="str">
        <x:v>杨仪</x:v>
      </x:c>
      <x:c r="C864" s="2" t="str">
        <x:v>襄陽(-)</x:v>
      </x:c>
      <x:c r="D864" s="2" t="str">
        <x:v>襄陽(-)</x:v>
      </x:c>
      <x:c r="E864" s="2" t="str">
        <x:v>襄陽(-)</x:v>
      </x:c>
      <x:c r="F864" s="2" t="str">
        <x:v>襄陽(-)</x:v>
      </x:c>
      <x:c r="G864" s="2" t="str">
        <x:v>襄陽(-)</x:v>
      </x:c>
      <x:c r="H864" s="2" t="str">
        <x:v>劉備</x:v>
      </x:c>
      <x:c r="I864" s="2" t="str">
        <x:v>劉備</x:v>
      </x:c>
      <x:c r="J864" s="2" t="str">
        <x:v>劉禪</x:v>
      </x:c>
      <x:c r="K864" s="2" t="str">
        <x:v>x</x:v>
      </x:c>
      <x:c r="L864" s="2" t="str">
        <x:v>襄陽(未)</x:v>
      </x:c>
    </x:row>
    <x:row r="865" ht="23" customHeight="1">
      <x:c r="A865" s="12" t="n">
        <x:v>857</x:v>
      </x:c>
      <x:c r="B865" s="2" t="str">
        <x:v>杨戏</x:v>
      </x:c>
      <x:c r="C865" s="2" t="str">
        <x:v>成都(-)</x:v>
      </x:c>
      <x:c r="D865" s="2" t="str">
        <x:v>成都(-)</x:v>
      </x:c>
      <x:c r="E865" s="2" t="str">
        <x:v>成都(-)</x:v>
      </x:c>
      <x:c r="F865" s="2" t="str">
        <x:v>成都(-)</x:v>
      </x:c>
      <x:c r="G865" s="2" t="str">
        <x:v>成都(-)</x:v>
      </x:c>
      <x:c r="H865" s="2" t="str">
        <x:v>劉備</x:v>
      </x:c>
      <x:c r="I865" s="2" t="str">
        <x:v>劉備</x:v>
      </x:c>
      <x:c r="J865" s="2" t="str">
        <x:v>劉禪</x:v>
      </x:c>
      <x:c r="K865" s="2" t="str">
        <x:v>劉禪</x:v>
      </x:c>
      <x:c r="L865" s="2" t="str">
        <x:v>成都(未)</x:v>
      </x:c>
    </x:row>
    <x:row r="866" ht="23" customHeight="1">
      <x:c r="A866" s="12" t="n">
        <x:v>858</x:v>
      </x:c>
      <x:c r="B866" s="2" t="str">
        <x:v>羊徽瑜</x:v>
      </x:c>
      <x:c r="C866" s="2" t="str">
        <x:v>濮陽(-)</x:v>
      </x:c>
      <x:c r="D866" s="2" t="str">
        <x:v>濮陽(-)</x:v>
      </x:c>
      <x:c r="E866" s="2" t="str">
        <x:v>濮陽(-)</x:v>
      </x:c>
      <x:c r="F866" s="2" t="str">
        <x:v>濮陽(-)</x:v>
      </x:c>
      <x:c r="G866" s="2" t="str">
        <x:v>濮陽(-)</x:v>
      </x:c>
      <x:c r="H866" s="2" t="str">
        <x:v>濮陽(-)</x:v>
      </x:c>
      <x:c r="I866" s="2" t="str">
        <x:v>濮陽(-)</x:v>
      </x:c>
      <x:c r="J866" s="2" t="str">
        <x:v>濮陽(-)</x:v>
      </x:c>
      <x:c r="K866" s="2" t="str">
        <x:v>司馬懿</x:v>
      </x:c>
      <x:c r="L866" s="2" t="str">
        <x:v>司馬懿</x:v>
      </x:c>
    </x:row>
    <x:row r="867" ht="23" customHeight="1">
      <x:c r="A867" s="12" t="n">
        <x:v>859</x:v>
      </x:c>
      <x:c r="B867" s="2" t="str">
        <x:v>杨欣</x:v>
      </x:c>
      <x:c r="C867" s="2" t="str">
        <x:v>武威(-)</x:v>
      </x:c>
      <x:c r="D867" s="2" t="str">
        <x:v>武威(-)</x:v>
      </x:c>
      <x:c r="E867" s="2" t="str">
        <x:v>武威(-)</x:v>
      </x:c>
      <x:c r="F867" s="2" t="str">
        <x:v>武威(-)</x:v>
      </x:c>
      <x:c r="G867" s="2" t="str">
        <x:v>武威(-)</x:v>
      </x:c>
      <x:c r="H867" s="2" t="str">
        <x:v>武威(-)</x:v>
      </x:c>
      <x:c r="I867" s="2" t="str">
        <x:v>武威(-)</x:v>
      </x:c>
      <x:c r="J867" s="2" t="str">
        <x:v>武威(-)</x:v>
      </x:c>
      <x:c r="K867" s="2" t="str">
        <x:v>武威(未)</x:v>
      </x:c>
      <x:c r="L867" s="2" t="str">
        <x:v>鄧艾</x:v>
      </x:c>
    </x:row>
    <x:row r="868" ht="23" customHeight="1">
      <x:c r="A868" s="12" t="n">
        <x:v>860</x:v>
      </x:c>
      <x:c r="B868" s="2" t="str">
        <x:v>羊祜</x:v>
      </x:c>
      <x:c r="C868" s="2" t="str">
        <x:v>濮陽(-)</x:v>
      </x:c>
      <x:c r="D868" s="2" t="str">
        <x:v>濮陽(-)</x:v>
      </x:c>
      <x:c r="E868" s="2" t="str">
        <x:v>濮陽(-)</x:v>
      </x:c>
      <x:c r="F868" s="2" t="str">
        <x:v>濮陽(-)</x:v>
      </x:c>
      <x:c r="G868" s="2" t="str">
        <x:v>濮陽(-)</x:v>
      </x:c>
      <x:c r="H868" s="2" t="str">
        <x:v>濮陽(-)</x:v>
      </x:c>
      <x:c r="I868" s="2" t="str">
        <x:v>濮陽(-)</x:v>
      </x:c>
      <x:c r="J868" s="2" t="str">
        <x:v>濮陽(-)</x:v>
      </x:c>
      <x:c r="K868" s="2" t="str">
        <x:v>濮陽(野)</x:v>
      </x:c>
      <x:c r="L868" s="2" t="str">
        <x:v>司馬懿</x:v>
      </x:c>
    </x:row>
    <x:row r="869" ht="23" customHeight="1">
      <x:c r="A869" s="12" t="n">
        <x:v>861</x:v>
      </x:c>
      <x:c r="B869" s="2" t="str">
        <x:v>杨弘</x:v>
      </x:c>
      <x:c r="C869" s="2" t="str">
        <x:v>宛(未)</x:v>
      </x:c>
      <x:c r="D869" s="2" t="str">
        <x:v>袁術</x:v>
      </x:c>
      <x:c r="E869" s="2" t="str">
        <x:v>袁術</x:v>
      </x:c>
      <x:c r="F869" s="2" t="str">
        <x:v>x</x:v>
      </x:c>
      <x:c r="G869" s="2" t="str">
        <x:v>x</x:v>
      </x:c>
      <x:c r="H869" s="2" t="str">
        <x:v>x</x:v>
      </x:c>
      <x:c r="I869" s="2" t="str">
        <x:v>x</x:v>
      </x:c>
      <x:c r="J869" s="2" t="str">
        <x:v>x</x:v>
      </x:c>
      <x:c r="K869" s="2" t="str">
        <x:v>x</x:v>
      </x:c>
      <x:c r="L869" s="2" t="str">
        <x:v>袁術</x:v>
      </x:c>
    </x:row>
    <x:row r="870" ht="23" customHeight="1">
      <x:c r="A870" s="12" t="n">
        <x:v>862</x:v>
      </x:c>
      <x:c r="B870" s="2" t="str">
        <x:v>杨昂</x:v>
      </x:c>
      <x:c r="C870" s="2" t="str">
        <x:v>漢中(-)</x:v>
      </x:c>
      <x:c r="D870" s="2" t="str">
        <x:v>漢中(-)</x:v>
      </x:c>
      <x:c r="E870" s="2" t="str">
        <x:v>張魯</x:v>
      </x:c>
      <x:c r="F870" s="2" t="str">
        <x:v>張魯</x:v>
      </x:c>
      <x:c r="G870" s="2" t="str">
        <x:v>張魯</x:v>
      </x:c>
      <x:c r="H870" s="2" t="str">
        <x:v>x</x:v>
      </x:c>
      <x:c r="I870" s="2" t="str">
        <x:v>x</x:v>
      </x:c>
      <x:c r="J870" s="2" t="str">
        <x:v>x</x:v>
      </x:c>
      <x:c r="K870" s="2" t="str">
        <x:v>x</x:v>
      </x:c>
      <x:c r="L870" s="2" t="str">
        <x:v>張魯</x:v>
      </x:c>
    </x:row>
    <x:row r="871" ht="23" customHeight="1">
      <x:c r="A871" s="12" t="n">
        <x:v>863</x:v>
      </x:c>
      <x:c r="B871" s="2" t="str">
        <x:v>杨洪</x:v>
      </x:c>
      <x:c r="C871" s="2" t="str">
        <x:v>梓潼(-)</x:v>
      </x:c>
      <x:c r="D871" s="2" t="str">
        <x:v>梓潼(-)</x:v>
      </x:c>
      <x:c r="E871" s="2" t="str">
        <x:v>梓潼(-)</x:v>
      </x:c>
      <x:c r="F871" s="2" t="str">
        <x:v>梓潼(未)</x:v>
      </x:c>
      <x:c r="G871" s="2" t="str">
        <x:v>劉璋</x:v>
      </x:c>
      <x:c r="H871" s="2" t="str">
        <x:v>劉備</x:v>
      </x:c>
      <x:c r="I871" s="2" t="str">
        <x:v>劉備</x:v>
      </x:c>
      <x:c r="J871" s="2" t="str">
        <x:v>劉禪</x:v>
      </x:c>
      <x:c r="K871" s="2" t="str">
        <x:v>x</x:v>
      </x:c>
      <x:c r="L871" s="2" t="str">
        <x:v>梓潼(未)</x:v>
      </x:c>
    </x:row>
    <x:row r="872" ht="23" customHeight="1">
      <x:c r="A872" s="12" t="n">
        <x:v>864</x:v>
      </x:c>
      <x:c r="B872" s="2" t="str">
        <x:v>杨氏</x:v>
      </x:c>
      <x:c r="C872" s="2" t="str">
        <x:v>武威(-)</x:v>
      </x:c>
      <x:c r="D872" s="2" t="str">
        <x:v>武威(-)</x:v>
      </x:c>
      <x:c r="E872" s="2" t="str">
        <x:v>馬騰</x:v>
      </x:c>
      <x:c r="F872" s="2" t="str">
        <x:v>馬騰</x:v>
      </x:c>
      <x:c r="G872" s="2" t="str">
        <x:v>馬騰</x:v>
      </x:c>
      <x:c r="H872" s="2" t="str">
        <x:v>x</x:v>
      </x:c>
      <x:c r="I872" s="2" t="str">
        <x:v>x</x:v>
      </x:c>
      <x:c r="J872" s="2" t="str">
        <x:v>x</x:v>
      </x:c>
      <x:c r="K872" s="2" t="str">
        <x:v>x</x:v>
      </x:c>
      <x:c r="L872" s="2" t="str">
        <x:v>馬騰</x:v>
      </x:c>
    </x:row>
    <x:row r="873" ht="23" customHeight="1">
      <x:c r="A873" s="12" t="n">
        <x:v>865</x:v>
      </x:c>
      <x:c r="B873" s="2" t="str">
        <x:v>杨丑</x:v>
      </x:c>
      <x:c r="C873" s="2" t="str">
        <x:v>晉陽(未)</x:v>
      </x:c>
      <x:c r="D873" s="2" t="str">
        <x:v>張楊</x:v>
      </x:c>
      <x:c r="E873" s="2" t="str">
        <x:v>張楊</x:v>
      </x:c>
      <x:c r="F873" s="2" t="str">
        <x:v>x</x:v>
      </x:c>
      <x:c r="G873" s="2" t="str">
        <x:v>x</x:v>
      </x:c>
      <x:c r="H873" s="2" t="str">
        <x:v>x</x:v>
      </x:c>
      <x:c r="I873" s="2" t="str">
        <x:v>x</x:v>
      </x:c>
      <x:c r="J873" s="2" t="str">
        <x:v>x</x:v>
      </x:c>
      <x:c r="K873" s="2" t="str">
        <x:v>x</x:v>
      </x:c>
      <x:c r="L873" s="2" t="str">
        <x:v>丁原</x:v>
      </x:c>
    </x:row>
    <x:row r="874" ht="23" customHeight="1">
      <x:c r="A874" s="12" t="n">
        <x:v>866</x:v>
      </x:c>
      <x:c r="B874" s="2" t="str">
        <x:v>杨修</x:v>
      </x:c>
      <x:c r="C874" s="2" t="str">
        <x:v>洛陽(-)</x:v>
      </x:c>
      <x:c r="D874" s="2" t="str">
        <x:v>洛陽(-)</x:v>
      </x:c>
      <x:c r="E874" s="2" t="str">
        <x:v>洛陽(未)</x:v>
      </x:c>
      <x:c r="F874" s="2" t="str">
        <x:v>曹操</x:v>
      </x:c>
      <x:c r="G874" s="2" t="str">
        <x:v>曹操</x:v>
      </x:c>
      <x:c r="H874" s="2" t="str">
        <x:v>曹操</x:v>
      </x:c>
      <x:c r="I874" s="2" t="str">
        <x:v>x</x:v>
      </x:c>
      <x:c r="J874" s="2" t="str">
        <x:v>x</x:v>
      </x:c>
      <x:c r="K874" s="2" t="str">
        <x:v>x</x:v>
      </x:c>
      <x:c r="L874" s="2" t="str">
        <x:v>袁術</x:v>
      </x:c>
    </x:row>
    <x:row r="875" ht="23" customHeight="1">
      <x:c r="A875" s="12" t="n">
        <x:v>867</x:v>
      </x:c>
      <x:c r="B875" s="2" t="str">
        <x:v>杨秋</x:v>
      </x:c>
      <x:c r="C875" s="2" t="str">
        <x:v>安定(-)</x:v>
      </x:c>
      <x:c r="D875" s="2" t="str">
        <x:v>安定(-)</x:v>
      </x:c>
      <x:c r="E875" s="2" t="str">
        <x:v>馬騰</x:v>
      </x:c>
      <x:c r="F875" s="2" t="str">
        <x:v>馬騰</x:v>
      </x:c>
      <x:c r="G875" s="2" t="str">
        <x:v>馬騰</x:v>
      </x:c>
      <x:c r="H875" s="2" t="str">
        <x:v>曹操</x:v>
      </x:c>
      <x:c r="I875" s="2" t="str">
        <x:v>曹丕</x:v>
      </x:c>
      <x:c r="J875" s="2" t="str">
        <x:v>曹叡</x:v>
      </x:c>
      <x:c r="K875" s="2" t="str">
        <x:v>x</x:v>
      </x:c>
      <x:c r="L875" s="2" t="str">
        <x:v>韓遂</x:v>
      </x:c>
    </x:row>
    <x:row r="876" ht="23" customHeight="1">
      <x:c r="A876" s="12" t="n">
        <x:v>868</x:v>
      </x:c>
      <x:c r="B876" s="2" t="str">
        <x:v>杨松</x:v>
      </x:c>
      <x:c r="C876" s="2" t="str">
        <x:v>漢中(-)</x:v>
      </x:c>
      <x:c r="D876" s="2" t="str">
        <x:v>張魯</x:v>
      </x:c>
      <x:c r="E876" s="2" t="str">
        <x:v>張魯</x:v>
      </x:c>
      <x:c r="F876" s="2" t="str">
        <x:v>張魯</x:v>
      </x:c>
      <x:c r="G876" s="2" t="str">
        <x:v>張魯</x:v>
      </x:c>
      <x:c r="H876" s="2" t="str">
        <x:v>x</x:v>
      </x:c>
      <x:c r="I876" s="2" t="str">
        <x:v>x</x:v>
      </x:c>
      <x:c r="J876" s="2" t="str">
        <x:v>x</x:v>
      </x:c>
      <x:c r="K876" s="2" t="str">
        <x:v>x</x:v>
      </x:c>
      <x:c r="L876" s="2" t="str">
        <x:v>張魯</x:v>
      </x:c>
    </x:row>
    <x:row r="877" ht="23" customHeight="1">
      <x:c r="A877" s="12" t="n">
        <x:v>869</x:v>
      </x:c>
      <x:c r="B877" s="2" t="str">
        <x:v>杨任</x:v>
      </x:c>
      <x:c r="C877" s="2" t="str">
        <x:v>漢中(-)</x:v>
      </x:c>
      <x:c r="D877" s="2" t="str">
        <x:v>張魯</x:v>
      </x:c>
      <x:c r="E877" s="2" t="str">
        <x:v>張魯</x:v>
      </x:c>
      <x:c r="F877" s="2" t="str">
        <x:v>張魯</x:v>
      </x:c>
      <x:c r="G877" s="2" t="str">
        <x:v>張魯</x:v>
      </x:c>
      <x:c r="H877" s="2" t="str">
        <x:v>x</x:v>
      </x:c>
      <x:c r="I877" s="2" t="str">
        <x:v>x</x:v>
      </x:c>
      <x:c r="J877" s="2" t="str">
        <x:v>x</x:v>
      </x:c>
      <x:c r="K877" s="2" t="str">
        <x:v>x</x:v>
      </x:c>
      <x:c r="L877" s="2" t="str">
        <x:v>張魯</x:v>
      </x:c>
    </x:row>
    <x:row r="878" ht="23" customHeight="1">
      <x:c r="A878" s="12" t="n">
        <x:v>870</x:v>
      </x:c>
      <x:c r="B878" s="2" t="str">
        <x:v>杨济</x:v>
      </x:c>
      <x:c r="C878" s="2" t="str">
        <x:v>洛陽(-)</x:v>
      </x:c>
      <x:c r="D878" s="2" t="str">
        <x:v>洛陽(-)</x:v>
      </x:c>
      <x:c r="E878" s="2" t="str">
        <x:v>洛陽(-)</x:v>
      </x:c>
      <x:c r="F878" s="2" t="str">
        <x:v>洛陽(-)</x:v>
      </x:c>
      <x:c r="G878" s="2" t="str">
        <x:v>洛陽(-)</x:v>
      </x:c>
      <x:c r="H878" s="2" t="str">
        <x:v>洛陽(-)</x:v>
      </x:c>
      <x:c r="I878" s="2" t="str">
        <x:v>洛陽(-)</x:v>
      </x:c>
      <x:c r="J878" s="2" t="str">
        <x:v>洛陽(-)</x:v>
      </x:c>
      <x:c r="K878" s="2" t="str">
        <x:v>洛陽(未)</x:v>
      </x:c>
      <x:c r="L878" s="2" t="str">
        <x:v>司馬懿</x:v>
      </x:c>
    </x:row>
    <x:row r="879" ht="23" customHeight="1">
      <x:c r="A879" s="12" t="n">
        <x:v>871</x:v>
      </x:c>
      <x:c r="B879" s="2" t="str">
        <x:v>杨祚</x:v>
      </x:c>
      <x:c r="C879" s="2" t="str">
        <x:v>襄平(-)</x:v>
      </x:c>
      <x:c r="D879" s="2" t="str">
        <x:v>襄平(-)</x:v>
      </x:c>
      <x:c r="E879" s="2" t="str">
        <x:v>襄平(-)</x:v>
      </x:c>
      <x:c r="F879" s="2" t="str">
        <x:v>襄平(-)</x:v>
      </x:c>
      <x:c r="G879" s="2" t="str">
        <x:v>襄平(-)</x:v>
      </x:c>
      <x:c r="H879" s="2" t="str">
        <x:v>襄平(-)</x:v>
      </x:c>
      <x:c r="I879" s="2" t="str">
        <x:v>襄平(未)</x:v>
      </x:c>
      <x:c r="J879" s="2" t="str">
        <x:v>公孫恭</x:v>
      </x:c>
      <x:c r="K879" s="2" t="str">
        <x:v>襄平(野)</x:v>
      </x:c>
      <x:c r="L879" s="2" t="str">
        <x:v>公孫度</x:v>
      </x:c>
    </x:row>
    <x:row r="880" ht="23" customHeight="1">
      <x:c r="A880" s="12" t="n">
        <x:v>872</x:v>
      </x:c>
      <x:c r="B880" s="2" t="str">
        <x:v>姚伷</x:v>
      </x:c>
      <x:c r="C880" s="2" t="str">
        <x:v>江州(-)</x:v>
      </x:c>
      <x:c r="D880" s="2" t="str">
        <x:v>江州(-)</x:v>
      </x:c>
      <x:c r="E880" s="2" t="str">
        <x:v>江州(-)</x:v>
      </x:c>
      <x:c r="F880" s="2" t="str">
        <x:v>江州(-)</x:v>
      </x:c>
      <x:c r="G880" s="2" t="str">
        <x:v>江州(未)</x:v>
      </x:c>
      <x:c r="H880" s="2" t="str">
        <x:v>劉備</x:v>
      </x:c>
      <x:c r="I880" s="2" t="str">
        <x:v>劉備</x:v>
      </x:c>
      <x:c r="J880" s="2" t="str">
        <x:v>劉禪</x:v>
      </x:c>
      <x:c r="K880" s="2" t="str">
        <x:v>x</x:v>
      </x:c>
      <x:c r="L880" s="2" t="str">
        <x:v>江州(未)</x:v>
      </x:c>
    </x:row>
    <x:row r="881" ht="23" customHeight="1">
      <x:c r="A881" s="12" t="n">
        <x:v>873</x:v>
      </x:c>
      <x:c r="B881" s="2" t="str">
        <x:v>杨肇</x:v>
      </x:c>
      <x:c r="C881" s="2" t="str">
        <x:v>晉陽(-)</x:v>
      </x:c>
      <x:c r="D881" s="2" t="str">
        <x:v>晉陽(-)</x:v>
      </x:c>
      <x:c r="E881" s="2" t="str">
        <x:v>晉陽(-)</x:v>
      </x:c>
      <x:c r="F881" s="2" t="str">
        <x:v>晉陽(-)</x:v>
      </x:c>
      <x:c r="G881" s="2" t="str">
        <x:v>晉陽(-)</x:v>
      </x:c>
      <x:c r="H881" s="2" t="str">
        <x:v>晉陽(-)</x:v>
      </x:c>
      <x:c r="I881" s="2" t="str">
        <x:v>晉陽(-)</x:v>
      </x:c>
      <x:c r="J881" s="2" t="str">
        <x:v>晉陽(-)</x:v>
      </x:c>
      <x:c r="K881" s="2" t="str">
        <x:v>晉陽(未)</x:v>
      </x:c>
      <x:c r="L881" s="2" t="str">
        <x:v>晉陽(未)</x:v>
      </x:c>
    </x:row>
    <x:row r="882" ht="23" customHeight="1">
      <x:c r="A882" s="12" t="n">
        <x:v>874</x:v>
      </x:c>
      <x:c r="B882" s="2" t="str">
        <x:v>杨定</x:v>
      </x:c>
      <x:c r="C882" s="2" t="str">
        <x:v>董卓</x:v>
      </x:c>
      <x:c r="D882" s="2" t="str">
        <x:v>董卓</x:v>
      </x:c>
      <x:c r="E882" s="2" t="str">
        <x:v>李傕</x:v>
      </x:c>
      <x:c r="F882" s="2" t="str">
        <x:v>x</x:v>
      </x:c>
      <x:c r="G882" s="2" t="str">
        <x:v>x</x:v>
      </x:c>
      <x:c r="H882" s="2" t="str">
        <x:v>x</x:v>
      </x:c>
      <x:c r="I882" s="2" t="str">
        <x:v>x</x:v>
      </x:c>
      <x:c r="J882" s="2" t="str">
        <x:v>x</x:v>
      </x:c>
      <x:c r="K882" s="2" t="str">
        <x:v>x</x:v>
      </x:c>
      <x:c r="L882" s="2" t="str">
        <x:v>董卓</x:v>
      </x:c>
    </x:row>
    <x:row r="883" ht="23" customHeight="1">
      <x:c r="A883" s="12" t="n">
        <x:v>875</x:v>
      </x:c>
      <x:c r="B883" s="2" t="str">
        <x:v>羊衜</x:v>
      </x:c>
      <x:c r="C883" s="2" t="str">
        <x:v>新野(-)</x:v>
      </x:c>
      <x:c r="D883" s="2" t="str">
        <x:v>新野(-)</x:v>
      </x:c>
      <x:c r="E883" s="2" t="str">
        <x:v>新野(-)</x:v>
      </x:c>
      <x:c r="F883" s="2" t="str">
        <x:v>新野(-)</x:v>
      </x:c>
      <x:c r="G883" s="2" t="str">
        <x:v>新野(-)</x:v>
      </x:c>
      <x:c r="H883" s="2" t="str">
        <x:v>新野(-)</x:v>
      </x:c>
      <x:c r="I883" s="2" t="str">
        <x:v>新野(-)</x:v>
      </x:c>
      <x:c r="J883" s="2" t="str">
        <x:v>孫權</x:v>
      </x:c>
      <x:c r="K883" s="2" t="str">
        <x:v>x</x:v>
      </x:c>
      <x:c r="L883" s="2" t="str">
        <x:v>新野(未)</x:v>
      </x:c>
    </x:row>
    <x:row r="884" ht="23" customHeight="1">
      <x:c r="A884" s="12" t="n">
        <x:v>876</x:v>
      </x:c>
      <x:c r="B884" s="2" t="str">
        <x:v>杨白</x:v>
      </x:c>
      <x:c r="C884" s="2" t="str">
        <x:v>漢中(-)</x:v>
      </x:c>
      <x:c r="D884" s="2" t="str">
        <x:v>張魯</x:v>
      </x:c>
      <x:c r="E884" s="2" t="str">
        <x:v>張魯</x:v>
      </x:c>
      <x:c r="F884" s="2" t="str">
        <x:v>張魯</x:v>
      </x:c>
      <x:c r="G884" s="2" t="str">
        <x:v>張魯</x:v>
      </x:c>
      <x:c r="H884" s="2" t="str">
        <x:v>x</x:v>
      </x:c>
      <x:c r="I884" s="2" t="str">
        <x:v>x</x:v>
      </x:c>
      <x:c r="J884" s="2" t="str">
        <x:v>x</x:v>
      </x:c>
      <x:c r="K884" s="2" t="str">
        <x:v>x</x:v>
      </x:c>
      <x:c r="L884" s="2" t="str">
        <x:v>張魯</x:v>
      </x:c>
    </x:row>
    <x:row r="885" ht="23" customHeight="1">
      <x:c r="A885" s="12" t="n">
        <x:v>877</x:v>
      </x:c>
      <x:c r="B885" s="2" t="str">
        <x:v>杨彪</x:v>
      </x:c>
      <x:c r="C885" s="2" t="str">
        <x:v>何進</x:v>
      </x:c>
      <x:c r="D885" s="2" t="str">
        <x:v>董卓</x:v>
      </x:c>
      <x:c r="E885" s="2" t="str">
        <x:v>李傕</x:v>
      </x:c>
      <x:c r="F885" s="2" t="str">
        <x:v>曹操</x:v>
      </x:c>
      <x:c r="G885" s="2" t="str">
        <x:v>洛陽(野)</x:v>
      </x:c>
      <x:c r="H885" s="2" t="str">
        <x:v>洛陽(野)</x:v>
      </x:c>
      <x:c r="I885" s="2" t="str">
        <x:v>洛陽(野)</x:v>
      </x:c>
      <x:c r="J885" s="2" t="str">
        <x:v>x</x:v>
      </x:c>
      <x:c r="K885" s="2" t="str">
        <x:v>x</x:v>
      </x:c>
      <x:c r="L885" s="2" t="str">
        <x:v>袁術</x:v>
      </x:c>
    </x:row>
    <x:row r="886" ht="23" customHeight="1">
      <x:c r="A886" s="12" t="n">
        <x:v>878</x:v>
      </x:c>
      <x:c r="B886" s="2" t="str">
        <x:v>杨敏</x:v>
      </x:c>
      <x:c r="C886" s="2" t="str">
        <x:v>成都(-)</x:v>
      </x:c>
      <x:c r="D886" s="2" t="str">
        <x:v>成都(-)</x:v>
      </x:c>
      <x:c r="E886" s="2" t="str">
        <x:v>成都(-)</x:v>
      </x:c>
      <x:c r="F886" s="2" t="str">
        <x:v>成都(-)</x:v>
      </x:c>
      <x:c r="G886" s="2" t="str">
        <x:v>成都(-)</x:v>
      </x:c>
      <x:c r="H886" s="2" t="str">
        <x:v>成都(-)</x:v>
      </x:c>
      <x:c r="I886" s="2" t="str">
        <x:v>成都(-)</x:v>
      </x:c>
      <x:c r="J886" s="2" t="str">
        <x:v>成都(未)</x:v>
      </x:c>
      <x:c r="K886" s="2" t="str">
        <x:v>劉禪</x:v>
      </x:c>
      <x:c r="L886" s="2" t="str">
        <x:v>成都(未)</x:v>
      </x:c>
    </x:row>
    <x:row r="887" ht="23" customHeight="1">
      <x:c r="A887" s="12" t="n">
        <x:v>879</x:v>
      </x:c>
      <x:c r="B887" s="2" t="str">
        <x:v>杨阜</x:v>
      </x:c>
      <x:c r="C887" s="2" t="str">
        <x:v>天水(-)</x:v>
      </x:c>
      <x:c r="D887" s="2" t="str">
        <x:v>天水(-)</x:v>
      </x:c>
      <x:c r="E887" s="2" t="str">
        <x:v>天水(-)</x:v>
      </x:c>
      <x:c r="F887" s="2" t="str">
        <x:v>天水(未)</x:v>
      </x:c>
      <x:c r="G887" s="2" t="str">
        <x:v>天水(未)</x:v>
      </x:c>
      <x:c r="H887" s="2" t="str">
        <x:v>曹操</x:v>
      </x:c>
      <x:c r="I887" s="2" t="str">
        <x:v>曹丕</x:v>
      </x:c>
      <x:c r="J887" s="2" t="str">
        <x:v>曹叡</x:v>
      </x:c>
      <x:c r="K887" s="2" t="str">
        <x:v>x</x:v>
      </x:c>
      <x:c r="L887" s="2" t="str">
        <x:v>天水(未)</x:v>
      </x:c>
    </x:row>
    <x:row r="888" ht="23" customHeight="1">
      <x:c r="A888" s="12" t="n">
        <x:v>880</x:v>
      </x:c>
      <x:c r="B888" s="2" t="str">
        <x:v>杨奉</x:v>
      </x:c>
      <x:c r="C888" s="2" t="str">
        <x:v>洛陽(未)</x:v>
      </x:c>
      <x:c r="D888" s="2" t="str">
        <x:v>洛陽(野)</x:v>
      </x:c>
      <x:c r="E888" s="2" t="str">
        <x:v>洛陽(野)</x:v>
      </x:c>
      <x:c r="F888" s="2" t="str">
        <x:v>x</x:v>
      </x:c>
      <x:c r="G888" s="2" t="str">
        <x:v>x</x:v>
      </x:c>
      <x:c r="H888" s="2" t="str">
        <x:v>x</x:v>
      </x:c>
      <x:c r="I888" s="2" t="str">
        <x:v>x</x:v>
      </x:c>
      <x:c r="J888" s="2" t="str">
        <x:v>x</x:v>
      </x:c>
      <x:c r="K888" s="2" t="str">
        <x:v>x</x:v>
      </x:c>
      <x:c r="L888" s="2" t="str">
        <x:v>洛陽(未)</x:v>
      </x:c>
    </x:row>
    <x:row r="889" ht="23" customHeight="1">
      <x:c r="A889" s="12" t="n">
        <x:v>881</x:v>
      </x:c>
      <x:c r="B889" s="2" t="str">
        <x:v>杨锋</x:v>
      </x:c>
      <x:c r="C889" s="2" t="str">
        <x:v>雲南(-)</x:v>
      </x:c>
      <x:c r="D889" s="2" t="str">
        <x:v>雲南(-)</x:v>
      </x:c>
      <x:c r="E889" s="2" t="str">
        <x:v>雲南(-)</x:v>
      </x:c>
      <x:c r="F889" s="2" t="str">
        <x:v>雲南(-)</x:v>
      </x:c>
      <x:c r="G889" s="2" t="str">
        <x:v>雲南(-)</x:v>
      </x:c>
      <x:c r="H889" s="2" t="str">
        <x:v>雲南(未)</x:v>
      </x:c>
      <x:c r="I889" s="2" t="str">
        <x:v>雲南(未)</x:v>
      </x:c>
      <x:c r="J889" s="2" t="str">
        <x:v>劉禪</x:v>
      </x:c>
      <x:c r="K889" s="2" t="str">
        <x:v>劉禪</x:v>
      </x:c>
      <x:c r="L889" s="2" t="str">
        <x:v>孟獲</x:v>
      </x:c>
    </x:row>
    <x:row r="890" ht="23" customHeight="1">
      <x:c r="A890" s="12" t="n">
        <x:v>882</x:v>
      </x:c>
      <x:c r="B890" s="2" t="str">
        <x:v>杨密</x:v>
      </x:c>
      <x:c r="C890" s="2" t="str">
        <x:v>天水(野)</x:v>
      </x:c>
      <x:c r="D890" s="2" t="str">
        <x:v>天水(野)</x:v>
      </x:c>
      <x:c r="E890" s="2" t="str">
        <x:v>李傕</x:v>
      </x:c>
      <x:c r="F890" s="2" t="str">
        <x:v>x</x:v>
      </x:c>
      <x:c r="G890" s="2" t="str">
        <x:v>x</x:v>
      </x:c>
      <x:c r="H890" s="2" t="str">
        <x:v>x</x:v>
      </x:c>
      <x:c r="I890" s="2" t="str">
        <x:v>x</x:v>
      </x:c>
      <x:c r="J890" s="2" t="str">
        <x:v>x</x:v>
      </x:c>
      <x:c r="K890" s="2" t="str">
        <x:v>x</x:v>
      </x:c>
      <x:c r="L890" s="2" t="str">
        <x:v>天水(未)</x:v>
      </x:c>
    </x:row>
    <x:row r="891" ht="23" customHeight="1">
      <x:c r="A891" s="12" t="n">
        <x:v>883</x:v>
      </x:c>
      <x:c r="B891" s="2" t="str">
        <x:v>赖恭</x:v>
      </x:c>
      <x:c r="C891" s="2" t="str">
        <x:v>零陵(-)</x:v>
      </x:c>
      <x:c r="D891" s="2" t="str">
        <x:v>零陵(-)</x:v>
      </x:c>
      <x:c r="E891" s="2" t="str">
        <x:v>零陵(未)</x:v>
      </x:c>
      <x:c r="F891" s="2" t="str">
        <x:v>零陵(未)</x:v>
      </x:c>
      <x:c r="G891" s="2" t="str">
        <x:v>零陵(未)</x:v>
      </x:c>
      <x:c r="H891" s="2" t="str">
        <x:v>劉備</x:v>
      </x:c>
      <x:c r="I891" s="2" t="str">
        <x:v>劉備</x:v>
      </x:c>
      <x:c r="J891" s="2" t="str">
        <x:v>劉禪</x:v>
      </x:c>
      <x:c r="K891" s="2" t="str">
        <x:v>x</x:v>
      </x:c>
      <x:c r="L891" s="2" t="str">
        <x:v>零陵(未)</x:v>
      </x:c>
    </x:row>
    <x:row r="892" ht="23" customHeight="1">
      <x:c r="A892" s="12" t="n">
        <x:v>884</x:v>
      </x:c>
      <x:c r="B892" s="2" t="str">
        <x:v>雷绪</x:v>
      </x:c>
      <x:c r="C892" s="2" t="str">
        <x:v>廬江(-)</x:v>
      </x:c>
      <x:c r="D892" s="2" t="str">
        <x:v>廬江(-)</x:v>
      </x:c>
      <x:c r="E892" s="2" t="str">
        <x:v>廬江(-)</x:v>
      </x:c>
      <x:c r="F892" s="2" t="str">
        <x:v>廬江(野)</x:v>
      </x:c>
      <x:c r="G892" s="2" t="str">
        <x:v>廬江(野)</x:v>
      </x:c>
      <x:c r="H892" s="2" t="str">
        <x:v>x</x:v>
      </x:c>
      <x:c r="I892" s="2" t="str">
        <x:v>x</x:v>
      </x:c>
      <x:c r="J892" s="2" t="str">
        <x:v>x</x:v>
      </x:c>
      <x:c r="K892" s="2" t="str">
        <x:v>x</x:v>
      </x:c>
      <x:c r="L892" s="2" t="str">
        <x:v>廬江(未)</x:v>
      </x:c>
    </x:row>
    <x:row r="893" ht="23" customHeight="1">
      <x:c r="A893" s="12" t="n">
        <x:v>885</x:v>
      </x:c>
      <x:c r="B893" s="2" t="str">
        <x:v>雷叙</x:v>
      </x:c>
      <x:c r="C893" s="2" t="str">
        <x:v>宛(未)</x:v>
      </x:c>
      <x:c r="D893" s="2" t="str">
        <x:v>宛(未)</x:v>
      </x:c>
      <x:c r="E893" s="2" t="str">
        <x:v>宛(未)</x:v>
      </x:c>
      <x:c r="F893" s="2" t="str">
        <x:v>x</x:v>
      </x:c>
      <x:c r="G893" s="2" t="str">
        <x:v>x</x:v>
      </x:c>
      <x:c r="H893" s="2" t="str">
        <x:v>x</x:v>
      </x:c>
      <x:c r="I893" s="2" t="str">
        <x:v>x</x:v>
      </x:c>
      <x:c r="J893" s="2" t="str">
        <x:v>x</x:v>
      </x:c>
      <x:c r="K893" s="2" t="str">
        <x:v>x</x:v>
      </x:c>
      <x:c r="L893" s="2" t="str">
        <x:v>張繡</x:v>
      </x:c>
    </x:row>
    <x:row r="894" ht="23" customHeight="1">
      <x:c r="A894" s="12" t="n">
        <x:v>886</x:v>
      </x:c>
      <x:c r="B894" s="2" t="str">
        <x:v>雷铜</x:v>
      </x:c>
      <x:c r="C894" s="2" t="str">
        <x:v>成都(-)</x:v>
      </x:c>
      <x:c r="D894" s="2" t="str">
        <x:v>成都(-)</x:v>
      </x:c>
      <x:c r="E894" s="2" t="str">
        <x:v>劉璋</x:v>
      </x:c>
      <x:c r="F894" s="2" t="str">
        <x:v>劉璋</x:v>
      </x:c>
      <x:c r="G894" s="2" t="str">
        <x:v>劉璋</x:v>
      </x:c>
      <x:c r="H894" s="2" t="str">
        <x:v>劉備</x:v>
      </x:c>
      <x:c r="I894" s="2" t="str">
        <x:v>x</x:v>
      </x:c>
      <x:c r="J894" s="2" t="str">
        <x:v>x</x:v>
      </x:c>
      <x:c r="K894" s="2" t="str">
        <x:v>x</x:v>
      </x:c>
      <x:c r="L894" s="2" t="str">
        <x:v>成都(未)</x:v>
      </x:c>
    </x:row>
    <x:row r="895" ht="23" customHeight="1">
      <x:c r="A895" s="12" t="n">
        <x:v>887</x:v>
      </x:c>
      <x:c r="B895" s="2" t="str">
        <x:v>雷薄</x:v>
      </x:c>
      <x:c r="C895" s="2" t="str">
        <x:v>汝南(未)</x:v>
      </x:c>
      <x:c r="D895" s="2" t="str">
        <x:v>汝南(未)</x:v>
      </x:c>
      <x:c r="E895" s="2" t="str">
        <x:v>袁術</x:v>
      </x:c>
      <x:c r="F895" s="2" t="str">
        <x:v>壽春(野)</x:v>
      </x:c>
      <x:c r="G895" s="2" t="str">
        <x:v>x</x:v>
      </x:c>
      <x:c r="H895" s="2" t="str">
        <x:v>x</x:v>
      </x:c>
      <x:c r="I895" s="2" t="str">
        <x:v>x</x:v>
      </x:c>
      <x:c r="J895" s="2" t="str">
        <x:v>x</x:v>
      </x:c>
      <x:c r="K895" s="2" t="str">
        <x:v>x</x:v>
      </x:c>
      <x:c r="L895" s="2" t="str">
        <x:v>袁術</x:v>
      </x:c>
    </x:row>
    <x:row r="896" ht="23" customHeight="1">
      <x:c r="A896" s="12" t="n">
        <x:v>888</x:v>
      </x:c>
      <x:c r="B896" s="2" t="str">
        <x:v>来敏</x:v>
      </x:c>
      <x:c r="C896" s="2" t="str">
        <x:v>新野(未)</x:v>
      </x:c>
      <x:c r="D896" s="2" t="str">
        <x:v>新野(未)</x:v>
      </x:c>
      <x:c r="E896" s="2" t="str">
        <x:v>新野(未)</x:v>
      </x:c>
      <x:c r="F896" s="2" t="str">
        <x:v>劉璋</x:v>
      </x:c>
      <x:c r="G896" s="2" t="str">
        <x:v>劉璋</x:v>
      </x:c>
      <x:c r="H896" s="2" t="str">
        <x:v>劉備</x:v>
      </x:c>
      <x:c r="I896" s="2" t="str">
        <x:v>劉備</x:v>
      </x:c>
      <x:c r="J896" s="2" t="str">
        <x:v>劉禪</x:v>
      </x:c>
      <x:c r="K896" s="2" t="str">
        <x:v>劉禪</x:v>
      </x:c>
      <x:c r="L896" s="2" t="str">
        <x:v>新野(未)</x:v>
      </x:c>
    </x:row>
    <x:row r="897" ht="23" customHeight="1">
      <x:c r="A897" s="12" t="n">
        <x:v>889</x:v>
      </x:c>
      <x:c r="B897" s="2" t="str">
        <x:v>骆统</x:v>
      </x:c>
      <x:c r="C897" s="2" t="str">
        <x:v>會稽(-)</x:v>
      </x:c>
      <x:c r="D897" s="2" t="str">
        <x:v>會稽(-)</x:v>
      </x:c>
      <x:c r="E897" s="2" t="str">
        <x:v>會稽(-)</x:v>
      </x:c>
      <x:c r="F897" s="2" t="str">
        <x:v>會稽(-)</x:v>
      </x:c>
      <x:c r="G897" s="2" t="str">
        <x:v>孫權</x:v>
      </x:c>
      <x:c r="H897" s="2" t="str">
        <x:v>孫權</x:v>
      </x:c>
      <x:c r="I897" s="2" t="str">
        <x:v>孫權</x:v>
      </x:c>
      <x:c r="J897" s="2" t="str">
        <x:v>孫權</x:v>
      </x:c>
      <x:c r="K897" s="2" t="str">
        <x:v>x</x:v>
      </x:c>
      <x:c r="L897" s="2" t="str">
        <x:v>會稽(未)</x:v>
      </x:c>
    </x:row>
    <x:row r="898" ht="23" customHeight="1">
      <x:c r="A898" s="12" t="n">
        <x:v>890</x:v>
      </x:c>
      <x:c r="B898" s="2" t="str">
        <x:v>罗宪</x:v>
      </x:c>
      <x:c r="C898" s="2" t="str">
        <x:v>襄陽(-)</x:v>
      </x:c>
      <x:c r="D898" s="2" t="str">
        <x:v>襄陽(-)</x:v>
      </x:c>
      <x:c r="E898" s="2" t="str">
        <x:v>襄陽(-)</x:v>
      </x:c>
      <x:c r="F898" s="2" t="str">
        <x:v>襄陽(-)</x:v>
      </x:c>
      <x:c r="G898" s="2" t="str">
        <x:v>襄陽(-)</x:v>
      </x:c>
      <x:c r="H898" s="2" t="str">
        <x:v>襄陽(-)</x:v>
      </x:c>
      <x:c r="I898" s="2" t="str">
        <x:v>襄陽(-)</x:v>
      </x:c>
      <x:c r="J898" s="2" t="str">
        <x:v>襄陽(-)</x:v>
      </x:c>
      <x:c r="K898" s="2" t="str">
        <x:v>劉禪</x:v>
      </x:c>
      <x:c r="L898" s="2" t="str">
        <x:v>襄陽(未)</x:v>
      </x:c>
    </x:row>
    <x:row r="899" ht="23" customHeight="1">
      <x:c r="A899" s="12" t="n">
        <x:v>891</x:v>
      </x:c>
      <x:c r="B899" s="2" t="str">
        <x:v>李异</x:v>
      </x:c>
      <x:c r="C899" s="2" t="str">
        <x:v>武陵(-)</x:v>
      </x:c>
      <x:c r="D899" s="2" t="str">
        <x:v>武陵(-)</x:v>
      </x:c>
      <x:c r="E899" s="2" t="str">
        <x:v>武陵(-)</x:v>
      </x:c>
      <x:c r="F899" s="2" t="str">
        <x:v>武陵(-)</x:v>
      </x:c>
      <x:c r="G899" s="2" t="str">
        <x:v>孫權</x:v>
      </x:c>
      <x:c r="H899" s="2" t="str">
        <x:v>孫權</x:v>
      </x:c>
      <x:c r="I899" s="2" t="str">
        <x:v>孫權</x:v>
      </x:c>
      <x:c r="J899" s="2" t="str">
        <x:v>x</x:v>
      </x:c>
      <x:c r="K899" s="2" t="str">
        <x:v>x</x:v>
      </x:c>
      <x:c r="L899" s="2" t="str">
        <x:v>武陵(未)</x:v>
      </x:c>
    </x:row>
    <x:row r="900" ht="23" customHeight="1">
      <x:c r="A900" s="12" t="n">
        <x:v>892</x:v>
      </x:c>
      <x:c r="B900" s="2" t="str">
        <x:v>李恢</x:v>
      </x:c>
      <x:c r="C900" s="2" t="str">
        <x:v>建寧(-)</x:v>
      </x:c>
      <x:c r="D900" s="2" t="str">
        <x:v>建寧(-)</x:v>
      </x:c>
      <x:c r="E900" s="2" t="str">
        <x:v>建寧(未)</x:v>
      </x:c>
      <x:c r="F900" s="2" t="str">
        <x:v>建寧(未)</x:v>
      </x:c>
      <x:c r="G900" s="2" t="str">
        <x:v>建寧(未)</x:v>
      </x:c>
      <x:c r="H900" s="2" t="str">
        <x:v>劉備</x:v>
      </x:c>
      <x:c r="I900" s="2" t="str">
        <x:v>劉備</x:v>
      </x:c>
      <x:c r="J900" s="2" t="str">
        <x:v>劉禪</x:v>
      </x:c>
      <x:c r="K900" s="2" t="str">
        <x:v>x</x:v>
      </x:c>
      <x:c r="L900" s="2" t="str">
        <x:v>建寧(未)</x:v>
      </x:c>
    </x:row>
    <x:row r="901" ht="23" customHeight="1">
      <x:c r="A901" s="12" t="n">
        <x:v>893</x:v>
      </x:c>
      <x:c r="B901" s="2" t="str">
        <x:v>李傕</x:v>
      </x:c>
      <x:c r="C901" s="2" t="str">
        <x:v>董卓</x:v>
      </x:c>
      <x:c r="D901" s="2" t="str">
        <x:v>董卓</x:v>
      </x:c>
      <x:c r="E901" s="2" t="str">
        <x:v>李傕</x:v>
      </x:c>
      <x:c r="F901" s="2" t="str">
        <x:v>x</x:v>
      </x:c>
      <x:c r="G901" s="2" t="str">
        <x:v>x</x:v>
      </x:c>
      <x:c r="H901" s="2" t="str">
        <x:v>x</x:v>
      </x:c>
      <x:c r="I901" s="2" t="str">
        <x:v>x</x:v>
      </x:c>
      <x:c r="J901" s="2" t="str">
        <x:v>x</x:v>
      </x:c>
      <x:c r="K901" s="2" t="str">
        <x:v>x</x:v>
      </x:c>
      <x:c r="L901" s="2" t="str">
        <x:v>董卓</x:v>
      </x:c>
    </x:row>
    <x:row r="902" ht="23" customHeight="1">
      <x:c r="A902" s="12" t="n">
        <x:v>894</x:v>
      </x:c>
      <x:c r="B902" s="2" t="str">
        <x:v>李乐</x:v>
      </x:c>
      <x:c r="C902" s="2" t="str">
        <x:v>張角</x:v>
      </x:c>
      <x:c r="D902" s="2" t="str">
        <x:v>晉陽(野)</x:v>
      </x:c>
      <x:c r="E902" s="2" t="str">
        <x:v>洛陽(野)</x:v>
      </x:c>
      <x:c r="F902" s="2" t="str">
        <x:v>x</x:v>
      </x:c>
      <x:c r="G902" s="2" t="str">
        <x:v>x</x:v>
      </x:c>
      <x:c r="H902" s="2" t="str">
        <x:v>x</x:v>
      </x:c>
      <x:c r="I902" s="2" t="str">
        <x:v>x</x:v>
      </x:c>
      <x:c r="J902" s="2" t="str">
        <x:v>x</x:v>
      </x:c>
      <x:c r="K902" s="2" t="str">
        <x:v>x</x:v>
      </x:c>
      <x:c r="L902" s="2" t="str">
        <x:v>張角</x:v>
      </x:c>
    </x:row>
    <x:row r="903" ht="23" customHeight="1">
      <x:c r="A903" s="12" t="n">
        <x:v>895</x:v>
      </x:c>
      <x:c r="B903" s="2" t="str">
        <x:v>李堪</x:v>
      </x:c>
      <x:c r="C903" s="2" t="str">
        <x:v>武威(-)</x:v>
      </x:c>
      <x:c r="D903" s="2" t="str">
        <x:v>武威(-)</x:v>
      </x:c>
      <x:c r="E903" s="2" t="str">
        <x:v>武威(-)</x:v>
      </x:c>
      <x:c r="F903" s="2" t="str">
        <x:v>馬騰</x:v>
      </x:c>
      <x:c r="G903" s="2" t="str">
        <x:v>馬騰</x:v>
      </x:c>
      <x:c r="H903" s="2" t="str">
        <x:v>x</x:v>
      </x:c>
      <x:c r="I903" s="2" t="str">
        <x:v>x</x:v>
      </x:c>
      <x:c r="J903" s="2" t="str">
        <x:v>x</x:v>
      </x:c>
      <x:c r="K903" s="2" t="str">
        <x:v>x</x:v>
      </x:c>
      <x:c r="L903" s="2" t="str">
        <x:v>韓遂</x:v>
      </x:c>
    </x:row>
    <x:row r="904" ht="23" customHeight="1">
      <x:c r="A904" s="12" t="n">
        <x:v>896</x:v>
      </x:c>
      <x:c r="B904" s="2" t="str">
        <x:v>李歆</x:v>
      </x:c>
      <x:c r="C904" s="2" t="str">
        <x:v>梓潼(-)</x:v>
      </x:c>
      <x:c r="D904" s="2" t="str">
        <x:v>梓潼(-)</x:v>
      </x:c>
      <x:c r="E904" s="2" t="str">
        <x:v>梓潼(-)</x:v>
      </x:c>
      <x:c r="F904" s="2" t="str">
        <x:v>梓潼(-)</x:v>
      </x:c>
      <x:c r="G904" s="2" t="str">
        <x:v>梓潼(-)</x:v>
      </x:c>
      <x:c r="H904" s="2" t="str">
        <x:v>梓潼(-)</x:v>
      </x:c>
      <x:c r="I904" s="2" t="str">
        <x:v>梓潼(-)</x:v>
      </x:c>
      <x:c r="J904" s="2" t="str">
        <x:v>梓潼(-)</x:v>
      </x:c>
      <x:c r="K904" s="2" t="str">
        <x:v>劉禪</x:v>
      </x:c>
      <x:c r="L904" s="2" t="str">
        <x:v>梓潼(未)</x:v>
      </x:c>
    </x:row>
    <x:row r="905" ht="23" customHeight="1">
      <x:c r="A905" s="12" t="n">
        <x:v>897</x:v>
      </x:c>
      <x:c r="B905" s="2" t="str">
        <x:v>陆胤</x:v>
      </x:c>
      <x:c r="C905" s="2" t="str">
        <x:v>吳(-)</x:v>
      </x:c>
      <x:c r="D905" s="2" t="str">
        <x:v>吳(-)</x:v>
      </x:c>
      <x:c r="E905" s="2" t="str">
        <x:v>吳(-)</x:v>
      </x:c>
      <x:c r="F905" s="2" t="str">
        <x:v>吳(-)</x:v>
      </x:c>
      <x:c r="G905" s="2" t="str">
        <x:v>吳(-)</x:v>
      </x:c>
      <x:c r="H905" s="2" t="str">
        <x:v>吳(-)</x:v>
      </x:c>
      <x:c r="I905" s="2" t="str">
        <x:v>吳(未)</x:v>
      </x:c>
      <x:c r="J905" s="2" t="str">
        <x:v>孫權</x:v>
      </x:c>
      <x:c r="K905" s="2" t="str">
        <x:v>孫權</x:v>
      </x:c>
      <x:c r="L905" s="2" t="str">
        <x:v>吳(未)</x:v>
      </x:c>
    </x:row>
    <x:row r="906" ht="23" customHeight="1">
      <x:c r="A906" s="12" t="n">
        <x:v>898</x:v>
      </x:c>
      <x:c r="B906" s="2" t="str">
        <x:v>陆郁生</x:v>
      </x:c>
      <x:c r="C906" s="2" t="str">
        <x:v>吳(-)</x:v>
      </x:c>
      <x:c r="D906" s="2" t="str">
        <x:v>吳(-)</x:v>
      </x:c>
      <x:c r="E906" s="2" t="str">
        <x:v>吳(-)</x:v>
      </x:c>
      <x:c r="F906" s="2" t="str">
        <x:v>吳(-)</x:v>
      </x:c>
      <x:c r="G906" s="2" t="str">
        <x:v>吳(-)</x:v>
      </x:c>
      <x:c r="H906" s="2" t="str">
        <x:v>吳(-)</x:v>
      </x:c>
      <x:c r="I906" s="2" t="str">
        <x:v>吳(-)</x:v>
      </x:c>
      <x:c r="J906" s="2" t="str">
        <x:v>吳(未)</x:v>
      </x:c>
      <x:c r="K906" s="2" t="str">
        <x:v>吳(未)</x:v>
      </x:c>
      <x:c r="L906" s="2" t="str">
        <x:v>吳(未)</x:v>
      </x:c>
    </x:row>
    <x:row r="907" ht="23" customHeight="1">
      <x:c r="A907" s="12" t="n">
        <x:v>899</x:v>
      </x:c>
      <x:c r="B907" s="2" t="str">
        <x:v>陆凯</x:v>
      </x:c>
      <x:c r="C907" s="2" t="str">
        <x:v>吳(-)</x:v>
      </x:c>
      <x:c r="D907" s="2" t="str">
        <x:v>吳(-)</x:v>
      </x:c>
      <x:c r="E907" s="2" t="str">
        <x:v>吳(-)</x:v>
      </x:c>
      <x:c r="F907" s="2" t="str">
        <x:v>吳(-)</x:v>
      </x:c>
      <x:c r="G907" s="2" t="str">
        <x:v>吳(-)</x:v>
      </x:c>
      <x:c r="H907" s="2" t="str">
        <x:v>孫權</x:v>
      </x:c>
      <x:c r="I907" s="2" t="str">
        <x:v>孫權</x:v>
      </x:c>
      <x:c r="J907" s="2" t="str">
        <x:v>孫權</x:v>
      </x:c>
      <x:c r="K907" s="2" t="str">
        <x:v>孫權</x:v>
      </x:c>
      <x:c r="L907" s="2" t="str">
        <x:v>吳(未)</x:v>
      </x:c>
    </x:row>
    <x:row r="908" ht="23" customHeight="1">
      <x:c r="A908" s="12" t="n">
        <x:v>900</x:v>
      </x:c>
      <x:c r="B908" s="2" t="str">
        <x:v>陆抗</x:v>
      </x:c>
      <x:c r="C908" s="2" t="str">
        <x:v>吳(-)</x:v>
      </x:c>
      <x:c r="D908" s="2" t="str">
        <x:v>吳(-)</x:v>
      </x:c>
      <x:c r="E908" s="2" t="str">
        <x:v>吳(-)</x:v>
      </x:c>
      <x:c r="F908" s="2" t="str">
        <x:v>吳(-)</x:v>
      </x:c>
      <x:c r="G908" s="2" t="str">
        <x:v>吳(-)</x:v>
      </x:c>
      <x:c r="H908" s="2" t="str">
        <x:v>吳(-)</x:v>
      </x:c>
      <x:c r="I908" s="2" t="str">
        <x:v>吳(-)</x:v>
      </x:c>
      <x:c r="J908" s="2" t="str">
        <x:v>吳(-)</x:v>
      </x:c>
      <x:c r="K908" s="2" t="str">
        <x:v>孫權</x:v>
      </x:c>
      <x:c r="L908" s="2" t="str">
        <x:v>孫堅</x:v>
      </x:c>
    </x:row>
    <x:row r="909" ht="23" customHeight="1">
      <x:c r="A909" s="12" t="n">
        <x:v>901</x:v>
      </x:c>
      <x:c r="B909" s="2" t="str">
        <x:v>陆绩</x:v>
      </x:c>
      <x:c r="C909" s="2" t="str">
        <x:v>吳(-)</x:v>
      </x:c>
      <x:c r="D909" s="2" t="str">
        <x:v>吳(-)</x:v>
      </x:c>
      <x:c r="E909" s="2" t="str">
        <x:v>吳(-)</x:v>
      </x:c>
      <x:c r="F909" s="2" t="str">
        <x:v>吳(-)</x:v>
      </x:c>
      <x:c r="G909" s="2" t="str">
        <x:v>孫權</x:v>
      </x:c>
      <x:c r="H909" s="2" t="str">
        <x:v>孫權</x:v>
      </x:c>
      <x:c r="I909" s="2" t="str">
        <x:v>x</x:v>
      </x:c>
      <x:c r="J909" s="2" t="str">
        <x:v>x</x:v>
      </x:c>
      <x:c r="K909" s="2" t="str">
        <x:v>x</x:v>
      </x:c>
      <x:c r="L909" s="2" t="str">
        <x:v>吳(未)</x:v>
      </x:c>
    </x:row>
    <x:row r="910" ht="23" customHeight="1">
      <x:c r="A910" s="12" t="n">
        <x:v>902</x:v>
      </x:c>
      <x:c r="B910" s="2" t="str">
        <x:v>陆逊</x:v>
      </x:c>
      <x:c r="C910" s="2" t="str">
        <x:v>吳(-)</x:v>
      </x:c>
      <x:c r="D910" s="2" t="str">
        <x:v>吳(-)</x:v>
      </x:c>
      <x:c r="E910" s="2" t="str">
        <x:v>吳(-)</x:v>
      </x:c>
      <x:c r="F910" s="2" t="str">
        <x:v>吳(-)</x:v>
      </x:c>
      <x:c r="G910" s="2" t="str">
        <x:v>孫權</x:v>
      </x:c>
      <x:c r="H910" s="2" t="str">
        <x:v>孫權</x:v>
      </x:c>
      <x:c r="I910" s="2" t="str">
        <x:v>孫權</x:v>
      </x:c>
      <x:c r="J910" s="2" t="str">
        <x:v>孫權</x:v>
      </x:c>
      <x:c r="K910" s="2" t="str">
        <x:v>x</x:v>
      </x:c>
      <x:c r="L910" s="2" t="str">
        <x:v>孫堅</x:v>
      </x:c>
    </x:row>
    <x:row r="911" ht="23" customHeight="1">
      <x:c r="A911" s="12" t="n">
        <x:v>903</x:v>
      </x:c>
      <x:c r="B911" s="2" t="str">
        <x:v>陆瑁</x:v>
      </x:c>
      <x:c r="C911" s="2" t="str">
        <x:v>吳(-)</x:v>
      </x:c>
      <x:c r="D911" s="2" t="str">
        <x:v>吳(-)</x:v>
      </x:c>
      <x:c r="E911" s="2" t="str">
        <x:v>吳(-)</x:v>
      </x:c>
      <x:c r="F911" s="2" t="str">
        <x:v>吳(-)</x:v>
      </x:c>
      <x:c r="G911" s="2" t="str">
        <x:v>吳(未)</x:v>
      </x:c>
      <x:c r="H911" s="2" t="str">
        <x:v>吳(未)</x:v>
      </x:c>
      <x:c r="I911" s="2" t="str">
        <x:v>吳(未)</x:v>
      </x:c>
      <x:c r="J911" s="2" t="str">
        <x:v>吳(野)</x:v>
      </x:c>
      <x:c r="K911" s="2" t="str">
        <x:v>x</x:v>
      </x:c>
      <x:c r="L911" s="2" t="str">
        <x:v>吳(未)</x:v>
      </x:c>
    </x:row>
    <x:row r="912" ht="23" customHeight="1">
      <x:c r="A912" s="12" t="n">
        <x:v>904</x:v>
      </x:c>
      <x:c r="B912" s="2" t="str">
        <x:v>李严</x:v>
      </x:c>
      <x:c r="C912" s="2" t="str">
        <x:v>宛(-)</x:v>
      </x:c>
      <x:c r="D912" s="2" t="str">
        <x:v>宛(未)</x:v>
      </x:c>
      <x:c r="E912" s="2" t="str">
        <x:v>宛(未)</x:v>
      </x:c>
      <x:c r="F912" s="2" t="str">
        <x:v>宛(未)</x:v>
      </x:c>
      <x:c r="G912" s="2" t="str">
        <x:v>劉表</x:v>
      </x:c>
      <x:c r="H912" s="2" t="str">
        <x:v>劉備</x:v>
      </x:c>
      <x:c r="I912" s="2" t="str">
        <x:v>劉備</x:v>
      </x:c>
      <x:c r="J912" s="2" t="str">
        <x:v>劉禪</x:v>
      </x:c>
      <x:c r="K912" s="2" t="str">
        <x:v>x</x:v>
      </x:c>
      <x:c r="L912" s="2" t="str">
        <x:v>孟達</x:v>
      </x:c>
    </x:row>
    <x:row r="913" ht="23" customHeight="1">
      <x:c r="A913" s="12" t="n">
        <x:v>905</x:v>
      </x:c>
      <x:c r="B913" s="2" t="str">
        <x:v>李衡</x:v>
      </x:c>
      <x:c r="C913" s="2" t="str">
        <x:v>襄陽(-)</x:v>
      </x:c>
      <x:c r="D913" s="2" t="str">
        <x:v>襄陽(-)</x:v>
      </x:c>
      <x:c r="E913" s="2" t="str">
        <x:v>襄陽(-)</x:v>
      </x:c>
      <x:c r="F913" s="2" t="str">
        <x:v>襄陽(-)</x:v>
      </x:c>
      <x:c r="G913" s="2" t="str">
        <x:v>襄陽(-)</x:v>
      </x:c>
      <x:c r="H913" s="2" t="str">
        <x:v>柴桑(-)</x:v>
      </x:c>
      <x:c r="I913" s="2" t="str">
        <x:v>柴桑(-)</x:v>
      </x:c>
      <x:c r="J913" s="2" t="str">
        <x:v>柴桑(未)</x:v>
      </x:c>
      <x:c r="K913" s="2" t="str">
        <x:v>孫權</x:v>
      </x:c>
      <x:c r="L913" s="2" t="str">
        <x:v>襄陽(未)</x:v>
      </x:c>
    </x:row>
    <x:row r="914" ht="23" customHeight="1">
      <x:c r="A914" s="12" t="n">
        <x:v>906</x:v>
      </x:c>
      <x:c r="B914" s="2" t="str">
        <x:v>李氏</x:v>
      </x:c>
      <x:c r="C914" s="2" t="str">
        <x:v>梓潼(-)</x:v>
      </x:c>
      <x:c r="D914" s="2" t="str">
        <x:v>梓潼(-)</x:v>
      </x:c>
      <x:c r="E914" s="2" t="str">
        <x:v>梓潼(-)</x:v>
      </x:c>
      <x:c r="F914" s="2" t="str">
        <x:v>梓潼(-)</x:v>
      </x:c>
      <x:c r="G914" s="2" t="str">
        <x:v>梓潼(-)</x:v>
      </x:c>
      <x:c r="H914" s="2" t="str">
        <x:v>梓潼(-)</x:v>
      </x:c>
      <x:c r="I914" s="2" t="str">
        <x:v>梓潼(-)</x:v>
      </x:c>
      <x:c r="J914" s="2" t="str">
        <x:v>梓潼(-)</x:v>
      </x:c>
      <x:c r="K914" s="2" t="str">
        <x:v>劉禪</x:v>
      </x:c>
      <x:c r="L914" s="2" t="str">
        <x:v>梓潼(未)</x:v>
      </x:c>
    </x:row>
    <x:row r="915" ht="23" customHeight="1">
      <x:c r="A915" s="12" t="n">
        <x:v>907</x:v>
      </x:c>
      <x:c r="B915" s="2" t="str">
        <x:v>李儒</x:v>
      </x:c>
      <x:c r="C915" s="2" t="str">
        <x:v>董卓</x:v>
      </x:c>
      <x:c r="D915" s="2" t="str">
        <x:v>董卓</x:v>
      </x:c>
      <x:c r="E915" s="2" t="str">
        <x:v>x</x:v>
      </x:c>
      <x:c r="F915" s="2" t="str">
        <x:v>x</x:v>
      </x:c>
      <x:c r="G915" s="2" t="str">
        <x:v>x</x:v>
      </x:c>
      <x:c r="H915" s="2" t="str">
        <x:v>x</x:v>
      </x:c>
      <x:c r="I915" s="2" t="str">
        <x:v>x</x:v>
      </x:c>
      <x:c r="J915" s="2" t="str">
        <x:v>x</x:v>
      </x:c>
      <x:c r="K915" s="2" t="str">
        <x:v>x</x:v>
      </x:c>
      <x:c r="L915" s="2" t="str">
        <x:v>董卓</x:v>
      </x:c>
    </x:row>
    <x:row r="916" ht="23" customHeight="1">
      <x:c r="A916" s="12" t="n">
        <x:v>908</x:v>
      </x:c>
      <x:c r="B916" s="2" t="str">
        <x:v>李肃</x:v>
      </x:c>
      <x:c r="C916" s="2" t="str">
        <x:v>晉陽(未)</x:v>
      </x:c>
      <x:c r="D916" s="2" t="str">
        <x:v>董卓</x:v>
      </x:c>
      <x:c r="E916" s="2" t="str">
        <x:v>x</x:v>
      </x:c>
      <x:c r="F916" s="2" t="str">
        <x:v>x</x:v>
      </x:c>
      <x:c r="G916" s="2" t="str">
        <x:v>x</x:v>
      </x:c>
      <x:c r="H916" s="2" t="str">
        <x:v>x</x:v>
      </x:c>
      <x:c r="I916" s="2" t="str">
        <x:v>x</x:v>
      </x:c>
      <x:c r="J916" s="2" t="str">
        <x:v>x</x:v>
      </x:c>
      <x:c r="K916" s="2" t="str">
        <x:v>x</x:v>
      </x:c>
      <x:c r="L916" s="2" t="str">
        <x:v>晉陽(未)</x:v>
      </x:c>
    </x:row>
    <x:row r="917" ht="23" customHeight="1">
      <x:c r="A917" s="12" t="n">
        <x:v>909</x:v>
      </x:c>
      <x:c r="B917" s="2" t="str">
        <x:v>李胜</x:v>
      </x:c>
      <x:c r="C917" s="2" t="str">
        <x:v>宛(-)</x:v>
      </x:c>
      <x:c r="D917" s="2" t="str">
        <x:v>宛(-)</x:v>
      </x:c>
      <x:c r="E917" s="2" t="str">
        <x:v>宛(-)</x:v>
      </x:c>
      <x:c r="F917" s="2" t="str">
        <x:v>宛(-)</x:v>
      </x:c>
      <x:c r="G917" s="2" t="str">
        <x:v>宛(-)</x:v>
      </x:c>
      <x:c r="H917" s="2" t="str">
        <x:v>宛(-)</x:v>
      </x:c>
      <x:c r="I917" s="2" t="str">
        <x:v>曹丕</x:v>
      </x:c>
      <x:c r="J917" s="2" t="str">
        <x:v>曹叡</x:v>
      </x:c>
      <x:c r="K917" s="2" t="str">
        <x:v>曹爽</x:v>
      </x:c>
      <x:c r="L917" s="2" t="str">
        <x:v>宛(未)</x:v>
      </x:c>
    </x:row>
    <x:row r="918" ht="23" customHeight="1">
      <x:c r="A918" s="12" t="n">
        <x:v>910</x:v>
      </x:c>
      <x:c r="B918" s="2" t="str">
        <x:v>李邵</x:v>
      </x:c>
      <x:c r="C918" s="2" t="str">
        <x:v>成都(-)</x:v>
      </x:c>
      <x:c r="D918" s="2" t="str">
        <x:v>成都(-)</x:v>
      </x:c>
      <x:c r="E918" s="2" t="str">
        <x:v>成都(-)</x:v>
      </x:c>
      <x:c r="F918" s="2" t="str">
        <x:v>成都(-)</x:v>
      </x:c>
      <x:c r="G918" s="2" t="str">
        <x:v>成都(未)</x:v>
      </x:c>
      <x:c r="H918" s="2" t="str">
        <x:v>劉備</x:v>
      </x:c>
      <x:c r="I918" s="2" t="str">
        <x:v>劉備</x:v>
      </x:c>
      <x:c r="J918" s="2" t="str">
        <x:v>x</x:v>
      </x:c>
      <x:c r="K918" s="2" t="str">
        <x:v>x</x:v>
      </x:c>
      <x:c r="L918" s="2" t="str">
        <x:v>成都(未)</x:v>
      </x:c>
    </x:row>
    <x:row r="919" ht="23" customHeight="1">
      <x:c r="A919" s="12" t="n">
        <x:v>911</x:v>
      </x:c>
      <x:c r="B919" s="2" t="str">
        <x:v>李通</x:v>
      </x:c>
      <x:c r="C919" s="2" t="str">
        <x:v>汝南(-)</x:v>
      </x:c>
      <x:c r="D919" s="2" t="str">
        <x:v>汝南(未)</x:v>
      </x:c>
      <x:c r="E919" s="2" t="str">
        <x:v>汝南(未)</x:v>
      </x:c>
      <x:c r="F919" s="2" t="str">
        <x:v>曹操</x:v>
      </x:c>
      <x:c r="G919" s="2" t="str">
        <x:v>曹操</x:v>
      </x:c>
      <x:c r="H919" s="2" t="str">
        <x:v>x</x:v>
      </x:c>
      <x:c r="I919" s="2" t="str">
        <x:v>x</x:v>
      </x:c>
      <x:c r="J919" s="2" t="str">
        <x:v>x</x:v>
      </x:c>
      <x:c r="K919" s="2" t="str">
        <x:v>x</x:v>
      </x:c>
      <x:c r="L919" s="2" t="str">
        <x:v>汝南(未)</x:v>
      </x:c>
    </x:row>
    <x:row r="920" ht="23" customHeight="1">
      <x:c r="A920" s="12" t="n">
        <x:v>912</x:v>
      </x:c>
      <x:c r="B920" s="2" t="str">
        <x:v>李朝</x:v>
      </x:c>
      <x:c r="C920" s="2" t="str">
        <x:v>成都(-)</x:v>
      </x:c>
      <x:c r="D920" s="2" t="str">
        <x:v>成都(-)</x:v>
      </x:c>
      <x:c r="E920" s="2" t="str">
        <x:v>成都(-)</x:v>
      </x:c>
      <x:c r="F920" s="2" t="str">
        <x:v>成都(-)</x:v>
      </x:c>
      <x:c r="G920" s="2" t="str">
        <x:v>成都(未)</x:v>
      </x:c>
      <x:c r="H920" s="2" t="str">
        <x:v>劉備</x:v>
      </x:c>
      <x:c r="I920" s="2" t="str">
        <x:v>劉備</x:v>
      </x:c>
      <x:c r="J920" s="2" t="str">
        <x:v>x</x:v>
      </x:c>
      <x:c r="K920" s="2" t="str">
        <x:v>x</x:v>
      </x:c>
      <x:c r="L920" s="2" t="str">
        <x:v>成都(未)</x:v>
      </x:c>
    </x:row>
    <x:row r="921" ht="23" customHeight="1">
      <x:c r="A921" s="12" t="n">
        <x:v>913</x:v>
      </x:c>
      <x:c r="B921" s="2" t="str">
        <x:v>李典</x:v>
      </x:c>
      <x:c r="C921" s="2" t="str">
        <x:v>濮陽(-)</x:v>
      </x:c>
      <x:c r="D921" s="2" t="str">
        <x:v>曹操</x:v>
      </x:c>
      <x:c r="E921" s="2" t="str">
        <x:v>曹操</x:v>
      </x:c>
      <x:c r="F921" s="2" t="str">
        <x:v>曹操</x:v>
      </x:c>
      <x:c r="G921" s="2" t="str">
        <x:v>曹操</x:v>
      </x:c>
      <x:c r="H921" s="2" t="str">
        <x:v>x</x:v>
      </x:c>
      <x:c r="I921" s="2" t="str">
        <x:v>x</x:v>
      </x:c>
      <x:c r="J921" s="2" t="str">
        <x:v>x</x:v>
      </x:c>
      <x:c r="K921" s="2" t="str">
        <x:v>x</x:v>
      </x:c>
      <x:c r="L921" s="2" t="str">
        <x:v>曹操</x:v>
      </x:c>
    </x:row>
    <x:row r="922" ht="23" customHeight="1">
      <x:c r="A922" s="12" t="n">
        <x:v>914</x:v>
      </x:c>
      <x:c r="B922" s="2" t="str">
        <x:v>李孚</x:v>
      </x:c>
      <x:c r="C922" s="2" t="str">
        <x:v>南皮(未)</x:v>
      </x:c>
      <x:c r="D922" s="2" t="str">
        <x:v>南皮(未)</x:v>
      </x:c>
      <x:c r="E922" s="2" t="str">
        <x:v>南皮(未)</x:v>
      </x:c>
      <x:c r="F922" s="2" t="str">
        <x:v>袁紹</x:v>
      </x:c>
      <x:c r="G922" s="2" t="str">
        <x:v>曹操</x:v>
      </x:c>
      <x:c r="H922" s="2" t="str">
        <x:v>x</x:v>
      </x:c>
      <x:c r="I922" s="2" t="str">
        <x:v>x</x:v>
      </x:c>
      <x:c r="J922" s="2" t="str">
        <x:v>x</x:v>
      </x:c>
      <x:c r="K922" s="2" t="str">
        <x:v>x</x:v>
      </x:c>
      <x:c r="L922" s="2" t="str">
        <x:v>袁紹</x:v>
      </x:c>
    </x:row>
    <x:row r="923" ht="23" customHeight="1">
      <x:c r="A923" s="12" t="n">
        <x:v>915</x:v>
      </x:c>
      <x:c r="B923" s="2" t="str">
        <x:v>李福</x:v>
      </x:c>
      <x:c r="C923" s="2" t="str">
        <x:v>梓潼(-)</x:v>
      </x:c>
      <x:c r="D923" s="2" t="str">
        <x:v>梓潼(-)</x:v>
      </x:c>
      <x:c r="E923" s="2" t="str">
        <x:v>梓潼(未)</x:v>
      </x:c>
      <x:c r="F923" s="2" t="str">
        <x:v>劉璋</x:v>
      </x:c>
      <x:c r="G923" s="2" t="str">
        <x:v>劉璋</x:v>
      </x:c>
      <x:c r="H923" s="2" t="str">
        <x:v>劉備</x:v>
      </x:c>
      <x:c r="I923" s="2" t="str">
        <x:v>劉備</x:v>
      </x:c>
      <x:c r="J923" s="2" t="str">
        <x:v>劉禪</x:v>
      </x:c>
      <x:c r="K923" s="2" t="str">
        <x:v>x</x:v>
      </x:c>
      <x:c r="L923" s="2" t="str">
        <x:v>梓潼(未)</x:v>
      </x:c>
    </x:row>
    <x:row r="924" ht="23" customHeight="1">
      <x:c r="A924" s="12" t="n">
        <x:v>916</x:v>
      </x:c>
      <x:c r="B924" s="2" t="str">
        <x:v>李辅</x:v>
      </x:c>
      <x:c r="C924" s="2" t="str">
        <x:v>上庸(-)</x:v>
      </x:c>
      <x:c r="D924" s="2" t="str">
        <x:v>上庸(-)</x:v>
      </x:c>
      <x:c r="E924" s="2" t="str">
        <x:v>上庸(-)</x:v>
      </x:c>
      <x:c r="F924" s="2" t="str">
        <x:v>上庸(-)</x:v>
      </x:c>
      <x:c r="G924" s="2" t="str">
        <x:v>上庸(-)</x:v>
      </x:c>
      <x:c r="H924" s="2" t="str">
        <x:v>上庸(-)</x:v>
      </x:c>
      <x:c r="I924" s="2" t="str">
        <x:v>曹丕</x:v>
      </x:c>
      <x:c r="J924" s="2" t="str">
        <x:v>曹叡</x:v>
      </x:c>
      <x:c r="K924" s="2" t="str">
        <x:v>曹芳</x:v>
      </x:c>
      <x:c r="L924" s="2" t="str">
        <x:v>孟達</x:v>
      </x:c>
    </x:row>
    <x:row r="925" ht="23" customHeight="1">
      <x:c r="A925" s="12" t="n">
        <x:v>917</x:v>
      </x:c>
      <x:c r="B925" s="2" t="str">
        <x:v>李丰</x:v>
      </x:c>
      <x:c r="C925" s="2" t="str">
        <x:v>宛(-)</x:v>
      </x:c>
      <x:c r="D925" s="2" t="str">
        <x:v>宛(-)</x:v>
      </x:c>
      <x:c r="E925" s="2" t="str">
        <x:v>宛(-)</x:v>
      </x:c>
      <x:c r="F925" s="2" t="str">
        <x:v>宛(-)</x:v>
      </x:c>
      <x:c r="G925" s="2" t="str">
        <x:v>江陵(-)</x:v>
      </x:c>
      <x:c r="H925" s="2" t="str">
        <x:v>劉備</x:v>
      </x:c>
      <x:c r="I925" s="2" t="str">
        <x:v>劉備</x:v>
      </x:c>
      <x:c r="J925" s="2" t="str">
        <x:v>劉禪</x:v>
      </x:c>
      <x:c r="K925" s="2" t="str">
        <x:v>劉禪</x:v>
      </x:c>
      <x:c r="L925" s="2" t="str">
        <x:v>孟達</x:v>
      </x:c>
    </x:row>
    <x:row r="926" ht="23" customHeight="1">
      <x:c r="A926" s="12" t="n">
        <x:v>918</x:v>
      </x:c>
      <x:c r="B926" s="2" t="str">
        <x:v>李丰</x:v>
      </x:c>
      <x:c r="C926" s="2" t="str">
        <x:v>長安(-)</x:v>
      </x:c>
      <x:c r="D926" s="2" t="str">
        <x:v>長安(-)</x:v>
      </x:c>
      <x:c r="E926" s="2" t="str">
        <x:v>長安(-)</x:v>
      </x:c>
      <x:c r="F926" s="2" t="str">
        <x:v>長安(-)</x:v>
      </x:c>
      <x:c r="G926" s="2" t="str">
        <x:v>長安(-)</x:v>
      </x:c>
      <x:c r="H926" s="2" t="str">
        <x:v>長安(-)</x:v>
      </x:c>
      <x:c r="I926" s="2" t="str">
        <x:v>長安(-)</x:v>
      </x:c>
      <x:c r="J926" s="2" t="str">
        <x:v>曹叡</x:v>
      </x:c>
      <x:c r="K926" s="2" t="str">
        <x:v>曹芳</x:v>
      </x:c>
      <x:c r="L926" s="2" t="str">
        <x:v>毌丘儉</x:v>
      </x:c>
    </x:row>
    <x:row r="927" ht="23" customHeight="1">
      <x:c r="A927" s="12" t="n">
        <x:v>919</x:v>
      </x:c>
      <x:c r="B927" s="2" t="str">
        <x:v>李丰</x:v>
      </x:c>
      <x:c r="C927" s="2" t="str">
        <x:v>濮陽(未)</x:v>
      </x:c>
      <x:c r="D927" s="2" t="str">
        <x:v>袁術</x:v>
      </x:c>
      <x:c r="E927" s="2" t="str">
        <x:v>袁術</x:v>
      </x:c>
      <x:c r="F927" s="2" t="str">
        <x:v>x</x:v>
      </x:c>
      <x:c r="G927" s="2" t="str">
        <x:v>x</x:v>
      </x:c>
      <x:c r="H927" s="2" t="str">
        <x:v>x</x:v>
      </x:c>
      <x:c r="I927" s="2" t="str">
        <x:v>x</x:v>
      </x:c>
      <x:c r="J927" s="2" t="str">
        <x:v>x</x:v>
      </x:c>
      <x:c r="K927" s="2" t="str">
        <x:v>x</x:v>
      </x:c>
      <x:c r="L927" s="2" t="str">
        <x:v>袁術</x:v>
      </x:c>
    </x:row>
    <x:row r="928" ht="23" customHeight="1">
      <x:c r="A928" s="12" t="n">
        <x:v>920</x:v>
      </x:c>
      <x:c r="B928" s="2" t="str">
        <x:v>李封</x:v>
      </x:c>
      <x:c r="C928" s="2" t="str">
        <x:v>濮陽(-)</x:v>
      </x:c>
      <x:c r="D928" s="2" t="str">
        <x:v>濮陽(-)</x:v>
      </x:c>
      <x:c r="E928" s="2" t="str">
        <x:v>呂布</x:v>
      </x:c>
      <x:c r="F928" s="2" t="str">
        <x:v>x</x:v>
      </x:c>
      <x:c r="G928" s="2" t="str">
        <x:v>x</x:v>
      </x:c>
      <x:c r="H928" s="2" t="str">
        <x:v>x</x:v>
      </x:c>
      <x:c r="I928" s="2" t="str">
        <x:v>x</x:v>
      </x:c>
      <x:c r="J928" s="2" t="str">
        <x:v>x</x:v>
      </x:c>
      <x:c r="K928" s="2" t="str">
        <x:v>x</x:v>
      </x:c>
      <x:c r="L928" s="2" t="str">
        <x:v>呂布</x:v>
      </x:c>
    </x:row>
    <x:row r="929" ht="23" customHeight="1">
      <x:c r="A929" s="12" t="n">
        <x:v>921</x:v>
      </x:c>
      <x:c r="B929" s="2" t="str">
        <x:v>李密</x:v>
      </x:c>
      <x:c r="C929" s="2" t="str">
        <x:v>成都(-)</x:v>
      </x:c>
      <x:c r="D929" s="2" t="str">
        <x:v>成都(-)</x:v>
      </x:c>
      <x:c r="E929" s="2" t="str">
        <x:v>成都(-)</x:v>
      </x:c>
      <x:c r="F929" s="2" t="str">
        <x:v>成都(-)</x:v>
      </x:c>
      <x:c r="G929" s="2" t="str">
        <x:v>成都(-)</x:v>
      </x:c>
      <x:c r="H929" s="2" t="str">
        <x:v>成都(-)</x:v>
      </x:c>
      <x:c r="I929" s="2" t="str">
        <x:v>成都(-)</x:v>
      </x:c>
      <x:c r="J929" s="2" t="str">
        <x:v>成都(-)</x:v>
      </x:c>
      <x:c r="K929" s="2" t="str">
        <x:v>劉禪</x:v>
      </x:c>
      <x:c r="L929" s="2" t="str">
        <x:v>成都(未)</x:v>
      </x:c>
    </x:row>
    <x:row r="930" ht="23" customHeight="1">
      <x:c r="A930" s="12" t="n">
        <x:v>922</x:v>
      </x:c>
      <x:c r="B930" s="2" t="str">
        <x:v>李蒙</x:v>
      </x:c>
      <x:c r="C930" s="2" t="str">
        <x:v>董卓</x:v>
      </x:c>
      <x:c r="D930" s="2" t="str">
        <x:v>董卓</x:v>
      </x:c>
      <x:c r="E930" s="2" t="str">
        <x:v>x</x:v>
      </x:c>
      <x:c r="F930" s="2" t="str">
        <x:v>x</x:v>
      </x:c>
      <x:c r="G930" s="2" t="str">
        <x:v>x</x:v>
      </x:c>
      <x:c r="H930" s="2" t="str">
        <x:v>x</x:v>
      </x:c>
      <x:c r="I930" s="2" t="str">
        <x:v>x</x:v>
      </x:c>
      <x:c r="J930" s="2" t="str">
        <x:v>x</x:v>
      </x:c>
      <x:c r="K930" s="2" t="str">
        <x:v>x</x:v>
      </x:c>
      <x:c r="L930" s="2" t="str">
        <x:v>董卓</x:v>
      </x:c>
    </x:row>
    <x:row r="931" ht="23" customHeight="1">
      <x:c r="A931" s="12" t="n">
        <x:v>923</x:v>
      </x:c>
      <x:c r="B931" s="2" t="str">
        <x:v>柳隐</x:v>
      </x:c>
      <x:c r="C931" s="2" t="str">
        <x:v>成都(-)</x:v>
      </x:c>
      <x:c r="D931" s="2" t="str">
        <x:v>成都(-)</x:v>
      </x:c>
      <x:c r="E931" s="2" t="str">
        <x:v>成都(-)</x:v>
      </x:c>
      <x:c r="F931" s="2" t="str">
        <x:v>成都(-)</x:v>
      </x:c>
      <x:c r="G931" s="2" t="str">
        <x:v>成都(-)</x:v>
      </x:c>
      <x:c r="H931" s="2" t="str">
        <x:v>成都(未)</x:v>
      </x:c>
      <x:c r="I931" s="2" t="str">
        <x:v>劉備</x:v>
      </x:c>
      <x:c r="J931" s="2" t="str">
        <x:v>劉禪</x:v>
      </x:c>
      <x:c r="K931" s="2" t="str">
        <x:v>劉禪</x:v>
      </x:c>
      <x:c r="L931" s="2" t="str">
        <x:v>成都(未)</x:v>
      </x:c>
    </x:row>
    <x:row r="932" ht="23" customHeight="1">
      <x:c r="A932" s="12" t="n">
        <x:v>924</x:v>
      </x:c>
      <x:c r="B932" s="2" t="str">
        <x:v>刘永</x:v>
      </x:c>
      <x:c r="C932" s="2" t="str">
        <x:v>薊(-)</x:v>
      </x:c>
      <x:c r="D932" s="2" t="str">
        <x:v>薊(-)</x:v>
      </x:c>
      <x:c r="E932" s="2" t="str">
        <x:v>薊(-)</x:v>
      </x:c>
      <x:c r="F932" s="2" t="str">
        <x:v>薊(-)</x:v>
      </x:c>
      <x:c r="G932" s="2" t="str">
        <x:v>新野(-)</x:v>
      </x:c>
      <x:c r="H932" s="2" t="str">
        <x:v>成都(-)</x:v>
      </x:c>
      <x:c r="I932" s="2" t="str">
        <x:v>成都(-)</x:v>
      </x:c>
      <x:c r="J932" s="2" t="str">
        <x:v>劉禪</x:v>
      </x:c>
      <x:c r="K932" s="2" t="str">
        <x:v>劉禪</x:v>
      </x:c>
      <x:c r="L932" s="2" t="str">
        <x:v>劉備</x:v>
      </x:c>
    </x:row>
    <x:row r="933" ht="23" customHeight="1">
      <x:c r="A933" s="12" t="n">
        <x:v>925</x:v>
      </x:c>
      <x:c r="B933" s="2" t="str">
        <x:v>刘焉</x:v>
      </x:c>
      <x:c r="C933" s="2" t="str">
        <x:v>劉焉</x:v>
      </x:c>
      <x:c r="D933" s="2" t="str">
        <x:v>劉焉</x:v>
      </x:c>
      <x:c r="E933" s="2" t="str">
        <x:v>x</x:v>
      </x:c>
      <x:c r="F933" s="2" t="str">
        <x:v>x</x:v>
      </x:c>
      <x:c r="G933" s="2" t="str">
        <x:v>x</x:v>
      </x:c>
      <x:c r="H933" s="2" t="str">
        <x:v>x</x:v>
      </x:c>
      <x:c r="I933" s="2" t="str">
        <x:v>x</x:v>
      </x:c>
      <x:c r="J933" s="2" t="str">
        <x:v>x</x:v>
      </x:c>
      <x:c r="K933" s="2" t="str">
        <x:v>x</x:v>
      </x:c>
      <x:c r="L933" s="2" t="str">
        <x:v>劉焉</x:v>
      </x:c>
    </x:row>
    <x:row r="934" ht="23" customHeight="1">
      <x:c r="A934" s="12" t="n">
        <x:v>926</x:v>
      </x:c>
      <x:c r="B934" s="2" t="str">
        <x:v>刘延</x:v>
      </x:c>
      <x:c r="C934" s="2" t="str">
        <x:v>陳留(-)</x:v>
      </x:c>
      <x:c r="D934" s="2" t="str">
        <x:v>陳留(未)</x:v>
      </x:c>
      <x:c r="E934" s="2" t="str">
        <x:v>陳留(未)</x:v>
      </x:c>
      <x:c r="F934" s="2" t="str">
        <x:v>曹操</x:v>
      </x:c>
      <x:c r="G934" s="2" t="str">
        <x:v>曹操</x:v>
      </x:c>
      <x:c r="H934" s="2" t="str">
        <x:v>曹操</x:v>
      </x:c>
      <x:c r="I934" s="2" t="str">
        <x:v>x</x:v>
      </x:c>
      <x:c r="J934" s="2" t="str">
        <x:v>x</x:v>
      </x:c>
      <x:c r="K934" s="2" t="str">
        <x:v>x</x:v>
      </x:c>
      <x:c r="L934" s="2" t="str">
        <x:v>陳留(未)</x:v>
      </x:c>
    </x:row>
    <x:row r="935" ht="23" customHeight="1">
      <x:c r="A935" s="12" t="n">
        <x:v>927</x:v>
      </x:c>
      <x:c r="B935" s="2" t="str">
        <x:v>刘和</x:v>
      </x:c>
      <x:c r="C935" s="2" t="str">
        <x:v>何進</x:v>
      </x:c>
      <x:c r="D935" s="2" t="str">
        <x:v>劉虞</x:v>
      </x:c>
      <x:c r="E935" s="2" t="str">
        <x:v>x</x:v>
      </x:c>
      <x:c r="F935" s="2" t="str">
        <x:v>x</x:v>
      </x:c>
      <x:c r="G935" s="2" t="str">
        <x:v>x</x:v>
      </x:c>
      <x:c r="H935" s="2" t="str">
        <x:v>x</x:v>
      </x:c>
      <x:c r="I935" s="2" t="str">
        <x:v>x</x:v>
      </x:c>
      <x:c r="J935" s="2" t="str">
        <x:v>x</x:v>
      </x:c>
      <x:c r="K935" s="2" t="str">
        <x:v>x</x:v>
      </x:c>
      <x:c r="L935" s="2" t="str">
        <x:v>劉虞</x:v>
      </x:c>
    </x:row>
    <x:row r="936" ht="23" customHeight="1">
      <x:c r="A936" s="12" t="n">
        <x:v>928</x:v>
      </x:c>
      <x:c r="B936" s="2" t="str">
        <x:v>刘璝</x:v>
      </x:c>
      <x:c r="C936" s="2" t="str">
        <x:v>成都(-)</x:v>
      </x:c>
      <x:c r="D936" s="2" t="str">
        <x:v>劉焉</x:v>
      </x:c>
      <x:c r="E936" s="2" t="str">
        <x:v>劉璋</x:v>
      </x:c>
      <x:c r="F936" s="2" t="str">
        <x:v>劉璋</x:v>
      </x:c>
      <x:c r="G936" s="2" t="str">
        <x:v>劉璋</x:v>
      </x:c>
      <x:c r="H936" s="2" t="str">
        <x:v>x</x:v>
      </x:c>
      <x:c r="I936" s="2" t="str">
        <x:v>x</x:v>
      </x:c>
      <x:c r="J936" s="2" t="str">
        <x:v>x</x:v>
      </x:c>
      <x:c r="K936" s="2" t="str">
        <x:v>x</x:v>
      </x:c>
      <x:c r="L936" s="2" t="str">
        <x:v>劉焉</x:v>
      </x:c>
    </x:row>
    <x:row r="937" ht="23" customHeight="1">
      <x:c r="A937" s="12" t="n">
        <x:v>929</x:v>
      </x:c>
      <x:c r="B937" s="2" t="str">
        <x:v>刘琦</x:v>
      </x:c>
      <x:c r="C937" s="2" t="str">
        <x:v>濮陽(-)</x:v>
      </x:c>
      <x:c r="D937" s="2" t="str">
        <x:v>劉表</x:v>
      </x:c>
      <x:c r="E937" s="2" t="str">
        <x:v>劉表</x:v>
      </x:c>
      <x:c r="F937" s="2" t="str">
        <x:v>劉表</x:v>
      </x:c>
      <x:c r="G937" s="2" t="str">
        <x:v>劉表</x:v>
      </x:c>
      <x:c r="H937" s="2" t="str">
        <x:v>x</x:v>
      </x:c>
      <x:c r="I937" s="2" t="str">
        <x:v>x</x:v>
      </x:c>
      <x:c r="J937" s="2" t="str">
        <x:v>x</x:v>
      </x:c>
      <x:c r="K937" s="2" t="str">
        <x:v>x</x:v>
      </x:c>
      <x:c r="L937" s="2" t="str">
        <x:v>劉表</x:v>
      </x:c>
    </x:row>
    <x:row r="938" ht="23" customHeight="1">
      <x:c r="A938" s="12" t="n">
        <x:v>930</x:v>
      </x:c>
      <x:c r="B938" s="2" t="str">
        <x:v>刘基</x:v>
      </x:c>
      <x:c r="C938" s="2" t="str">
        <x:v>北海(-)</x:v>
      </x:c>
      <x:c r="D938" s="2" t="str">
        <x:v>壽春(-)</x:v>
      </x:c>
      <x:c r="E938" s="2" t="str">
        <x:v>建業(-)</x:v>
      </x:c>
      <x:c r="F938" s="2" t="str">
        <x:v>柴桑(野)</x:v>
      </x:c>
      <x:c r="G938" s="2" t="str">
        <x:v>柴桑(野)</x:v>
      </x:c>
      <x:c r="H938" s="2" t="str">
        <x:v>孫權</x:v>
      </x:c>
      <x:c r="I938" s="2" t="str">
        <x:v>孫權</x:v>
      </x:c>
      <x:c r="J938" s="2" t="str">
        <x:v>孫權</x:v>
      </x:c>
      <x:c r="K938" s="2" t="str">
        <x:v>x</x:v>
      </x:c>
      <x:c r="L938" s="2" t="str">
        <x:v>劉繇</x:v>
      </x:c>
    </x:row>
    <x:row r="939" ht="23" customHeight="1">
      <x:c r="A939" s="12" t="n">
        <x:v>931</x:v>
      </x:c>
      <x:c r="B939" s="2" t="str">
        <x:v>柳毅</x:v>
      </x:c>
      <x:c r="C939" s="2" t="str">
        <x:v>襄平(未)</x:v>
      </x:c>
      <x:c r="D939" s="2" t="str">
        <x:v>公孫度</x:v>
      </x:c>
      <x:c r="E939" s="2" t="str">
        <x:v>公孫度</x:v>
      </x:c>
      <x:c r="F939" s="2" t="str">
        <x:v>公孫度</x:v>
      </x:c>
      <x:c r="G939" s="2" t="str">
        <x:v>x</x:v>
      </x:c>
      <x:c r="H939" s="2" t="str">
        <x:v>x</x:v>
      </x:c>
      <x:c r="I939" s="2" t="str">
        <x:v>x</x:v>
      </x:c>
      <x:c r="J939" s="2" t="str">
        <x:v>x</x:v>
      </x:c>
      <x:c r="K939" s="2" t="str">
        <x:v>x</x:v>
      </x:c>
      <x:c r="L939" s="2" t="str">
        <x:v>公孫度</x:v>
      </x:c>
    </x:row>
    <x:row r="940" ht="23" customHeight="1">
      <x:c r="A940" s="12" t="n">
        <x:v>932</x:v>
      </x:c>
      <x:c r="B940" s="2" t="str">
        <x:v>刘虞</x:v>
      </x:c>
      <x:c r="C940" s="2" t="str">
        <x:v>何進</x:v>
      </x:c>
      <x:c r="D940" s="2" t="str">
        <x:v>劉虞</x:v>
      </x:c>
      <x:c r="E940" s="2" t="str">
        <x:v>x</x:v>
      </x:c>
      <x:c r="F940" s="2" t="str">
        <x:v>x</x:v>
      </x:c>
      <x:c r="G940" s="2" t="str">
        <x:v>x</x:v>
      </x:c>
      <x:c r="H940" s="2" t="str">
        <x:v>x</x:v>
      </x:c>
      <x:c r="I940" s="2" t="str">
        <x:v>x</x:v>
      </x:c>
      <x:c r="J940" s="2" t="str">
        <x:v>x</x:v>
      </x:c>
      <x:c r="K940" s="2" t="str">
        <x:v>x</x:v>
      </x:c>
      <x:c r="L940" s="2" t="str">
        <x:v>劉虞</x:v>
      </x:c>
    </x:row>
    <x:row r="941" ht="23" customHeight="1">
      <x:c r="A941" s="12" t="n">
        <x:v>933</x:v>
      </x:c>
      <x:c r="B941" s="2" t="str">
        <x:v>刘勋</x:v>
      </x:c>
      <x:c r="C941" s="2" t="str">
        <x:v>小沛(未)</x:v>
      </x:c>
      <x:c r="D941" s="2" t="str">
        <x:v>袁術</x:v>
      </x:c>
      <x:c r="E941" s="2" t="str">
        <x:v>袁術</x:v>
      </x:c>
      <x:c r="F941" s="2" t="str">
        <x:v>曹操</x:v>
      </x:c>
      <x:c r="G941" s="2" t="str">
        <x:v>曹操</x:v>
      </x:c>
      <x:c r="H941" s="2" t="str">
        <x:v>x</x:v>
      </x:c>
      <x:c r="I941" s="2" t="str">
        <x:v>x</x:v>
      </x:c>
      <x:c r="J941" s="2" t="str">
        <x:v>x</x:v>
      </x:c>
      <x:c r="K941" s="2" t="str">
        <x:v>x</x:v>
      </x:c>
      <x:c r="L941" s="2" t="str">
        <x:v>袁術</x:v>
      </x:c>
    </x:row>
    <x:row r="942" ht="23" customHeight="1">
      <x:c r="A942" s="12" t="n">
        <x:v>934</x:v>
      </x:c>
      <x:c r="B942" s="2" t="str">
        <x:v>刘贤</x:v>
      </x:c>
      <x:c r="C942" s="2" t="str">
        <x:v>零陵(-)</x:v>
      </x:c>
      <x:c r="D942" s="2" t="str">
        <x:v>零陵(-)</x:v>
      </x:c>
      <x:c r="E942" s="2" t="str">
        <x:v>零陵(-)</x:v>
      </x:c>
      <x:c r="F942" s="2" t="str">
        <x:v>零陵(-)</x:v>
      </x:c>
      <x:c r="G942" s="2" t="str">
        <x:v>劉度</x:v>
      </x:c>
      <x:c r="H942" s="2" t="str">
        <x:v>劉備</x:v>
      </x:c>
      <x:c r="I942" s="2" t="str">
        <x:v>劉備</x:v>
      </x:c>
      <x:c r="J942" s="2" t="str">
        <x:v>劉禪</x:v>
      </x:c>
      <x:c r="K942" s="2" t="str">
        <x:v>劉禪</x:v>
      </x:c>
      <x:c r="L942" s="2" t="str">
        <x:v>劉度</x:v>
      </x:c>
    </x:row>
    <x:row r="943" ht="23" customHeight="1">
      <x:c r="A943" s="12" t="n">
        <x:v>935</x:v>
      </x:c>
      <x:c r="B943" s="2" t="str">
        <x:v>留赞</x:v>
      </x:c>
      <x:c r="C943" s="2" t="str">
        <x:v>會稽(-)</x:v>
      </x:c>
      <x:c r="D943" s="2" t="str">
        <x:v>會稽(-)</x:v>
      </x:c>
      <x:c r="E943" s="2" t="str">
        <x:v>會稽(-)</x:v>
      </x:c>
      <x:c r="F943" s="2" t="str">
        <x:v>會稽(-)</x:v>
      </x:c>
      <x:c r="G943" s="2" t="str">
        <x:v>孫權</x:v>
      </x:c>
      <x:c r="H943" s="2" t="str">
        <x:v>孫權</x:v>
      </x:c>
      <x:c r="I943" s="2" t="str">
        <x:v>孫權</x:v>
      </x:c>
      <x:c r="J943" s="2" t="str">
        <x:v>孫權</x:v>
      </x:c>
      <x:c r="K943" s="2" t="str">
        <x:v>孫權</x:v>
      </x:c>
      <x:c r="L943" s="2" t="str">
        <x:v>會稽(未)</x:v>
      </x:c>
    </x:row>
    <x:row r="944" ht="23" customHeight="1">
      <x:c r="A944" s="12" t="n">
        <x:v>936</x:v>
      </x:c>
      <x:c r="B944" s="2" t="str">
        <x:v>刘氏</x:v>
      </x:c>
      <x:c r="C944" s="2" t="str">
        <x:v>何進</x:v>
      </x:c>
      <x:c r="D944" s="2" t="str">
        <x:v>袁紹</x:v>
      </x:c>
      <x:c r="E944" s="2" t="str">
        <x:v>袁紹</x:v>
      </x:c>
      <x:c r="F944" s="2" t="str">
        <x:v>袁紹</x:v>
      </x:c>
      <x:c r="G944" s="2" t="str">
        <x:v>x</x:v>
      </x:c>
      <x:c r="H944" s="2" t="str">
        <x:v>x</x:v>
      </x:c>
      <x:c r="I944" s="2" t="str">
        <x:v>x</x:v>
      </x:c>
      <x:c r="J944" s="2" t="str">
        <x:v>x</x:v>
      </x:c>
      <x:c r="K944" s="2" t="str">
        <x:v>x</x:v>
      </x:c>
      <x:c r="L944" s="2" t="str">
        <x:v>袁紹</x:v>
      </x:c>
    </x:row>
    <x:row r="945" ht="23" customHeight="1">
      <x:c r="A945" s="12" t="n">
        <x:v>937</x:v>
      </x:c>
      <x:c r="B945" s="2" t="str">
        <x:v>刘循</x:v>
      </x:c>
      <x:c r="C945" s="2" t="str">
        <x:v>薊(-)</x:v>
      </x:c>
      <x:c r="D945" s="2" t="str">
        <x:v>成都(-)</x:v>
      </x:c>
      <x:c r="E945" s="2" t="str">
        <x:v>成都(-)</x:v>
      </x:c>
      <x:c r="F945" s="2" t="str">
        <x:v>劉璋</x:v>
      </x:c>
      <x:c r="G945" s="2" t="str">
        <x:v>劉璋</x:v>
      </x:c>
      <x:c r="H945" s="2" t="str">
        <x:v>劉備</x:v>
      </x:c>
      <x:c r="I945" s="2" t="str">
        <x:v>劉備</x:v>
      </x:c>
      <x:c r="J945" s="2" t="str">
        <x:v>劉禪</x:v>
      </x:c>
      <x:c r="K945" s="2" t="str">
        <x:v>x</x:v>
      </x:c>
      <x:c r="L945" s="2" t="str">
        <x:v>劉焉</x:v>
      </x:c>
    </x:row>
    <x:row r="946" ht="23" customHeight="1">
      <x:c r="A946" s="12" t="n">
        <x:v>938</x:v>
      </x:c>
      <x:c r="B946" s="2" t="str">
        <x:v>刘璋</x:v>
      </x:c>
      <x:c r="C946" s="2" t="str">
        <x:v>劉焉</x:v>
      </x:c>
      <x:c r="D946" s="2" t="str">
        <x:v>劉焉</x:v>
      </x:c>
      <x:c r="E946" s="2" t="str">
        <x:v>劉璋</x:v>
      </x:c>
      <x:c r="F946" s="2" t="str">
        <x:v>劉璋</x:v>
      </x:c>
      <x:c r="G946" s="2" t="str">
        <x:v>劉璋</x:v>
      </x:c>
      <x:c r="H946" s="2" t="str">
        <x:v>劉備</x:v>
      </x:c>
      <x:c r="I946" s="2" t="str">
        <x:v>x</x:v>
      </x:c>
      <x:c r="J946" s="2" t="str">
        <x:v>x</x:v>
      </x:c>
      <x:c r="K946" s="2" t="str">
        <x:v>x</x:v>
      </x:c>
      <x:c r="L946" s="2" t="str">
        <x:v>劉焉</x:v>
      </x:c>
    </x:row>
    <x:row r="947" ht="23" customHeight="1">
      <x:c r="A947" s="12" t="n">
        <x:v>939</x:v>
      </x:c>
      <x:c r="B947" s="2" t="str">
        <x:v>刘劭</x:v>
      </x:c>
      <x:c r="C947" s="2" t="str">
        <x:v>鄴(-)</x:v>
      </x:c>
      <x:c r="D947" s="2" t="str">
        <x:v>鄴(-)</x:v>
      </x:c>
      <x:c r="E947" s="2" t="str">
        <x:v>鄴(-)</x:v>
      </x:c>
      <x:c r="F947" s="2" t="str">
        <x:v>鄴(-)</x:v>
      </x:c>
      <x:c r="G947" s="2" t="str">
        <x:v>鄴(-)</x:v>
      </x:c>
      <x:c r="H947" s="2" t="str">
        <x:v>曹操</x:v>
      </x:c>
      <x:c r="I947" s="2" t="str">
        <x:v>曹丕</x:v>
      </x:c>
      <x:c r="J947" s="2" t="str">
        <x:v>曹叡</x:v>
      </x:c>
      <x:c r="K947" s="2" t="str">
        <x:v>曹芳</x:v>
      </x:c>
      <x:c r="L947" s="2" t="str">
        <x:v>鄴(未)</x:v>
      </x:c>
    </x:row>
    <x:row r="948" ht="23" customHeight="1">
      <x:c r="A948" s="12" t="n">
        <x:v>940</x:v>
      </x:c>
      <x:c r="B948" s="2" t="str">
        <x:v>刘丞</x:v>
      </x:c>
      <x:c r="C948" s="2" t="str">
        <x:v>吳(-)</x:v>
      </x:c>
      <x:c r="D948" s="2" t="str">
        <x:v>吳(-)</x:v>
      </x:c>
      <x:c r="E948" s="2" t="str">
        <x:v>吳(-)</x:v>
      </x:c>
      <x:c r="F948" s="2" t="str">
        <x:v>吳(-)</x:v>
      </x:c>
      <x:c r="G948" s="2" t="str">
        <x:v>吳(-)</x:v>
      </x:c>
      <x:c r="H948" s="2" t="str">
        <x:v>吳(-)</x:v>
      </x:c>
      <x:c r="I948" s="2" t="str">
        <x:v>吳(-)</x:v>
      </x:c>
      <x:c r="J948" s="2" t="str">
        <x:v>吳(-)</x:v>
      </x:c>
      <x:c r="K948" s="2" t="str">
        <x:v>孫權</x:v>
      </x:c>
      <x:c r="L948" s="2" t="str">
        <x:v>吳(未)</x:v>
      </x:c>
    </x:row>
    <x:row r="949" ht="23" customHeight="1">
      <x:c r="A949" s="12" t="n">
        <x:v>941</x:v>
      </x:c>
      <x:c r="B949" s="2" t="str">
        <x:v>刘谌</x:v>
      </x:c>
      <x:c r="C949" s="2" t="str">
        <x:v>薊(-)</x:v>
      </x:c>
      <x:c r="D949" s="2" t="str">
        <x:v>薊(-)</x:v>
      </x:c>
      <x:c r="E949" s="2" t="str">
        <x:v>薊(-)</x:v>
      </x:c>
      <x:c r="F949" s="2" t="str">
        <x:v>薊(-)</x:v>
      </x:c>
      <x:c r="G949" s="2" t="str">
        <x:v>新野(-)</x:v>
      </x:c>
      <x:c r="H949" s="2" t="str">
        <x:v>成都(-)</x:v>
      </x:c>
      <x:c r="I949" s="2" t="str">
        <x:v>成都(-)</x:v>
      </x:c>
      <x:c r="J949" s="2" t="str">
        <x:v>成都(-)</x:v>
      </x:c>
      <x:c r="K949" s="2" t="str">
        <x:v>成都(-)</x:v>
      </x:c>
      <x:c r="L949" s="2" t="str">
        <x:v>劉備</x:v>
      </x:c>
    </x:row>
    <x:row r="950" ht="23" customHeight="1">
      <x:c r="A950" s="12" t="n">
        <x:v>942</x:v>
      </x:c>
      <x:c r="B950" s="2" t="str">
        <x:v>刘靖</x:v>
      </x:c>
      <x:c r="C950" s="2" t="str">
        <x:v>小沛(-)</x:v>
      </x:c>
      <x:c r="D950" s="2" t="str">
        <x:v>小沛(-)</x:v>
      </x:c>
      <x:c r="E950" s="2" t="str">
        <x:v>壽春(-)</x:v>
      </x:c>
      <x:c r="F950" s="2" t="str">
        <x:v>壽春(-)</x:v>
      </x:c>
      <x:c r="G950" s="2" t="str">
        <x:v>壽春(-)</x:v>
      </x:c>
      <x:c r="H950" s="2" t="str">
        <x:v>曹操</x:v>
      </x:c>
      <x:c r="I950" s="2" t="str">
        <x:v>曹丕</x:v>
      </x:c>
      <x:c r="J950" s="2" t="str">
        <x:v>曹叡</x:v>
      </x:c>
      <x:c r="K950" s="2" t="str">
        <x:v>曹芳</x:v>
      </x:c>
      <x:c r="L950" s="2" t="str">
        <x:v>小沛(未)</x:v>
      </x:c>
    </x:row>
    <x:row r="951" ht="23" customHeight="1">
      <x:c r="A951" s="12" t="n">
        <x:v>943</x:v>
      </x:c>
      <x:c r="B951" s="2" t="str">
        <x:v>刘璇</x:v>
      </x:c>
      <x:c r="C951" s="2" t="str">
        <x:v>薊(-)</x:v>
      </x:c>
      <x:c r="D951" s="2" t="str">
        <x:v>薊(-)</x:v>
      </x:c>
      <x:c r="E951" s="2" t="str">
        <x:v>薊(-)</x:v>
      </x:c>
      <x:c r="F951" s="2" t="str">
        <x:v>薊(-)</x:v>
      </x:c>
      <x:c r="G951" s="2" t="str">
        <x:v>新野(-)</x:v>
      </x:c>
      <x:c r="H951" s="2" t="str">
        <x:v>成都(-)</x:v>
      </x:c>
      <x:c r="I951" s="2" t="str">
        <x:v>成都(-)</x:v>
      </x:c>
      <x:c r="J951" s="2" t="str">
        <x:v>成都(-)</x:v>
      </x:c>
      <x:c r="K951" s="2" t="str">
        <x:v>劉禪</x:v>
      </x:c>
      <x:c r="L951" s="2" t="str">
        <x:v>劉備</x:v>
      </x:c>
    </x:row>
    <x:row r="952" ht="23" customHeight="1">
      <x:c r="A952" s="12" t="n">
        <x:v>944</x:v>
      </x:c>
      <x:c r="B952" s="2" t="str">
        <x:v>刘先</x:v>
      </x:c>
      <x:c r="C952" s="2" t="str">
        <x:v>零陵(未)</x:v>
      </x:c>
      <x:c r="D952" s="2" t="str">
        <x:v>劉表</x:v>
      </x:c>
      <x:c r="E952" s="2" t="str">
        <x:v>劉表</x:v>
      </x:c>
      <x:c r="F952" s="2" t="str">
        <x:v>劉表</x:v>
      </x:c>
      <x:c r="G952" s="2" t="str">
        <x:v>劉表</x:v>
      </x:c>
      <x:c r="H952" s="2" t="str">
        <x:v>曹操</x:v>
      </x:c>
      <x:c r="I952" s="2" t="str">
        <x:v>曹丕</x:v>
      </x:c>
      <x:c r="J952" s="2" t="str">
        <x:v>曹叡</x:v>
      </x:c>
      <x:c r="K952" s="2" t="str">
        <x:v>x</x:v>
      </x:c>
      <x:c r="L952" s="2" t="str">
        <x:v>零陵(未)</x:v>
      </x:c>
    </x:row>
    <x:row r="953" ht="23" customHeight="1">
      <x:c r="A953" s="12" t="n">
        <x:v>945</x:v>
      </x:c>
      <x:c r="B953" s="2" t="str">
        <x:v>刘禅</x:v>
      </x:c>
      <x:c r="C953" s="2" t="str">
        <x:v>薊(-)</x:v>
      </x:c>
      <x:c r="D953" s="2" t="str">
        <x:v>薊(-)</x:v>
      </x:c>
      <x:c r="E953" s="2" t="str">
        <x:v>薊(-)</x:v>
      </x:c>
      <x:c r="F953" s="2" t="str">
        <x:v>薊(-)</x:v>
      </x:c>
      <x:c r="G953" s="2" t="str">
        <x:v>新野(-)</x:v>
      </x:c>
      <x:c r="H953" s="2" t="str">
        <x:v>成都(-)</x:v>
      </x:c>
      <x:c r="I953" s="2" t="str">
        <x:v>劉備</x:v>
      </x:c>
      <x:c r="J953" s="2" t="str">
        <x:v>劉禪</x:v>
      </x:c>
      <x:c r="K953" s="2" t="str">
        <x:v>劉禪</x:v>
      </x:c>
      <x:c r="L953" s="2" t="str">
        <x:v>劉備</x:v>
      </x:c>
    </x:row>
    <x:row r="954" ht="23" customHeight="1">
      <x:c r="A954" s="12" t="n">
        <x:v>946</x:v>
      </x:c>
      <x:c r="B954" s="2" t="str">
        <x:v>刘琮</x:v>
      </x:c>
      <x:c r="C954" s="2" t="str">
        <x:v>濮陽(-)</x:v>
      </x:c>
      <x:c r="D954" s="2" t="str">
        <x:v>襄陽(-)</x:v>
      </x:c>
      <x:c r="E954" s="2" t="str">
        <x:v>襄陽(-)</x:v>
      </x:c>
      <x:c r="F954" s="2" t="str">
        <x:v>襄陽(-)</x:v>
      </x:c>
      <x:c r="G954" s="2" t="str">
        <x:v>劉表</x:v>
      </x:c>
      <x:c r="H954" s="2" t="str">
        <x:v>x</x:v>
      </x:c>
      <x:c r="I954" s="2" t="str">
        <x:v>x</x:v>
      </x:c>
      <x:c r="J954" s="2" t="str">
        <x:v>x</x:v>
      </x:c>
      <x:c r="K954" s="2" t="str">
        <x:v>x</x:v>
      </x:c>
      <x:c r="L954" s="2" t="str">
        <x:v>劉表</x:v>
      </x:c>
    </x:row>
    <x:row r="955" ht="23" customHeight="1">
      <x:c r="A955" s="12" t="n">
        <x:v>947</x:v>
      </x:c>
      <x:c r="B955" s="2" t="str">
        <x:v>刘岱</x:v>
      </x:c>
      <x:c r="C955" s="2" t="str">
        <x:v>何進</x:v>
      </x:c>
      <x:c r="D955" s="2" t="str">
        <x:v>劉岱</x:v>
      </x:c>
      <x:c r="E955" s="2" t="str">
        <x:v>曹操</x:v>
      </x:c>
      <x:c r="F955" s="2" t="str">
        <x:v>曹操</x:v>
      </x:c>
      <x:c r="G955" s="2" t="str">
        <x:v>x</x:v>
      </x:c>
      <x:c r="H955" s="2" t="str">
        <x:v>x</x:v>
      </x:c>
      <x:c r="I955" s="2" t="str">
        <x:v>x</x:v>
      </x:c>
      <x:c r="J955" s="2" t="str">
        <x:v>x</x:v>
      </x:c>
      <x:c r="K955" s="2" t="str">
        <x:v>x</x:v>
      </x:c>
      <x:c r="L955" s="2" t="str">
        <x:v>劉岱</x:v>
      </x:c>
    </x:row>
    <x:row r="956" ht="23" customHeight="1">
      <x:c r="A956" s="12" t="n">
        <x:v>948</x:v>
      </x:c>
      <x:c r="B956" s="2" t="str">
        <x:v>刘胄</x:v>
      </x:c>
      <x:c r="C956" s="2" t="str">
        <x:v>雲南(-)</x:v>
      </x:c>
      <x:c r="D956" s="2" t="str">
        <x:v>雲南(-)</x:v>
      </x:c>
      <x:c r="E956" s="2" t="str">
        <x:v>雲南(-)</x:v>
      </x:c>
      <x:c r="F956" s="2" t="str">
        <x:v>雲南(-)</x:v>
      </x:c>
      <x:c r="G956" s="2" t="str">
        <x:v>雲南(-)</x:v>
      </x:c>
      <x:c r="H956" s="2" t="str">
        <x:v>雲南(未)</x:v>
      </x:c>
      <x:c r="I956" s="2" t="str">
        <x:v>雲南(未)</x:v>
      </x:c>
      <x:c r="J956" s="2" t="str">
        <x:v>雲南(未)</x:v>
      </x:c>
      <x:c r="K956" s="2" t="str">
        <x:v>x</x:v>
      </x:c>
      <x:c r="L956" s="2" t="str">
        <x:v>雲南(未)</x:v>
      </x:c>
    </x:row>
    <x:row r="957" ht="23" customHeight="1">
      <x:c r="A957" s="12" t="n">
        <x:v>949</x:v>
      </x:c>
      <x:c r="B957" s="2" t="str">
        <x:v>刘度</x:v>
      </x:c>
      <x:c r="C957" s="2" t="str">
        <x:v>零陵(-)</x:v>
      </x:c>
      <x:c r="D957" s="2" t="str">
        <x:v>零陵(未)</x:v>
      </x:c>
      <x:c r="E957" s="2" t="str">
        <x:v>零陵(未)</x:v>
      </x:c>
      <x:c r="F957" s="2" t="str">
        <x:v>劉表</x:v>
      </x:c>
      <x:c r="G957" s="2" t="str">
        <x:v>劉度</x:v>
      </x:c>
      <x:c r="H957" s="2" t="str">
        <x:v>x</x:v>
      </x:c>
      <x:c r="I957" s="2" t="str">
        <x:v>x</x:v>
      </x:c>
      <x:c r="J957" s="2" t="str">
        <x:v>x</x:v>
      </x:c>
      <x:c r="K957" s="2" t="str">
        <x:v>x</x:v>
      </x:c>
      <x:c r="L957" s="2" t="str">
        <x:v>劉度</x:v>
      </x:c>
    </x:row>
    <x:row r="958" ht="23" customHeight="1">
      <x:c r="A958" s="12" t="n">
        <x:v>950</x:v>
      </x:c>
      <x:c r="B958" s="2" t="str">
        <x:v>刘巴</x:v>
      </x:c>
      <x:c r="C958" s="2" t="str">
        <x:v>零陵(-)</x:v>
      </x:c>
      <x:c r="D958" s="2" t="str">
        <x:v>零陵(-)</x:v>
      </x:c>
      <x:c r="E958" s="2" t="str">
        <x:v>零陵(-)</x:v>
      </x:c>
      <x:c r="F958" s="2" t="str">
        <x:v>零陵(-)</x:v>
      </x:c>
      <x:c r="G958" s="2" t="str">
        <x:v>零陵(未)</x:v>
      </x:c>
      <x:c r="H958" s="2" t="str">
        <x:v>劉備</x:v>
      </x:c>
      <x:c r="I958" s="2" t="str">
        <x:v>劉備</x:v>
      </x:c>
      <x:c r="J958" s="2" t="str">
        <x:v>x</x:v>
      </x:c>
      <x:c r="K958" s="2" t="str">
        <x:v>x</x:v>
      </x:c>
      <x:c r="L958" s="2" t="str">
        <x:v>零陵(未)</x:v>
      </x:c>
    </x:row>
    <x:row r="959" ht="23" customHeight="1">
      <x:c r="A959" s="12" t="n">
        <x:v>951</x:v>
      </x:c>
      <x:c r="B959" s="2" t="str">
        <x:v>刘磐</x:v>
      </x:c>
      <x:c r="C959" s="2" t="str">
        <x:v>濮陽(-)</x:v>
      </x:c>
      <x:c r="D959" s="2" t="str">
        <x:v>劉表</x:v>
      </x:c>
      <x:c r="E959" s="2" t="str">
        <x:v>劉表</x:v>
      </x:c>
      <x:c r="F959" s="2" t="str">
        <x:v>劉表</x:v>
      </x:c>
      <x:c r="G959" s="2" t="str">
        <x:v>劉表</x:v>
      </x:c>
      <x:c r="H959" s="2" t="str">
        <x:v>x</x:v>
      </x:c>
      <x:c r="I959" s="2" t="str">
        <x:v>x</x:v>
      </x:c>
      <x:c r="J959" s="2" t="str">
        <x:v>x</x:v>
      </x:c>
      <x:c r="K959" s="2" t="str">
        <x:v>x</x:v>
      </x:c>
      <x:c r="L959" s="2" t="str">
        <x:v>劉表</x:v>
      </x:c>
    </x:row>
    <x:row r="960" ht="23" customHeight="1">
      <x:c r="A960" s="12" t="n">
        <x:v>952</x:v>
      </x:c>
      <x:c r="B960" s="2" t="str">
        <x:v>刘备</x:v>
      </x:c>
      <x:c r="C960" s="2" t="str">
        <x:v>劉焉</x:v>
      </x:c>
      <x:c r="D960" s="2" t="str">
        <x:v>劉備</x:v>
      </x:c>
      <x:c r="E960" s="2" t="str">
        <x:v>劉備</x:v>
      </x:c>
      <x:c r="F960" s="2" t="str">
        <x:v>劉備</x:v>
      </x:c>
      <x:c r="G960" s="2" t="str">
        <x:v>劉備</x:v>
      </x:c>
      <x:c r="H960" s="2" t="str">
        <x:v>劉備</x:v>
      </x:c>
      <x:c r="I960" s="2" t="str">
        <x:v>劉備</x:v>
      </x:c>
      <x:c r="J960" s="2" t="str">
        <x:v>x</x:v>
      </x:c>
      <x:c r="K960" s="2" t="str">
        <x:v>x</x:v>
      </x:c>
      <x:c r="L960" s="2" t="str">
        <x:v>劉備</x:v>
      </x:c>
    </x:row>
    <x:row r="961" ht="23" customHeight="1">
      <x:c r="A961" s="12" t="n">
        <x:v>953</x:v>
      </x:c>
      <x:c r="B961" s="2" t="str">
        <x:v>刘表</x:v>
      </x:c>
      <x:c r="C961" s="2" t="str">
        <x:v>何進</x:v>
      </x:c>
      <x:c r="D961" s="2" t="str">
        <x:v>劉表</x:v>
      </x:c>
      <x:c r="E961" s="2" t="str">
        <x:v>劉表</x:v>
      </x:c>
      <x:c r="F961" s="2" t="str">
        <x:v>劉表</x:v>
      </x:c>
      <x:c r="G961" s="2" t="str">
        <x:v>劉表</x:v>
      </x:c>
      <x:c r="H961" s="2" t="str">
        <x:v>x</x:v>
      </x:c>
      <x:c r="I961" s="2" t="str">
        <x:v>x</x:v>
      </x:c>
      <x:c r="J961" s="2" t="str">
        <x:v>x</x:v>
      </x:c>
      <x:c r="K961" s="2" t="str">
        <x:v>x</x:v>
      </x:c>
      <x:c r="L961" s="2" t="str">
        <x:v>劉表</x:v>
      </x:c>
    </x:row>
    <x:row r="962" ht="23" customHeight="1">
      <x:c r="A962" s="12" t="n">
        <x:v>954</x:v>
      </x:c>
      <x:c r="B962" s="2" t="str">
        <x:v>刘豹</x:v>
      </x:c>
      <x:c r="C962" s="2" t="str">
        <x:v>晉陽(-)</x:v>
      </x:c>
      <x:c r="D962" s="2" t="str">
        <x:v>晉陽(-)</x:v>
      </x:c>
      <x:c r="E962" s="2" t="str">
        <x:v>晉陽(-)</x:v>
      </x:c>
      <x:c r="F962" s="2" t="str">
        <x:v>晉陽(未)</x:v>
      </x:c>
      <x:c r="G962" s="2" t="str">
        <x:v>晉陽(野)</x:v>
      </x:c>
      <x:c r="H962" s="2" t="str">
        <x:v>晉陽(野)</x:v>
      </x:c>
      <x:c r="I962" s="2" t="str">
        <x:v>晉陽(野)</x:v>
      </x:c>
      <x:c r="J962" s="2" t="str">
        <x:v>晉陽(野)</x:v>
      </x:c>
      <x:c r="K962" s="2" t="str">
        <x:v>晉陽(野)</x:v>
      </x:c>
      <x:c r="L962" s="2" t="str">
        <x:v>晉陽(未)</x:v>
      </x:c>
    </x:row>
    <x:row r="963" ht="23" customHeight="1">
      <x:c r="A963" s="12" t="n">
        <x:v>955</x:v>
      </x:c>
      <x:c r="B963" s="2" t="str">
        <x:v>刘敏</x:v>
      </x:c>
      <x:c r="C963" s="2" t="str">
        <x:v>零陵(-)</x:v>
      </x:c>
      <x:c r="D963" s="2" t="str">
        <x:v>零陵(-)</x:v>
      </x:c>
      <x:c r="E963" s="2" t="str">
        <x:v>零陵(-)</x:v>
      </x:c>
      <x:c r="F963" s="2" t="str">
        <x:v>零陵(-)</x:v>
      </x:c>
      <x:c r="G963" s="2" t="str">
        <x:v>零陵(-)</x:v>
      </x:c>
      <x:c r="H963" s="2" t="str">
        <x:v>劉備</x:v>
      </x:c>
      <x:c r="I963" s="2" t="str">
        <x:v>劉備</x:v>
      </x:c>
      <x:c r="J963" s="2" t="str">
        <x:v>劉禪</x:v>
      </x:c>
      <x:c r="K963" s="2" t="str">
        <x:v>劉禪</x:v>
      </x:c>
      <x:c r="L963" s="2" t="str">
        <x:v>零陵(未)</x:v>
      </x:c>
    </x:row>
    <x:row r="964" ht="23" customHeight="1">
      <x:c r="A964" s="12" t="n">
        <x:v>956</x:v>
      </x:c>
      <x:c r="B964" s="2" t="str">
        <x:v>刘馥</x:v>
      </x:c>
      <x:c r="C964" s="2" t="str">
        <x:v>小沛(未)</x:v>
      </x:c>
      <x:c r="D964" s="2" t="str">
        <x:v>小沛(未)</x:v>
      </x:c>
      <x:c r="E964" s="2" t="str">
        <x:v>壽春(未)</x:v>
      </x:c>
      <x:c r="F964" s="2" t="str">
        <x:v>曹操</x:v>
      </x:c>
      <x:c r="G964" s="2" t="str">
        <x:v>曹操</x:v>
      </x:c>
      <x:c r="H964" s="2" t="str">
        <x:v>x</x:v>
      </x:c>
      <x:c r="I964" s="2" t="str">
        <x:v>x</x:v>
      </x:c>
      <x:c r="J964" s="2" t="str">
        <x:v>x</x:v>
      </x:c>
      <x:c r="K964" s="2" t="str">
        <x:v>x</x:v>
      </x:c>
      <x:c r="L964" s="2" t="str">
        <x:v>小沛(未)</x:v>
      </x:c>
    </x:row>
    <x:row r="965" ht="23" customHeight="1">
      <x:c r="A965" s="12" t="n">
        <x:v>957</x:v>
      </x:c>
      <x:c r="B965" s="2" t="str">
        <x:v>留平</x:v>
      </x:c>
      <x:c r="C965" s="2" t="str">
        <x:v>會稽(-)</x:v>
      </x:c>
      <x:c r="D965" s="2" t="str">
        <x:v>會稽(-)</x:v>
      </x:c>
      <x:c r="E965" s="2" t="str">
        <x:v>會稽(-)</x:v>
      </x:c>
      <x:c r="F965" s="2" t="str">
        <x:v>會稽(-)</x:v>
      </x:c>
      <x:c r="G965" s="2" t="str">
        <x:v>會稽(-)</x:v>
      </x:c>
      <x:c r="H965" s="2" t="str">
        <x:v>會稽(-)</x:v>
      </x:c>
      <x:c r="I965" s="2" t="str">
        <x:v>會稽(-)</x:v>
      </x:c>
      <x:c r="J965" s="2" t="str">
        <x:v>會稽(-)</x:v>
      </x:c>
      <x:c r="K965" s="2" t="str">
        <x:v>孫權</x:v>
      </x:c>
      <x:c r="L965" s="2" t="str">
        <x:v>會稽(未)</x:v>
      </x:c>
    </x:row>
    <x:row r="966" ht="23" customHeight="1">
      <x:c r="A966" s="12" t="n">
        <x:v>958</x:v>
      </x:c>
      <x:c r="B966" s="2" t="str">
        <x:v>刘辟</x:v>
      </x:c>
      <x:c r="C966" s="2" t="str">
        <x:v>張角</x:v>
      </x:c>
      <x:c r="D966" s="2" t="str">
        <x:v>汝南(野)</x:v>
      </x:c>
      <x:c r="E966" s="2" t="str">
        <x:v>汝南(野)</x:v>
      </x:c>
      <x:c r="F966" s="2" t="str">
        <x:v>汝南(野)</x:v>
      </x:c>
      <x:c r="G966" s="2" t="str">
        <x:v>x</x:v>
      </x:c>
      <x:c r="H966" s="2" t="str">
        <x:v>x</x:v>
      </x:c>
      <x:c r="I966" s="2" t="str">
        <x:v>x</x:v>
      </x:c>
      <x:c r="J966" s="2" t="str">
        <x:v>x</x:v>
      </x:c>
      <x:c r="K966" s="2" t="str">
        <x:v>x</x:v>
      </x:c>
      <x:c r="L966" s="2" t="str">
        <x:v>張角</x:v>
      </x:c>
    </x:row>
    <x:row r="967" ht="23" customHeight="1">
      <x:c r="A967" s="12" t="n">
        <x:v>959</x:v>
      </x:c>
      <x:c r="B967" s="2" t="str">
        <x:v>刘封</x:v>
      </x:c>
      <x:c r="C967" s="2" t="str">
        <x:v>長沙(-)</x:v>
      </x:c>
      <x:c r="D967" s="2" t="str">
        <x:v>長沙(-)</x:v>
      </x:c>
      <x:c r="E967" s="2" t="str">
        <x:v>長沙(-)</x:v>
      </x:c>
      <x:c r="F967" s="2" t="str">
        <x:v>長沙(-)</x:v>
      </x:c>
      <x:c r="G967" s="2" t="str">
        <x:v>劉備</x:v>
      </x:c>
      <x:c r="H967" s="2" t="str">
        <x:v>劉備</x:v>
      </x:c>
      <x:c r="I967" s="2" t="str">
        <x:v>x</x:v>
      </x:c>
      <x:c r="J967" s="2" t="str">
        <x:v>x</x:v>
      </x:c>
      <x:c r="K967" s="2" t="str">
        <x:v>x</x:v>
      </x:c>
      <x:c r="L967" s="2" t="str">
        <x:v>劉備</x:v>
      </x:c>
    </x:row>
    <x:row r="968" ht="23" customHeight="1">
      <x:c r="A968" s="12" t="n">
        <x:v>960</x:v>
      </x:c>
      <x:c r="B968" s="2" t="str">
        <x:v>刘放</x:v>
      </x:c>
      <x:c r="C968" s="2" t="str">
        <x:v>薊(-)</x:v>
      </x:c>
      <x:c r="D968" s="2" t="str">
        <x:v>薊(-)</x:v>
      </x:c>
      <x:c r="E968" s="2" t="str">
        <x:v>薊(-)</x:v>
      </x:c>
      <x:c r="F968" s="2" t="str">
        <x:v>薊(未)</x:v>
      </x:c>
      <x:c r="G968" s="2" t="str">
        <x:v>曹操</x:v>
      </x:c>
      <x:c r="H968" s="2" t="str">
        <x:v>曹操</x:v>
      </x:c>
      <x:c r="I968" s="2" t="str">
        <x:v>曹丕</x:v>
      </x:c>
      <x:c r="J968" s="2" t="str">
        <x:v>曹叡</x:v>
      </x:c>
      <x:c r="K968" s="2" t="str">
        <x:v>曹芳</x:v>
      </x:c>
      <x:c r="L968" s="2" t="str">
        <x:v>薊(未)</x:v>
      </x:c>
    </x:row>
    <x:row r="969" ht="23" customHeight="1">
      <x:c r="A969" s="12" t="n">
        <x:v>961</x:v>
      </x:c>
      <x:c r="B969" s="2" t="str">
        <x:v>刘瑁</x:v>
      </x:c>
      <x:c r="C969" s="2" t="str">
        <x:v>劉焉</x:v>
      </x:c>
      <x:c r="D969" s="2" t="str">
        <x:v>劉焉</x:v>
      </x:c>
      <x:c r="E969" s="2" t="str">
        <x:v>劉璋</x:v>
      </x:c>
      <x:c r="F969" s="2" t="str">
        <x:v>劉璋</x:v>
      </x:c>
      <x:c r="G969" s="2" t="str">
        <x:v>劉璋</x:v>
      </x:c>
      <x:c r="H969" s="2" t="str">
        <x:v>x</x:v>
      </x:c>
      <x:c r="I969" s="2" t="str">
        <x:v>x</x:v>
      </x:c>
      <x:c r="J969" s="2" t="str">
        <x:v>x</x:v>
      </x:c>
      <x:c r="K969" s="2" t="str">
        <x:v>x</x:v>
      </x:c>
      <x:c r="L969" s="2" t="str">
        <x:v>劉焉</x:v>
      </x:c>
    </x:row>
    <x:row r="970" ht="23" customHeight="1">
      <x:c r="A970" s="12" t="n">
        <x:v>962</x:v>
      </x:c>
      <x:c r="B970" s="2" t="str">
        <x:v>刘晔</x:v>
      </x:c>
      <x:c r="C970" s="2" t="str">
        <x:v>壽春(-)</x:v>
      </x:c>
      <x:c r="D970" s="2" t="str">
        <x:v>壽春(-)</x:v>
      </x:c>
      <x:c r="E970" s="2" t="str">
        <x:v>曹操</x:v>
      </x:c>
      <x:c r="F970" s="2" t="str">
        <x:v>曹操</x:v>
      </x:c>
      <x:c r="G970" s="2" t="str">
        <x:v>曹操</x:v>
      </x:c>
      <x:c r="H970" s="2" t="str">
        <x:v>曹操</x:v>
      </x:c>
      <x:c r="I970" s="2" t="str">
        <x:v>曹丕</x:v>
      </x:c>
      <x:c r="J970" s="2" t="str">
        <x:v>曹叡</x:v>
      </x:c>
      <x:c r="K970" s="2" t="str">
        <x:v>x</x:v>
      </x:c>
      <x:c r="L970" s="2" t="str">
        <x:v>壽春(未)</x:v>
      </x:c>
    </x:row>
    <x:row r="971" ht="23" customHeight="1">
      <x:c r="A971" s="12" t="n">
        <x:v>963</x:v>
      </x:c>
      <x:c r="B971" s="2" t="str">
        <x:v>刘繇</x:v>
      </x:c>
      <x:c r="C971" s="2" t="str">
        <x:v>北海(未)</x:v>
      </x:c>
      <x:c r="D971" s="2" t="str">
        <x:v>壽春(野)</x:v>
      </x:c>
      <x:c r="E971" s="2" t="str">
        <x:v>劉繇</x:v>
      </x:c>
      <x:c r="F971" s="2" t="str">
        <x:v>x</x:v>
      </x:c>
      <x:c r="G971" s="2" t="str">
        <x:v>x</x:v>
      </x:c>
      <x:c r="H971" s="2" t="str">
        <x:v>x</x:v>
      </x:c>
      <x:c r="I971" s="2" t="str">
        <x:v>x</x:v>
      </x:c>
      <x:c r="J971" s="2" t="str">
        <x:v>x</x:v>
      </x:c>
      <x:c r="K971" s="2" t="str">
        <x:v>x</x:v>
      </x:c>
      <x:c r="L971" s="2" t="str">
        <x:v>劉繇</x:v>
      </x:c>
    </x:row>
    <x:row r="972" ht="23" customHeight="1">
      <x:c r="A972" s="12" t="n">
        <x:v>964</x:v>
      </x:c>
      <x:c r="B972" s="2" t="str">
        <x:v>刘理</x:v>
      </x:c>
      <x:c r="C972" s="2" t="str">
        <x:v>薊(-)</x:v>
      </x:c>
      <x:c r="D972" s="2" t="str">
        <x:v>薊(-)</x:v>
      </x:c>
      <x:c r="E972" s="2" t="str">
        <x:v>薊(-)</x:v>
      </x:c>
      <x:c r="F972" s="2" t="str">
        <x:v>薊(-)</x:v>
      </x:c>
      <x:c r="G972" s="2" t="str">
        <x:v>新野(-)</x:v>
      </x:c>
      <x:c r="H972" s="2" t="str">
        <x:v>成都(-)</x:v>
      </x:c>
      <x:c r="I972" s="2" t="str">
        <x:v>成都(-)</x:v>
      </x:c>
      <x:c r="J972" s="2" t="str">
        <x:v>劉禪</x:v>
      </x:c>
      <x:c r="K972" s="2" t="str">
        <x:v>x</x:v>
      </x:c>
      <x:c r="L972" s="2" t="str">
        <x:v>劉備</x:v>
      </x:c>
    </x:row>
    <x:row r="973" ht="23" customHeight="1">
      <x:c r="A973" s="12" t="n">
        <x:v>965</x:v>
      </x:c>
      <x:c r="B973" s="2" t="str">
        <x:v>留略</x:v>
      </x:c>
      <x:c r="C973" s="2" t="str">
        <x:v>會稽(-)</x:v>
      </x:c>
      <x:c r="D973" s="2" t="str">
        <x:v>會稽(-)</x:v>
      </x:c>
      <x:c r="E973" s="2" t="str">
        <x:v>會稽(-)</x:v>
      </x:c>
      <x:c r="F973" s="2" t="str">
        <x:v>會稽(-)</x:v>
      </x:c>
      <x:c r="G973" s="2" t="str">
        <x:v>會稽(-)</x:v>
      </x:c>
      <x:c r="H973" s="2" t="str">
        <x:v>會稽(-)</x:v>
      </x:c>
      <x:c r="I973" s="2" t="str">
        <x:v>會稽(-)</x:v>
      </x:c>
      <x:c r="J973" s="2" t="str">
        <x:v>孫權</x:v>
      </x:c>
      <x:c r="K973" s="2" t="str">
        <x:v>孫權</x:v>
      </x:c>
      <x:c r="L973" s="2" t="str">
        <x:v>會稽(未)</x:v>
      </x:c>
    </x:row>
    <x:row r="974" ht="23" customHeight="1">
      <x:c r="A974" s="12" t="n">
        <x:v>966</x:v>
      </x:c>
      <x:c r="B974" s="2" t="str">
        <x:v>吕威璜</x:v>
      </x:c>
      <x:c r="C974" s="2" t="str">
        <x:v>南皮(-)</x:v>
      </x:c>
      <x:c r="D974" s="2" t="str">
        <x:v>袁紹</x:v>
      </x:c>
      <x:c r="E974" s="2" t="str">
        <x:v>袁紹</x:v>
      </x:c>
      <x:c r="F974" s="2" t="str">
        <x:v>袁紹</x:v>
      </x:c>
      <x:c r="G974" s="2" t="str">
        <x:v>x</x:v>
      </x:c>
      <x:c r="H974" s="2" t="str">
        <x:v>x</x:v>
      </x:c>
      <x:c r="I974" s="2" t="str">
        <x:v>x</x:v>
      </x:c>
      <x:c r="J974" s="2" t="str">
        <x:v>x</x:v>
      </x:c>
      <x:c r="K974" s="2" t="str">
        <x:v>x</x:v>
      </x:c>
      <x:c r="L974" s="2" t="str">
        <x:v>袁紹</x:v>
      </x:c>
    </x:row>
    <x:row r="975" ht="23" customHeight="1">
      <x:c r="A975" s="12" t="n">
        <x:v>967</x:v>
      </x:c>
      <x:c r="B975" s="2" t="str">
        <x:v>吕壹</x:v>
      </x:c>
      <x:c r="C975" s="2" t="str">
        <x:v>建業(-)</x:v>
      </x:c>
      <x:c r="D975" s="2" t="str">
        <x:v>建業(-)</x:v>
      </x:c>
      <x:c r="E975" s="2" t="str">
        <x:v>建業(-)</x:v>
      </x:c>
      <x:c r="F975" s="2" t="str">
        <x:v>建業(-)</x:v>
      </x:c>
      <x:c r="G975" s="2" t="str">
        <x:v>建業(-)</x:v>
      </x:c>
      <x:c r="H975" s="2" t="str">
        <x:v>建業(未)</x:v>
      </x:c>
      <x:c r="I975" s="2" t="str">
        <x:v>建業(未)</x:v>
      </x:c>
      <x:c r="J975" s="2" t="str">
        <x:v>孫權</x:v>
      </x:c>
      <x:c r="K975" s="2" t="str">
        <x:v>x</x:v>
      </x:c>
      <x:c r="L975" s="2" t="str">
        <x:v>建業(未)</x:v>
      </x:c>
    </x:row>
    <x:row r="976" ht="23" customHeight="1">
      <x:c r="A976" s="12" t="n">
        <x:v>968</x:v>
      </x:c>
      <x:c r="B976" s="2" t="str">
        <x:v>廖化</x:v>
      </x:c>
      <x:c r="C976" s="2" t="str">
        <x:v>張角</x:v>
      </x:c>
      <x:c r="D976" s="2" t="str">
        <x:v>汝南(野)</x:v>
      </x:c>
      <x:c r="E976" s="2" t="str">
        <x:v>汝南(野)</x:v>
      </x:c>
      <x:c r="F976" s="2" t="str">
        <x:v>汝南(野)</x:v>
      </x:c>
      <x:c r="G976" s="2" t="str">
        <x:v>劉備</x:v>
      </x:c>
      <x:c r="H976" s="2" t="str">
        <x:v>劉備</x:v>
      </x:c>
      <x:c r="I976" s="2" t="str">
        <x:v>劉備</x:v>
      </x:c>
      <x:c r="J976" s="2" t="str">
        <x:v>劉禪</x:v>
      </x:c>
      <x:c r="K976" s="2" t="str">
        <x:v>劉禪</x:v>
      </x:c>
      <x:c r="L976" s="2" t="str">
        <x:v>劉備</x:v>
      </x:c>
    </x:row>
    <x:row r="977" ht="23" customHeight="1">
      <x:c r="A977" s="12" t="n">
        <x:v>969</x:v>
      </x:c>
      <x:c r="B977" s="2" t="str">
        <x:v>梁兴</x:v>
      </x:c>
      <x:c r="C977" s="2" t="str">
        <x:v>武威(-)</x:v>
      </x:c>
      <x:c r="D977" s="2" t="str">
        <x:v>馬騰</x:v>
      </x:c>
      <x:c r="E977" s="2" t="str">
        <x:v>馬騰</x:v>
      </x:c>
      <x:c r="F977" s="2" t="str">
        <x:v>馬騰</x:v>
      </x:c>
      <x:c r="G977" s="2" t="str">
        <x:v>馬騰</x:v>
      </x:c>
      <x:c r="H977" s="2" t="str">
        <x:v>x</x:v>
      </x:c>
      <x:c r="I977" s="2" t="str">
        <x:v>x</x:v>
      </x:c>
      <x:c r="J977" s="2" t="str">
        <x:v>x</x:v>
      </x:c>
      <x:c r="K977" s="2" t="str">
        <x:v>x</x:v>
      </x:c>
      <x:c r="L977" s="2" t="str">
        <x:v>韓遂</x:v>
      </x:c>
    </x:row>
    <x:row r="978" ht="23" customHeight="1">
      <x:c r="A978" s="12" t="n">
        <x:v>970</x:v>
      </x:c>
      <x:c r="B978" s="2" t="str">
        <x:v>梁纲</x:v>
      </x:c>
      <x:c r="C978" s="2" t="str">
        <x:v>宛(未)</x:v>
      </x:c>
      <x:c r="D978" s="2" t="str">
        <x:v>袁術</x:v>
      </x:c>
      <x:c r="E978" s="2" t="str">
        <x:v>袁術</x:v>
      </x:c>
      <x:c r="F978" s="2" t="str">
        <x:v>x</x:v>
      </x:c>
      <x:c r="G978" s="2" t="str">
        <x:v>x</x:v>
      </x:c>
      <x:c r="H978" s="2" t="str">
        <x:v>x</x:v>
      </x:c>
      <x:c r="I978" s="2" t="str">
        <x:v>x</x:v>
      </x:c>
      <x:c r="J978" s="2" t="str">
        <x:v>x</x:v>
      </x:c>
      <x:c r="K978" s="2" t="str">
        <x:v>x</x:v>
      </x:c>
      <x:c r="L978" s="2" t="str">
        <x:v>袁術</x:v>
      </x:c>
    </x:row>
    <x:row r="979" ht="23" customHeight="1">
      <x:c r="A979" s="12" t="n">
        <x:v>971</x:v>
      </x:c>
      <x:c r="B979" s="2" t="str">
        <x:v>梁习</x:v>
      </x:c>
      <x:c r="C979" s="2" t="str">
        <x:v>許昌(-)</x:v>
      </x:c>
      <x:c r="D979" s="2" t="str">
        <x:v>許昌(未)</x:v>
      </x:c>
      <x:c r="E979" s="2" t="str">
        <x:v>許昌(未)</x:v>
      </x:c>
      <x:c r="F979" s="2" t="str">
        <x:v>曹操</x:v>
      </x:c>
      <x:c r="G979" s="2" t="str">
        <x:v>曹操</x:v>
      </x:c>
      <x:c r="H979" s="2" t="str">
        <x:v>曹操</x:v>
      </x:c>
      <x:c r="I979" s="2" t="str">
        <x:v>曹丕</x:v>
      </x:c>
      <x:c r="J979" s="2" t="str">
        <x:v>曹叡</x:v>
      </x:c>
      <x:c r="K979" s="2" t="str">
        <x:v>x</x:v>
      </x:c>
      <x:c r="L979" s="2" t="str">
        <x:v>許昌(未)</x:v>
      </x:c>
    </x:row>
    <x:row r="980" ht="23" customHeight="1">
      <x:c r="A980" s="12" t="n">
        <x:v>972</x:v>
      </x:c>
      <x:c r="B980" s="2" t="str">
        <x:v>梁绪</x:v>
      </x:c>
      <x:c r="C980" s="2" t="str">
        <x:v>天水(-)</x:v>
      </x:c>
      <x:c r="D980" s="2" t="str">
        <x:v>天水(-)</x:v>
      </x:c>
      <x:c r="E980" s="2" t="str">
        <x:v>天水(-)</x:v>
      </x:c>
      <x:c r="F980" s="2" t="str">
        <x:v>天水(-)</x:v>
      </x:c>
      <x:c r="G980" s="2" t="str">
        <x:v>天水(-)</x:v>
      </x:c>
      <x:c r="H980" s="2" t="str">
        <x:v>天水(未)</x:v>
      </x:c>
      <x:c r="I980" s="2" t="str">
        <x:v>天水(未)</x:v>
      </x:c>
      <x:c r="J980" s="2" t="str">
        <x:v>曹叡</x:v>
      </x:c>
      <x:c r="K980" s="2" t="str">
        <x:v>劉禪</x:v>
      </x:c>
      <x:c r="L980" s="2" t="str">
        <x:v>天水(未)</x:v>
      </x:c>
    </x:row>
    <x:row r="981" ht="23" customHeight="1">
      <x:c r="A981" s="12" t="n">
        <x:v>973</x:v>
      </x:c>
      <x:c r="B981" s="2" t="str">
        <x:v>凌操</x:v>
      </x:c>
      <x:c r="C981" s="2" t="str">
        <x:v>吳(未)</x:v>
      </x:c>
      <x:c r="D981" s="2" t="str">
        <x:v>吳(未)</x:v>
      </x:c>
      <x:c r="E981" s="2" t="str">
        <x:v>吳(未)</x:v>
      </x:c>
      <x:c r="F981" s="2" t="str">
        <x:v>孫策</x:v>
      </x:c>
      <x:c r="G981" s="2" t="str">
        <x:v>x</x:v>
      </x:c>
      <x:c r="H981" s="2" t="str">
        <x:v>x</x:v>
      </x:c>
      <x:c r="I981" s="2" t="str">
        <x:v>x</x:v>
      </x:c>
      <x:c r="J981" s="2" t="str">
        <x:v>x</x:v>
      </x:c>
      <x:c r="K981" s="2" t="str">
        <x:v>x</x:v>
      </x:c>
      <x:c r="L981" s="2" t="str">
        <x:v>吳(未)</x:v>
      </x:c>
    </x:row>
    <x:row r="982" ht="23" customHeight="1">
      <x:c r="A982" s="12" t="n">
        <x:v>974</x:v>
      </x:c>
      <x:c r="B982" s="2" t="str">
        <x:v>凌统</x:v>
      </x:c>
      <x:c r="C982" s="2" t="str">
        <x:v>吳(-)</x:v>
      </x:c>
      <x:c r="D982" s="2" t="str">
        <x:v>吳(-)</x:v>
      </x:c>
      <x:c r="E982" s="2" t="str">
        <x:v>吳(-)</x:v>
      </x:c>
      <x:c r="F982" s="2" t="str">
        <x:v>吳(-)</x:v>
      </x:c>
      <x:c r="G982" s="2" t="str">
        <x:v>孫權</x:v>
      </x:c>
      <x:c r="H982" s="2" t="str">
        <x:v>孫權</x:v>
      </x:c>
      <x:c r="I982" s="2" t="str">
        <x:v>孫權</x:v>
      </x:c>
      <x:c r="J982" s="2" t="str">
        <x:v>孫權</x:v>
      </x:c>
      <x:c r="K982" s="2" t="str">
        <x:v>x</x:v>
      </x:c>
      <x:c r="L982" s="2" t="str">
        <x:v>吳(未)</x:v>
      </x:c>
    </x:row>
    <x:row r="983" ht="23" customHeight="1">
      <x:c r="A983" s="12" t="n">
        <x:v>975</x:v>
      </x:c>
      <x:c r="B983" s="2" t="str">
        <x:v>凉茂</x:v>
      </x:c>
      <x:c r="C983" s="2" t="str">
        <x:v>陳留(-)</x:v>
      </x:c>
      <x:c r="D983" s="2" t="str">
        <x:v>陳留(-)</x:v>
      </x:c>
      <x:c r="E983" s="2" t="str">
        <x:v>陳留(未)</x:v>
      </x:c>
      <x:c r="F983" s="2" t="str">
        <x:v>曹操</x:v>
      </x:c>
      <x:c r="G983" s="2" t="str">
        <x:v>曹操</x:v>
      </x:c>
      <x:c r="H983" s="2" t="str">
        <x:v>曹操</x:v>
      </x:c>
      <x:c r="I983" s="2" t="str">
        <x:v>x</x:v>
      </x:c>
      <x:c r="J983" s="2" t="str">
        <x:v>x</x:v>
      </x:c>
      <x:c r="K983" s="2" t="str">
        <x:v>x</x:v>
      </x:c>
      <x:c r="L983" s="2" t="str">
        <x:v>陳留(未)</x:v>
      </x:c>
    </x:row>
    <x:row r="984" ht="23" customHeight="1">
      <x:c r="A984" s="12" t="n">
        <x:v>976</x:v>
      </x:c>
      <x:c r="B984" s="2" t="str">
        <x:v>廖立</x:v>
      </x:c>
      <x:c r="C984" s="2" t="str">
        <x:v>武陵(-)</x:v>
      </x:c>
      <x:c r="D984" s="2" t="str">
        <x:v>武陵(-)</x:v>
      </x:c>
      <x:c r="E984" s="2" t="str">
        <x:v>武陵(-)</x:v>
      </x:c>
      <x:c r="F984" s="2" t="str">
        <x:v>武陵(未)</x:v>
      </x:c>
      <x:c r="G984" s="2" t="str">
        <x:v>武陵(未)</x:v>
      </x:c>
      <x:c r="H984" s="2" t="str">
        <x:v>劉備</x:v>
      </x:c>
      <x:c r="I984" s="2" t="str">
        <x:v>劉備</x:v>
      </x:c>
      <x:c r="J984" s="2" t="str">
        <x:v>劉禪</x:v>
      </x:c>
      <x:c r="K984" s="2" t="str">
        <x:v>成都(野)</x:v>
      </x:c>
      <x:c r="L984" s="2" t="str">
        <x:v>武陵(未)</x:v>
      </x:c>
    </x:row>
    <x:row r="985" ht="23" customHeight="1">
      <x:c r="A985" s="12" t="n">
        <x:v>977</x:v>
      </x:c>
      <x:c r="B985" s="2" t="str">
        <x:v>吕凯</x:v>
      </x:c>
      <x:c r="C985" s="2" t="str">
        <x:v>雲南(-)</x:v>
      </x:c>
      <x:c r="D985" s="2" t="str">
        <x:v>雲南(-)</x:v>
      </x:c>
      <x:c r="E985" s="2" t="str">
        <x:v>雲南(-)</x:v>
      </x:c>
      <x:c r="F985" s="2" t="str">
        <x:v>雲南(-)</x:v>
      </x:c>
      <x:c r="G985" s="2" t="str">
        <x:v>雲南(-)</x:v>
      </x:c>
      <x:c r="H985" s="2" t="str">
        <x:v>雲南(未)</x:v>
      </x:c>
      <x:c r="I985" s="2" t="str">
        <x:v>劉備</x:v>
      </x:c>
      <x:c r="J985" s="2" t="str">
        <x:v>劉禪</x:v>
      </x:c>
      <x:c r="K985" s="2" t="str">
        <x:v>x</x:v>
      </x:c>
      <x:c r="L985" s="2" t="str">
        <x:v>雲南(未)</x:v>
      </x:c>
    </x:row>
    <x:row r="986" ht="23" customHeight="1">
      <x:c r="A986" s="12" t="n">
        <x:v>978</x:v>
      </x:c>
      <x:c r="B986" s="2" t="str">
        <x:v>吕乂</x:v>
      </x:c>
      <x:c r="C986" s="2" t="str">
        <x:v>宛(-)</x:v>
      </x:c>
      <x:c r="D986" s="2" t="str">
        <x:v>宛(-)</x:v>
      </x:c>
      <x:c r="E986" s="2" t="str">
        <x:v>宛(-)</x:v>
      </x:c>
      <x:c r="F986" s="2" t="str">
        <x:v>宛(-)</x:v>
      </x:c>
      <x:c r="G986" s="2" t="str">
        <x:v>宛(未)</x:v>
      </x:c>
      <x:c r="H986" s="2" t="str">
        <x:v>劉備</x:v>
      </x:c>
      <x:c r="I986" s="2" t="str">
        <x:v>劉備</x:v>
      </x:c>
      <x:c r="J986" s="2" t="str">
        <x:v>劉禪</x:v>
      </x:c>
      <x:c r="K986" s="2" t="str">
        <x:v>劉禪</x:v>
      </x:c>
      <x:c r="L986" s="2" t="str">
        <x:v>宛(未)</x:v>
      </x:c>
    </x:row>
    <x:row r="987" ht="23" customHeight="1">
      <x:c r="A987" s="12" t="n">
        <x:v>979</x:v>
      </x:c>
      <x:c r="B987" s="2" t="str">
        <x:v>吕据</x:v>
      </x:c>
      <x:c r="C987" s="2" t="str">
        <x:v>汝南(-)</x:v>
      </x:c>
      <x:c r="D987" s="2" t="str">
        <x:v>汝南(-)</x:v>
      </x:c>
      <x:c r="E987" s="2" t="str">
        <x:v>汝南(-)</x:v>
      </x:c>
      <x:c r="F987" s="2" t="str">
        <x:v>汝南(-)</x:v>
      </x:c>
      <x:c r="G987" s="2" t="str">
        <x:v>汝南(-)</x:v>
      </x:c>
      <x:c r="H987" s="2" t="str">
        <x:v>孫權</x:v>
      </x:c>
      <x:c r="I987" s="2" t="str">
        <x:v>孫權</x:v>
      </x:c>
      <x:c r="J987" s="2" t="str">
        <x:v>孫權</x:v>
      </x:c>
      <x:c r="K987" s="2" t="str">
        <x:v>孫權</x:v>
      </x:c>
      <x:c r="L987" s="2" t="str">
        <x:v>汝南(未)</x:v>
      </x:c>
    </x:row>
    <x:row r="988" ht="23" customHeight="1">
      <x:c r="A988" s="12" t="n">
        <x:v>980</x:v>
      </x:c>
      <x:c r="B988" s="2" t="str">
        <x:v>吕虔</x:v>
      </x:c>
      <x:c r="C988" s="2" t="str">
        <x:v>濮陽(-)</x:v>
      </x:c>
      <x:c r="D988" s="2" t="str">
        <x:v>濮陽(-)</x:v>
      </x:c>
      <x:c r="E988" s="2" t="str">
        <x:v>曹操</x:v>
      </x:c>
      <x:c r="F988" s="2" t="str">
        <x:v>曹操</x:v>
      </x:c>
      <x:c r="G988" s="2" t="str">
        <x:v>曹操</x:v>
      </x:c>
      <x:c r="H988" s="2" t="str">
        <x:v>曹操</x:v>
      </x:c>
      <x:c r="I988" s="2" t="str">
        <x:v>曹丕</x:v>
      </x:c>
      <x:c r="J988" s="2" t="str">
        <x:v>曹叡</x:v>
      </x:c>
      <x:c r="K988" s="2" t="str">
        <x:v>x</x:v>
      </x:c>
      <x:c r="L988" s="2" t="str">
        <x:v>濮陽(未)</x:v>
      </x:c>
    </x:row>
    <x:row r="989" ht="23" customHeight="1">
      <x:c r="A989" s="12" t="n">
        <x:v>981</x:v>
      </x:c>
      <x:c r="B989" s="2" t="str">
        <x:v>吕建</x:v>
      </x:c>
      <x:c r="C989" s="2" t="str">
        <x:v>晉陽(-)</x:v>
      </x:c>
      <x:c r="D989" s="2" t="str">
        <x:v>晉陽(-)</x:v>
      </x:c>
      <x:c r="E989" s="2" t="str">
        <x:v>晉陽(-)</x:v>
      </x:c>
      <x:c r="F989" s="2" t="str">
        <x:v>晉陽(-)</x:v>
      </x:c>
      <x:c r="G989" s="2" t="str">
        <x:v>曹操</x:v>
      </x:c>
      <x:c r="H989" s="2" t="str">
        <x:v>曹操</x:v>
      </x:c>
      <x:c r="I989" s="2" t="str">
        <x:v>曹丕</x:v>
      </x:c>
      <x:c r="J989" s="2" t="str">
        <x:v>曹叡</x:v>
      </x:c>
      <x:c r="K989" s="2" t="str">
        <x:v>x</x:v>
      </x:c>
      <x:c r="L989" s="2" t="str">
        <x:v>晉陽(未)</x:v>
      </x:c>
    </x:row>
    <x:row r="990" ht="23" customHeight="1">
      <x:c r="A990" s="12" t="n">
        <x:v>982</x:v>
      </x:c>
      <x:c r="B990" s="2" t="str">
        <x:v>吕公</x:v>
      </x:c>
      <x:c r="C990" s="2" t="str">
        <x:v>襄陽(未)</x:v>
      </x:c>
      <x:c r="D990" s="2" t="str">
        <x:v>劉表</x:v>
      </x:c>
      <x:c r="E990" s="2" t="str">
        <x:v>x</x:v>
      </x:c>
      <x:c r="F990" s="2" t="str">
        <x:v>x</x:v>
      </x:c>
      <x:c r="G990" s="2" t="str">
        <x:v>x</x:v>
      </x:c>
      <x:c r="H990" s="2" t="str">
        <x:v>x</x:v>
      </x:c>
      <x:c r="I990" s="2" t="str">
        <x:v>x</x:v>
      </x:c>
      <x:c r="J990" s="2" t="str">
        <x:v>x</x:v>
      </x:c>
      <x:c r="K990" s="2" t="str">
        <x:v>x</x:v>
      </x:c>
      <x:c r="L990" s="2" t="str">
        <x:v>劉表</x:v>
      </x:c>
    </x:row>
    <x:row r="991" ht="23" customHeight="1">
      <x:c r="A991" s="12" t="n">
        <x:v>983</x:v>
      </x:c>
      <x:c r="B991" s="2" t="str">
        <x:v>吕旷</x:v>
      </x:c>
      <x:c r="C991" s="2" t="str">
        <x:v>鄴(未)</x:v>
      </x:c>
      <x:c r="D991" s="2" t="str">
        <x:v>鄴(未)</x:v>
      </x:c>
      <x:c r="E991" s="2" t="str">
        <x:v>袁紹</x:v>
      </x:c>
      <x:c r="F991" s="2" t="str">
        <x:v>袁紹</x:v>
      </x:c>
      <x:c r="G991" s="2" t="str">
        <x:v>曹操</x:v>
      </x:c>
      <x:c r="H991" s="2" t="str">
        <x:v>x</x:v>
      </x:c>
      <x:c r="I991" s="2" t="str">
        <x:v>x</x:v>
      </x:c>
      <x:c r="J991" s="2" t="str">
        <x:v>x</x:v>
      </x:c>
      <x:c r="K991" s="2" t="str">
        <x:v>x</x:v>
      </x:c>
      <x:c r="L991" s="2" t="str">
        <x:v>袁紹</x:v>
      </x:c>
    </x:row>
    <x:row r="992" ht="23" customHeight="1">
      <x:c r="A992" s="12" t="n">
        <x:v>984</x:v>
      </x:c>
      <x:c r="B992" s="2" t="str">
        <x:v>吕翔</x:v>
      </x:c>
      <x:c r="C992" s="2" t="str">
        <x:v>鄴(未)</x:v>
      </x:c>
      <x:c r="D992" s="2" t="str">
        <x:v>鄴(未)</x:v>
      </x:c>
      <x:c r="E992" s="2" t="str">
        <x:v>袁紹</x:v>
      </x:c>
      <x:c r="F992" s="2" t="str">
        <x:v>袁紹</x:v>
      </x:c>
      <x:c r="G992" s="2" t="str">
        <x:v>曹操</x:v>
      </x:c>
      <x:c r="H992" s="2" t="str">
        <x:v>x</x:v>
      </x:c>
      <x:c r="I992" s="2" t="str">
        <x:v>x</x:v>
      </x:c>
      <x:c r="J992" s="2" t="str">
        <x:v>x</x:v>
      </x:c>
      <x:c r="K992" s="2" t="str">
        <x:v>x</x:v>
      </x:c>
      <x:c r="L992" s="2" t="str">
        <x:v>袁紹</x:v>
      </x:c>
    </x:row>
    <x:row r="993" ht="23" customHeight="1">
      <x:c r="A993" s="12" t="n">
        <x:v>985</x:v>
      </x:c>
      <x:c r="B993" s="2" t="str">
        <x:v>吕岱</x:v>
      </x:c>
      <x:c r="C993" s="2" t="str">
        <x:v>廣陵(未)</x:v>
      </x:c>
      <x:c r="D993" s="2" t="str">
        <x:v>廣陵(未)</x:v>
      </x:c>
      <x:c r="E993" s="2" t="str">
        <x:v>建業(未)</x:v>
      </x:c>
      <x:c r="F993" s="2" t="str">
        <x:v>建業(未)</x:v>
      </x:c>
      <x:c r="G993" s="2" t="str">
        <x:v>孫權</x:v>
      </x:c>
      <x:c r="H993" s="2" t="str">
        <x:v>孫權</x:v>
      </x:c>
      <x:c r="I993" s="2" t="str">
        <x:v>孫權</x:v>
      </x:c>
      <x:c r="J993" s="2" t="str">
        <x:v>孫權</x:v>
      </x:c>
      <x:c r="K993" s="2" t="str">
        <x:v>孫權</x:v>
      </x:c>
      <x:c r="L993" s="2" t="str">
        <x:v>廣陵(未)</x:v>
      </x:c>
    </x:row>
    <x:row r="994" ht="23" customHeight="1">
      <x:c r="A994" s="12" t="n">
        <x:v>986</x:v>
      </x:c>
      <x:c r="B994" s="2" t="str">
        <x:v>吕范</x:v>
      </x:c>
      <x:c r="C994" s="2" t="str">
        <x:v>汝南(-)</x:v>
      </x:c>
      <x:c r="D994" s="2" t="str">
        <x:v>汝南(未)</x:v>
      </x:c>
      <x:c r="E994" s="2" t="str">
        <x:v>孫策</x:v>
      </x:c>
      <x:c r="F994" s="2" t="str">
        <x:v>孫策</x:v>
      </x:c>
      <x:c r="G994" s="2" t="str">
        <x:v>孫權</x:v>
      </x:c>
      <x:c r="H994" s="2" t="str">
        <x:v>孫權</x:v>
      </x:c>
      <x:c r="I994" s="2" t="str">
        <x:v>孫權</x:v>
      </x:c>
      <x:c r="J994" s="2" t="str">
        <x:v>孫權</x:v>
      </x:c>
      <x:c r="K994" s="2" t="str">
        <x:v>x</x:v>
      </x:c>
      <x:c r="L994" s="2" t="str">
        <x:v>汝南(未)</x:v>
      </x:c>
    </x:row>
    <x:row r="995" ht="23" customHeight="1">
      <x:c r="A995" s="12" t="n">
        <x:v>987</x:v>
      </x:c>
      <x:c r="B995" s="2" t="str">
        <x:v>吕布</x:v>
      </x:c>
      <x:c r="C995" s="2" t="str">
        <x:v>丁原</x:v>
      </x:c>
      <x:c r="D995" s="2" t="str">
        <x:v>董卓</x:v>
      </x:c>
      <x:c r="E995" s="2" t="str">
        <x:v>呂布</x:v>
      </x:c>
      <x:c r="F995" s="2" t="str">
        <x:v>x</x:v>
      </x:c>
      <x:c r="G995" s="2" t="str">
        <x:v>x</x:v>
      </x:c>
      <x:c r="H995" s="2" t="str">
        <x:v>x</x:v>
      </x:c>
      <x:c r="I995" s="2" t="str">
        <x:v>x</x:v>
      </x:c>
      <x:c r="J995" s="2" t="str">
        <x:v>x</x:v>
      </x:c>
      <x:c r="K995" s="2" t="str">
        <x:v>x</x:v>
      </x:c>
      <x:c r="L995" s="2" t="str">
        <x:v>呂布</x:v>
      </x:c>
    </x:row>
    <x:row r="996" ht="23" customHeight="1">
      <x:c r="A996" s="12" t="n">
        <x:v>988</x:v>
      </x:c>
      <x:c r="B996" s="2" t="str">
        <x:v>吕蒙</x:v>
      </x:c>
      <x:c r="C996" s="2" t="str">
        <x:v>汝南(-)</x:v>
      </x:c>
      <x:c r="D996" s="2" t="str">
        <x:v>汝南(-)</x:v>
      </x:c>
      <x:c r="E996" s="2" t="str">
        <x:v>汝南(未)</x:v>
      </x:c>
      <x:c r="F996" s="2" t="str">
        <x:v>孫策</x:v>
      </x:c>
      <x:c r="G996" s="2" t="str">
        <x:v>孫權</x:v>
      </x:c>
      <x:c r="H996" s="2" t="str">
        <x:v>孫權</x:v>
      </x:c>
      <x:c r="I996" s="2" t="str">
        <x:v>x</x:v>
      </x:c>
      <x:c r="J996" s="2" t="str">
        <x:v>x</x:v>
      </x:c>
      <x:c r="K996" s="2" t="str">
        <x:v>x</x:v>
      </x:c>
      <x:c r="L996" s="2" t="str">
        <x:v>孫堅</x:v>
      </x:c>
    </x:row>
    <x:row r="997" ht="23" customHeight="1">
      <x:c r="A997" s="12" t="n">
        <x:v>989</x:v>
      </x:c>
      <x:c r="B997" s="2" t="str">
        <x:v>吕玲绮</x:v>
      </x:c>
      <x:c r="C997" s="2" t="str">
        <x:v>晉陽(-)</x:v>
      </x:c>
      <x:c r="D997" s="2" t="str">
        <x:v>晉陽(-)</x:v>
      </x:c>
      <x:c r="E997" s="2" t="str">
        <x:v>濮陽(-)</x:v>
      </x:c>
      <x:c r="F997" s="2" t="str">
        <x:v>x</x:v>
      </x:c>
      <x:c r="G997" s="2" t="str">
        <x:v>x</x:v>
      </x:c>
      <x:c r="H997" s="2" t="str">
        <x:v>x</x:v>
      </x:c>
      <x:c r="I997" s="2" t="str">
        <x:v>x</x:v>
      </x:c>
      <x:c r="J997" s="2" t="str">
        <x:v>x</x:v>
      </x:c>
      <x:c r="K997" s="2" t="str">
        <x:v>x</x:v>
      </x:c>
      <x:c r="L997" s="2" t="str">
        <x:v>呂布</x:v>
      </x:c>
    </x:row>
    <x:row r="998" ht="23" customHeight="1">
      <x:c r="A998" s="12" t="n">
        <x:v>990</x:v>
      </x:c>
      <x:c r="B998" s="2" t="str">
        <x:v>纶直</x:v>
      </x:c>
      <x:c r="C998" s="2" t="str">
        <x:v>襄平(-)</x:v>
      </x:c>
      <x:c r="D998" s="2" t="str">
        <x:v>襄平(-)</x:v>
      </x:c>
      <x:c r="E998" s="2" t="str">
        <x:v>襄平(-)</x:v>
      </x:c>
      <x:c r="F998" s="2" t="str">
        <x:v>襄平(-)</x:v>
      </x:c>
      <x:c r="G998" s="2" t="str">
        <x:v>襄平(-)</x:v>
      </x:c>
      <x:c r="H998" s="2" t="str">
        <x:v>公孫恭</x:v>
      </x:c>
      <x:c r="I998" s="2" t="str">
        <x:v>公孫恭</x:v>
      </x:c>
      <x:c r="J998" s="2" t="str">
        <x:v>公孫恭</x:v>
      </x:c>
      <x:c r="K998" s="2" t="str">
        <x:v>x</x:v>
      </x:c>
      <x:c r="L998" s="2" t="str">
        <x:v>公孫度</x:v>
      </x:c>
    </x:row>
    <x:row r="999" ht="23" customHeight="1">
      <x:c r="A999" s="12" t="n">
        <x:v>991</x:v>
      </x:c>
      <x:c r="B999" s="2" t="str">
        <x:v>令狐愚</x:v>
      </x:c>
      <x:c r="C999" s="2" t="str">
        <x:v>晉陽(-)</x:v>
      </x:c>
      <x:c r="D999" s="2" t="str">
        <x:v>晉陽(-)</x:v>
      </x:c>
      <x:c r="E999" s="2" t="str">
        <x:v>晉陽(-)</x:v>
      </x:c>
      <x:c r="F999" s="2" t="str">
        <x:v>晉陽(-)</x:v>
      </x:c>
      <x:c r="G999" s="2" t="str">
        <x:v>晉陽(-)</x:v>
      </x:c>
      <x:c r="H999" s="2" t="str">
        <x:v>晉陽(-)</x:v>
      </x:c>
      <x:c r="I999" s="2" t="str">
        <x:v>曹丕</x:v>
      </x:c>
      <x:c r="J999" s="2" t="str">
        <x:v>曹叡</x:v>
      </x:c>
      <x:c r="K999" s="2" t="str">
        <x:v>曹芳</x:v>
      </x:c>
      <x:c r="L999" s="2" t="str">
        <x:v>晉陽(未)</x:v>
      </x:c>
    </x:row>
    <x:row r="1000" ht="23" customHeight="1">
      <x:c r="A1000" s="12" t="n">
        <x:v>992</x:v>
      </x:c>
      <x:c r="B1000" s="2" t="str">
        <x:v>冷苞</x:v>
      </x:c>
      <x:c r="C1000" s="2" t="str">
        <x:v>成都(-)</x:v>
      </x:c>
      <x:c r="D1000" s="2" t="str">
        <x:v>成都(-)</x:v>
      </x:c>
      <x:c r="E1000" s="2" t="str">
        <x:v>成都(-)</x:v>
      </x:c>
      <x:c r="F1000" s="2" t="str">
        <x:v>成都(-)</x:v>
      </x:c>
      <x:c r="G1000" s="2" t="str">
        <x:v>劉璋</x:v>
      </x:c>
      <x:c r="H1000" s="2" t="str">
        <x:v>x</x:v>
      </x:c>
      <x:c r="I1000" s="2" t="str">
        <x:v>x</x:v>
      </x:c>
      <x:c r="J1000" s="2" t="str">
        <x:v>x</x:v>
      </x:c>
      <x:c r="K1000" s="2" t="str">
        <x:v>x</x:v>
      </x:c>
      <x:c r="L1000" s="2" t="str">
        <x:v>成都(未)</x:v>
      </x:c>
    </x:row>
    <x:row r="1001" ht="23" customHeight="1">
      <x:c r="A1001" s="12" t="n">
        <x:v>993</x:v>
      </x:c>
      <x:c r="B1001" s="2" t="str">
        <x:v>卢毓</x:v>
      </x:c>
      <x:c r="C1001" s="2" t="str">
        <x:v>薊(-)</x:v>
      </x:c>
      <x:c r="D1001" s="2" t="str">
        <x:v>薊(-)</x:v>
      </x:c>
      <x:c r="E1001" s="2" t="str">
        <x:v>薊(-)</x:v>
      </x:c>
      <x:c r="F1001" s="2" t="str">
        <x:v>薊(-)</x:v>
      </x:c>
      <x:c r="G1001" s="2" t="str">
        <x:v>薊(未)</x:v>
      </x:c>
      <x:c r="H1001" s="2" t="str">
        <x:v>曹操</x:v>
      </x:c>
      <x:c r="I1001" s="2" t="str">
        <x:v>曹丕</x:v>
      </x:c>
      <x:c r="J1001" s="2" t="str">
        <x:v>曹叡</x:v>
      </x:c>
      <x:c r="K1001" s="2" t="str">
        <x:v>曹芳</x:v>
      </x:c>
      <x:c r="L1001" s="2" t="str">
        <x:v>薊(未)</x:v>
      </x:c>
    </x:row>
    <x:row r="1002" ht="23" customHeight="1">
      <x:c r="A1002" s="12" t="n">
        <x:v>994</x:v>
      </x:c>
      <x:c r="B1002" s="2" t="str">
        <x:v>娄圭</x:v>
      </x:c>
      <x:c r="C1002" s="2" t="str">
        <x:v>宛(未)</x:v>
      </x:c>
      <x:c r="D1002" s="2" t="str">
        <x:v>劉表</x:v>
      </x:c>
      <x:c r="E1002" s="2" t="str">
        <x:v>宛(野)</x:v>
      </x:c>
      <x:c r="F1002" s="2" t="str">
        <x:v>宛(野)</x:v>
      </x:c>
      <x:c r="G1002" s="2" t="str">
        <x:v>曹操</x:v>
      </x:c>
      <x:c r="H1002" s="2" t="str">
        <x:v>x</x:v>
      </x:c>
      <x:c r="I1002" s="2" t="str">
        <x:v>x</x:v>
      </x:c>
      <x:c r="J1002" s="2" t="str">
        <x:v>x</x:v>
      </x:c>
      <x:c r="K1002" s="2" t="str">
        <x:v>x</x:v>
      </x:c>
      <x:c r="L1002" s="2" t="str">
        <x:v>宛(未)</x:v>
      </x:c>
    </x:row>
    <x:row r="1003" ht="23" customHeight="1">
      <x:c r="A1003" s="12" t="n">
        <x:v>995</x:v>
      </x:c>
      <x:c r="B1003" s="2" t="str">
        <x:v>楼玄</x:v>
      </x:c>
      <x:c r="C1003" s="2" t="str">
        <x:v>小沛(-)</x:v>
      </x:c>
      <x:c r="D1003" s="2" t="str">
        <x:v>小沛(-)</x:v>
      </x:c>
      <x:c r="E1003" s="2" t="str">
        <x:v>小沛(-)</x:v>
      </x:c>
      <x:c r="F1003" s="2" t="str">
        <x:v>小沛(-)</x:v>
      </x:c>
      <x:c r="G1003" s="2" t="str">
        <x:v>小沛(-)</x:v>
      </x:c>
      <x:c r="H1003" s="2" t="str">
        <x:v>小沛(-)</x:v>
      </x:c>
      <x:c r="I1003" s="2" t="str">
        <x:v>小沛(-)</x:v>
      </x:c>
      <x:c r="J1003" s="2" t="str">
        <x:v>小沛(-)</x:v>
      </x:c>
      <x:c r="K1003" s="2" t="str">
        <x:v>孫權</x:v>
      </x:c>
      <x:c r="L1003" s="2" t="str">
        <x:v>小沛(未)</x:v>
      </x:c>
    </x:row>
    <x:row r="1004" ht="23" customHeight="1">
      <x:c r="A1004" s="12" t="n">
        <x:v>996</x:v>
      </x:c>
      <x:c r="B1004" s="2" t="str">
        <x:v>楼班</x:v>
      </x:c>
      <x:c r="C1004" s="2" t="str">
        <x:v>北平(-)</x:v>
      </x:c>
      <x:c r="D1004" s="2" t="str">
        <x:v>北平(-)</x:v>
      </x:c>
      <x:c r="E1004" s="2" t="str">
        <x:v>北平(-)</x:v>
      </x:c>
      <x:c r="F1004" s="2" t="str">
        <x:v>北平(野)</x:v>
      </x:c>
      <x:c r="G1004" s="2" t="str">
        <x:v>公孫康</x:v>
      </x:c>
      <x:c r="H1004" s="2" t="str">
        <x:v>x</x:v>
      </x:c>
      <x:c r="I1004" s="2" t="str">
        <x:v>x</x:v>
      </x:c>
      <x:c r="J1004" s="2" t="str">
        <x:v>x</x:v>
      </x:c>
      <x:c r="K1004" s="2" t="str">
        <x:v>x</x:v>
      </x:c>
      <x:c r="L1004" s="2" t="str">
        <x:v>北平(未)</x:v>
      </x:c>
    </x:row>
    <x:row r="1005" ht="23" customHeight="1">
      <x:c r="A1005" s="12" t="n">
        <x:v>997</x:v>
      </x:c>
      <x:c r="B1005" s="2" t="str">
        <x:v>鲁肃</x:v>
      </x:c>
      <x:c r="C1005" s="2" t="str">
        <x:v>廬江(-)</x:v>
      </x:c>
      <x:c r="D1005" s="2" t="str">
        <x:v>廬江(-)</x:v>
      </x:c>
      <x:c r="E1005" s="2" t="str">
        <x:v>廬江(未)</x:v>
      </x:c>
      <x:c r="F1005" s="2" t="str">
        <x:v>廬江(野)</x:v>
      </x:c>
      <x:c r="G1005" s="2" t="str">
        <x:v>孫權</x:v>
      </x:c>
      <x:c r="H1005" s="2" t="str">
        <x:v>x</x:v>
      </x:c>
      <x:c r="I1005" s="2" t="str">
        <x:v>x</x:v>
      </x:c>
      <x:c r="J1005" s="2" t="str">
        <x:v>x</x:v>
      </x:c>
      <x:c r="K1005" s="2" t="str">
        <x:v>x</x:v>
      </x:c>
      <x:c r="L1005" s="2" t="str">
        <x:v>孫堅</x:v>
      </x:c>
    </x:row>
    <x:row r="1006" ht="23" customHeight="1">
      <x:c r="A1006" s="12" t="n">
        <x:v>998</x:v>
      </x:c>
      <x:c r="B1006" s="2" t="str">
        <x:v>鲁淑</x:v>
      </x:c>
      <x:c r="C1006" s="2" t="str">
        <x:v>廬江(-)</x:v>
      </x:c>
      <x:c r="D1006" s="2" t="str">
        <x:v>廬江(-)</x:v>
      </x:c>
      <x:c r="E1006" s="2" t="str">
        <x:v>廬江(-)</x:v>
      </x:c>
      <x:c r="F1006" s="2" t="str">
        <x:v>廬江(-)</x:v>
      </x:c>
      <x:c r="G1006" s="2" t="str">
        <x:v>廬江(-)</x:v>
      </x:c>
      <x:c r="H1006" s="2" t="str">
        <x:v>廬江(-)</x:v>
      </x:c>
      <x:c r="I1006" s="2" t="str">
        <x:v>廬江(-)</x:v>
      </x:c>
      <x:c r="J1006" s="2" t="str">
        <x:v>孫權</x:v>
      </x:c>
      <x:c r="K1006" s="2" t="str">
        <x:v>孫權</x:v>
      </x:c>
      <x:c r="L1006" s="2" t="str">
        <x:v>孫堅</x:v>
      </x:c>
    </x:row>
    <x:row r="1007" ht="23" customHeight="1">
      <x:c r="A1007" s="12" t="n">
        <x:v>999</x:v>
      </x:c>
      <x:c r="B1007" s="2" t="str">
        <x:v>路招</x:v>
      </x:c>
      <x:c r="C1007" s="2" t="str">
        <x:v>陳留(-)</x:v>
      </x:c>
      <x:c r="D1007" s="2" t="str">
        <x:v>陳留(-)</x:v>
      </x:c>
      <x:c r="E1007" s="2" t="str">
        <x:v>陳留(未)</x:v>
      </x:c>
      <x:c r="F1007" s="2" t="str">
        <x:v>曹操</x:v>
      </x:c>
      <x:c r="G1007" s="2" t="str">
        <x:v>曹操</x:v>
      </x:c>
      <x:c r="H1007" s="2" t="str">
        <x:v>曹操</x:v>
      </x:c>
      <x:c r="I1007" s="2" t="str">
        <x:v>x</x:v>
      </x:c>
      <x:c r="J1007" s="2" t="str">
        <x:v>x</x:v>
      </x:c>
      <x:c r="K1007" s="2" t="str">
        <x:v>x</x:v>
      </x:c>
      <x:c r="L1007" s="2" t="str">
        <x:v>陳留(未)</x:v>
      </x:c>
    </x:row>
    <x:row r="1008" ht="23" customHeight="1">
      <x:c r="A1008" s="12" t="n">
        <x:v>1000</x:v>
      </x:c>
      <x:c r="B1008" s="2" t="str">
        <x:v>卢植</x:v>
      </x:c>
      <x:c r="C1008" s="2" t="str">
        <x:v>何進</x:v>
      </x:c>
      <x:c r="D1008" s="2" t="str">
        <x:v>洛陽(野)</x:v>
      </x:c>
      <x:c r="E1008" s="2" t="str">
        <x:v>x</x:v>
      </x:c>
      <x:c r="F1008" s="2" t="str">
        <x:v>x</x:v>
      </x:c>
      <x:c r="G1008" s="2" t="str">
        <x:v>x</x:v>
      </x:c>
      <x:c r="H1008" s="2" t="str">
        <x:v>x</x:v>
      </x:c>
      <x:c r="I1008" s="2" t="str">
        <x:v>x</x:v>
      </x:c>
      <x:c r="J1008" s="2" t="str">
        <x:v>x</x:v>
      </x:c>
      <x:c r="K1008" s="2" t="str">
        <x:v>x</x:v>
      </x:c>
      <x:c r="L1008" s="2" t="str">
        <x:v>何進</x:v>
      </x:c>
    </x:row>
  </x:sheetData>
  <x:pageMargins left="0.7" right="0.7" top="0.75" bottom="0.75" header="0.3" footer="0.3"/>
  <x:tableParts count="1">
    <x:tablePart xmlns:r="http://schemas.openxmlformats.org/officeDocument/2006/relationships" r:id="R137f18c7ef5641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34" hidden="0" customWidth="1"/>
    <x:col min="5" max="5" width="65" hidden="0" customWidth="1"/>
    <x:col min="6" max="6" width="26" hidden="0" customWidth="1"/>
    <x:col min="7" max="7" width="60" hidden="0" customWidth="1"/>
    <x:col min="8" max="8" width="6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字段映射与导入边界</x:v>
      </x:c>
      <x:c r="B2" s="5"/>
      <x:c r="C2" s="5"/>
      <x:c r="D2" s="5"/>
      <x:c r="E2" s="5"/>
      <x:c r="F2" s="5"/>
      <x:c r="G2" s="5"/>
      <x:c r="H2" s="5"/>
      <x:c r="I2" s="14"/>
      <x:c r="J2" s="14"/>
      <x:c r="K2" s="14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本表为转换方案，尚未执行数值导入。保留原作12字节语义，不把SAN14魅力直接写入徳。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扩展容量建议1200，运行ID采用16位。新增体、徳、适性与装备仍需逐人配置。</x:v>
      </x:c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/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11" t="str">
        <x:v>字段</x:v>
      </x:c>
      <x:c r="B8" s="11" t="str">
        <x:v>来源字段</x:v>
      </x:c>
      <x:c r="C8" s="11" t="str">
        <x:v>目标字段</x:v>
      </x:c>
      <x:c r="D8" s="11" t="str">
        <x:v>原版存储</x:v>
      </x:c>
      <x:c r="E8" s="11" t="str">
        <x:v>转换规则</x:v>
      </x:c>
      <x:c r="F8" s="11" t="str">
        <x:v>方案状态</x:v>
      </x:c>
      <x:c r="G8" s="11" t="str">
        <x:v>备注</x:v>
      </x:c>
      <x:c r="H8" s="11" t="str">
        <x:v>证据</x:v>
      </x:c>
    </x:row>
    <x:row r="9" ht="39" customHeight="1">
      <x:c r="A9" s="16" t="str">
        <x:v>候选人物身份</x:v>
      </x:c>
      <x:c r="B9" s="16" t="str">
        <x:v>SAN14官方名单序号+语言版本</x:v>
      </x:c>
      <x:c r="C9" s="16" t="str">
        <x:v>person_id</x:v>
      </x:c>
      <x:c r="D9" s="16" t="str">
        <x:v>原版无统一跨游戏人物ID</x:v>
      </x:c>
      <x:c r="E9" s="16" t="str">
        <x:v>固定源空间命名ID；按官方独立条目保留同名异人；别名只归并同一实体。</x:v>
      </x:c>
      <x:c r="F9" s="16" t="str">
        <x:v>独立引擎新结构提议</x:v>
      </x:c>
      <x:c r="G9" s="16" t="str">
        <x:v>不能以姓名字符串作为主键。</x:v>
      </x:c>
      <x:c r="H9" s="16" t="str">
        <x:v>official-list</x:v>
      </x:c>
    </x:row>
    <x:row r="10" ht="39" customHeight="1">
      <x:c r="A10" s="16" t="str">
        <x:v>新引擎武将ID</x:v>
      </x:c>
      <x:c r="B10" s="16" t="str">
        <x:v>person_id</x:v>
      </x:c>
      <x:c r="C10" s="16" t="str">
        <x:v>runtime_officer_id</x:v>
      </x:c>
      <x:c r="D10" s="16" t="str">
        <x:v>8-bit ID；FF为空槽；有效记录0..236</x:v>
      </x:c>
      <x:c r="E10" s="16" t="str">
        <x:v>分配16位运行ID；计划容量1200，取值0..1199；FFFF为空；人物身份与数组索引分开。</x:v>
      </x:c>
      <x:c r="F10" s="16" t="str">
        <x:v>独立引擎新结构提议</x:v>
      </x:c>
      <x:c r="G10" s="16" t="str">
        <x:v>这不是原ROM已可支持1200人的证明。</x:v>
      </x:c>
      <x:c r="H10" s="16" t="str">
        <x:v>source/recovered/game_algorithms.py:28
source/recovered/officers.py:95</x:v>
      </x:c>
    </x:row>
    <x:row r="11" ht="39" customHeight="1">
      <x:c r="A11" s="16" t="str">
        <x:v>原版兼容ID</x:v>
      </x:c>
      <x:c r="B11" s="16" t="str">
        <x:v>已审核原版人物对照</x:v>
      </x:c>
      <x:c r="C11" s="16" t="str">
        <x:v>legacy_nes_officer_id</x:v>
      </x:c>
      <x:c r="D11" s="16" t="str">
        <x:v>0..236</x:v>
      </x:c>
      <x:c r="E11" s="16" t="str">
        <x:v>只有同一人物核对通过后才填；未对上用null；绝不把SAN14序号直接当NES ID。</x:v>
      </x:c>
      <x:c r="F11" s="16" t="str">
        <x:v>须独立人物身份核对</x:v>
      </x:c>
      <x:c r="G11" s="16" t="str">
        <x:v>用于保留原记录、特殊技能与家族关系。</x:v>
      </x:c>
      <x:c r="H11" s="16" t="str">
        <x:v>source/recovered/officers.py:95</x:v>
      </x:c>
    </x:row>
    <x:row r="12" ht="39" customHeight="1">
      <x:c r="A12" s="16" t="str">
        <x:v>姓名/别名</x:v>
      </x:c>
      <x:c r="B12" s="16" t="str">
        <x:v>官方繁体姓名、简体规范名、异名</x:v>
      </x:c>
      <x:c r="C12" s="16" t="str">
        <x:v>name_zh_hant/name_zh_hans/aliases</x:v>
      </x:c>
      <x:c r="D12" s="16" t="str">
        <x:v>原版专用字形姓名表</x:v>
      </x:c>
      <x:c r="E12" s="16" t="str">
        <x:v>保留原文；Unicode规范化作辅助检索；同名异人保留独立person_id。</x:v>
      </x:c>
      <x:c r="F12" s="16" t="str">
        <x:v>可保留的资料字段</x:v>
      </x:c>
      <x:c r="G12" s="16" t="str">
        <x:v>異體/简繁与真正异名分层记录；不以自动简繁作为人物合并证据。</x:v>
      </x:c>
      <x:c r="H12" s="16" t="str">
        <x:v>official-list</x:v>
      </x:c>
    </x:row>
    <x:row r="13" ht="39" customHeight="1">
      <x:c r="A13" s="16" t="str">
        <x:v>体</x:v>
      </x:c>
      <x:c r="B13" s="16" t="str">
        <x:v>SAN14通常武将基础表无直接对应个人体力字段</x:v>
      </x:c>
      <x:c r="C13" s="16" t="str">
        <x:v>health</x:v>
      </x:c>
      <x:c r="D13" s="16" t="str">
        <x:v>byte0；初始有效记录30..99</x:v>
      </x:c>
      <x:c r="E13" s="16" t="str">
        <x:v>重合人物保留NES体；新增人物暂null，另做游戏平衡配置后赋值。</x:v>
      </x:c>
      <x:c r="F13" s="16" t="str">
        <x:v>需逐人设计/复核，不自动换算</x:v>
      </x:c>
      <x:c r="G13" s="16" t="str">
        <x:v>不能把SAN14统率、士兵或武力自动当体；不生成虚构的已确认公式。</x:v>
      </x:c>
      <x:c r="H13" s="16" t="str">
        <x:v>source/recovered/officers.py:30</x:v>
      </x:c>
    </x:row>
    <x:row r="14" ht="39" customHeight="1">
      <x:c r="A14" s="16" t="str">
        <x:v>武</x:v>
      </x:c>
      <x:c r="B14" s="16" t="str">
        <x:v>SAN14武力</x:v>
      </x:c>
      <x:c r="C14" s="16" t="str">
        <x:v>martial_strength</x:v>
      </x:c>
      <x:c r="D14" s="16" t="str">
        <x:v>byte1；初始有效记录18..99</x:v>
      </x:c>
      <x:c r="E14" s="16" t="str">
        <x:v>保留SAN14原始武力；候选转换提议clamp(武力,1,99)，逐人与原版237人校准后启用。</x:v>
      </x:c>
      <x:c r="F14" s="16" t="str">
        <x:v>暂定转换，尚未执行或平衡验证</x:v>
      </x:c>
      <x:c r="G14" s="16" t="str">
        <x:v>99只是拟定兼容目标，不是byte编码硬上限；100原值不得丢弃。</x:v>
      </x:c>
      <x:c r="H14" s="16" t="str">
        <x:v>source/recovered/officers.py:32
official-sortie</x:v>
      </x:c>
    </x:row>
    <x:row r="15" ht="54" customHeight="1">
      <x:c r="A15" s="16" t="str">
        <x:v>知</x:v>
      </x:c>
      <x:c r="B15" s="16" t="str">
        <x:v>SAN14智力</x:v>
      </x:c>
      <x:c r="C15" s="16" t="str">
        <x:v>intellect</x:v>
      </x:c>
      <x:c r="D15" s="16" t="str">
        <x:v>byte2；初始有效记录8..99</x:v>
      </x:c>
      <x:c r="E15" s="16" t="str">
        <x:v>保留SAN14原始智力；候选转换提议clamp(智力,1,99)，校准计略成功率与AI知阈值后启用。</x:v>
      </x:c>
      <x:c r="F15" s="16" t="str">
        <x:v>暂定转换，尚未执行或平衡验证</x:v>
      </x:c>
      <x:c r="G15" s="16" t="str">
        <x:v>不得以政治替换智力；原AI高级计略门槛知&gt;=92等须回归验证。</x:v>
      </x:c>
      <x:c r="H15" s="16" t="str">
        <x:v>source/recovered/officers.py:34
source/recovered/ai.py:194
official-sortie</x:v>
      </x:c>
    </x:row>
    <x:row r="16" ht="54" customHeight="1">
      <x:c r="A16" s="16" t="str">
        <x:v>忠</x:v>
      </x:c>
      <x:c r="B16" s="16" t="str">
        <x:v>剧本所属、亲族、关系；非固定全人物常量</x:v>
      </x:c>
      <x:c r="C16" s="16" t="str">
        <x:v>loyalty</x:v>
      </x:c>
      <x:c r="D16" s="16" t="str">
        <x:v>byte3；100原显示--</x:v>
      </x:c>
      <x:c r="E16" s="16" t="str">
        <x:v>从剧本关系配置；重合人物可保留原值；招入/继承按原不同服务计算。</x:v>
      </x:c>
      <x:c r="F16" s="16" t="str">
        <x:v>依剧本/资源/关系确定，非人物固定值</x:v>
      </x:c>
      <x:c r="G16" s="16" t="str">
        <x:v>不按SAN14魅力或主义直接换算，不把武将个人永久绑定一个忠诚数。</x:v>
      </x:c>
      <x:c r="H16" s="16" t="str">
        <x:v>source/recovered/officers.py:36
source/recovered/officer_transfer.py:58
source/recovered/officer_transfer.py:66</x:v>
      </x:c>
    </x:row>
    <x:row r="17" ht="54" customHeight="1">
      <x:c r="A17" s="16" t="str">
        <x:v>徳</x:v>
      </x:c>
      <x:c r="B17" s="16" t="str">
        <x:v>SAN14魅力可作人工参考；无严格等价字段</x:v>
      </x:c>
      <x:c r="C17" s="16" t="str">
        <x:v>virtue</x:v>
      </x:c>
      <x:c r="D17" s="16" t="str">
        <x:v>byte4；初始有效记录10..99</x:v>
      </x:c>
      <x:c r="E17" s="16" t="str">
        <x:v>重合人物保留NES徳；新增人物暂null并独立设定，保留参考魅力。</x:v>
      </x:c>
      <x:c r="F17" s="16" t="str">
        <x:v>需逐人设计/复核，不自动换算</x:v>
      </x:c>
      <x:c r="G17" s="16" t="str">
        <x:v>徳参与招募忠诚、太守/继承等；不能直接改称魅力或照搬魅力。</x:v>
      </x:c>
      <x:c r="H17" s="16" t="str">
        <x:v>source/recovered/officers.py:38
source/recovered/domestic_ai.py:101
source/recovered/officer_transfer.py:66</x:v>
      </x:c>
    </x:row>
    <x:row r="18" ht="39" customHeight="1">
      <x:c r="A18" s="16" t="str">
        <x:v>统率</x:v>
      </x:c>
      <x:c r="B18" s="16" t="str">
        <x:v>SAN14统率</x:v>
      </x:c>
      <x:c r="C18" s="16" t="str">
        <x:v>san14_stats.leadership</x:v>
      </x:c>
      <x:c r="D18" s="16" t="str">
        <x:v>原12字节无独立对应字段</x:v>
      </x:c>
      <x:c r="E18" s="16" t="str">
        <x:v>保留在扩展资料层，暂不参与原游戏数值计算。</x:v>
      </x:c>
      <x:c r="F18" s="16" t="str">
        <x:v>保存但不影响原游戏计算</x:v>
      </x:c>
      <x:c r="G18" s="16" t="str">
        <x:v>若以后启用统率，将改变原版战斗设计，应单独设计而非挤入体。</x:v>
      </x:c>
      <x:c r="H18" s="16" t="str">
        <x:v>source/recovered/officers.py:23
official-sortie</x:v>
      </x:c>
    </x:row>
    <x:row r="19" ht="39" customHeight="1">
      <x:c r="A19" s="16" t="str">
        <x:v>政治</x:v>
      </x:c>
      <x:c r="B19" s="16" t="str">
        <x:v>SAN14政治</x:v>
      </x:c>
      <x:c r="C19" s="16" t="str">
        <x:v>san14_stats.politics</x:v>
      </x:c>
      <x:c r="D19" s="16" t="str">
        <x:v>原12字节无独立对应字段</x:v>
      </x:c>
      <x:c r="E19" s="16" t="str">
        <x:v>保留在扩展资料层，原内政逻辑继续读取原参数。</x:v>
      </x:c>
      <x:c r="F19" s="16" t="str">
        <x:v>保存但不影响原游戏计算</x:v>
      </x:c>
      <x:c r="G19" s="16" t="str">
        <x:v>不压缩到徳；新内政平衡另立规则版本。</x:v>
      </x:c>
      <x:c r="H19" s="16" t="str">
        <x:v>source/recovered/officers.py:23
official-domestic</x:v>
      </x:c>
    </x:row>
    <x:row r="20" ht="39" customHeight="1">
      <x:c r="A20" s="16" t="str">
        <x:v>魅力</x:v>
      </x:c>
      <x:c r="B20" s="16" t="str">
        <x:v>SAN14魅力</x:v>
      </x:c>
      <x:c r="C20" s="16" t="str">
        <x:v>san14_stats.charisma</x:v>
      </x:c>
      <x:c r="D20" s="16" t="str">
        <x:v>原12字节无同名字段</x:v>
      </x:c>
      <x:c r="E20" s="16" t="str">
        <x:v>保留SAN14原值，作为新增徳审核参考，当前不自动写入徳。</x:v>
      </x:c>
      <x:c r="F20" s="16" t="str">
        <x:v>保存但不影响原游戏计算</x:v>
      </x:c>
      <x:c r="G20" s="16" t="str">
        <x:v>原字段名称与意义以ROM证据为准。</x:v>
      </x:c>
      <x:c r="H20" s="16" t="str">
        <x:v>source/recovered/officers.py:38
official-domestic</x:v>
      </x:c>
    </x:row>
    <x:row r="21" ht="39" customHeight="1">
      <x:c r="A21" s="16" t="str">
        <x:v>在野位置</x:v>
      </x:c>
      <x:c r="B21" s="16" t="str">
        <x:v>剧本城市、未发现位置</x:v>
      </x:c>
      <x:c r="C21" s="16" t="str">
        <x:v>roaming_city_id</x:v>
      </x:c>
      <x:c r="D21" s="16" t="str">
        <x:v>byte5；status0时在野位置属强推断</x:v>
      </x:c>
      <x:c r="E21" s="16" t="str">
        <x:v>通过城市ID对照表映射；未发现/在野/未登场分开；位置未定为null。</x:v>
      </x:c>
      <x:c r="F21" s="16" t="str">
        <x:v>依剧本/资源/关系确定，非人物固定值</x:v>
      </x:c>
      <x:c r="G21" s="16" t="str">
        <x:v>SAN14约城市与本地图96城粒度不同；不能按同名直接补不存在城。</x:v>
      </x:c>
      <x:c r="H21" s="16" t="str">
        <x:v>source/recovered/officers.py:40</x:v>
      </x:c>
    </x:row>
    <x:row r="22" ht="39" customHeight="1">
      <x:c r="A22" s="16" t="str">
        <x:v>所属势力及任职城</x:v>
      </x:c>
      <x:c r="B22" s="16" t="str">
        <x:v>各剧本势力/城市状态</x:v>
      </x:c>
      <x:c r="C22" s="16" t="str">
        <x:v>scenario_membership</x:v>
      </x:c>
      <x:c r="D22" s="16" t="str">
        <x:v>城市名册/君主记录，而不是武将byte5</x:v>
      </x:c>
      <x:c r="E22" s="16" t="str">
        <x:v>按剧本时间、势力、城市映射单独入表；原city roster10槽不能直接装入千人。</x:v>
      </x:c>
      <x:c r="F22" s="16" t="str">
        <x:v>独立引擎新结构提议</x:v>
      </x:c>
      <x:c r="G22" s="16" t="str">
        <x:v>SAN14表中君主名不是所在地，不能据此捏造任职城。</x:v>
      </x:c>
      <x:c r="H22" s="16" t="str">
        <x:v>source/recovered/officer_transfer.py:139
source/recovered/officer_transfer.py:167</x:v>
      </x:c>
    </x:row>
    <x:row r="23" ht="39" customHeight="1">
      <x:c r="A23" s="16" t="str">
        <x:v>经验原值</x:v>
      </x:c>
      <x:c r="B23" s="16" t="str">
        <x:v>SAN14无同量纲直接值</x:v>
      </x:c>
      <x:c r="C23" s="16" t="str">
        <x:v>experience_raw</x:v>
      </x:c>
      <x:c r="D23" s="16" t="str">
        <x:v>byte6..7 LE16；normal cap49999</x:v>
      </x:c>
      <x:c r="E23" s="16" t="str">
        <x:v>重合人物保留NES原值；新登场拟初始0，再按剧情年龄/资历独立配置。</x:v>
      </x:c>
      <x:c r="F23" s="16" t="str">
        <x:v>暂定转换，尚未执行或平衡验证</x:v>
      </x:c>
      <x:c r="G23" s="16" t="str">
        <x:v>不把生年、统率或官职当经验。</x:v>
      </x:c>
      <x:c r="H23" s="16" t="str">
        <x:v>source/recovered/officers.py:42</x:v>
      </x:c>
    </x:row>
    <x:row r="24" ht="39" customHeight="1">
      <x:c r="A24" s="16" t="str">
        <x:v>等级/经验档</x:v>
      </x:c>
      <x:c r="B24" s="16" t="str">
        <x:v>SAN14无原版经验档对应</x:v>
      </x:c>
      <x:c r="C24" s="16" t="str">
        <x:v>experience_tier</x:v>
      </x:c>
      <x:c r="D24" s="16" t="str">
        <x:v>byte11高4位；显示tier+1</x:v>
      </x:c>
      <x:c r="E24" s="16" t="str">
        <x:v>与经验阈值联动；新登场拟tier0且XP0；资深人物由剧本配置。</x:v>
      </x:c>
      <x:c r="F24" s="16" t="str">
        <x:v>暂定转换，尚未执行或平衡验证</x:v>
      </x:c>
      <x:c r="G24" s="16" t="str">
        <x:v>不可只根据年龄线性增长；不可同时填不一致的XP与等级。</x:v>
      </x:c>
      <x:c r="H24" s="16" t="str">
        <x:v>source/recovered/officers.py:71</x:v>
      </x:c>
    </x:row>
    <x:row r="25" ht="39" customHeight="1">
      <x:c r="A25" s="16" t="str">
        <x:v>带兵数</x:v>
      </x:c>
      <x:c r="B25" s="16" t="str">
        <x:v>SAN14剧本据点/部队兵数</x:v>
      </x:c>
      <x:c r="C25" s="16" t="str">
        <x:v>troops_effective</x:v>
      </x:c>
      <x:c r="D25" s="16" t="str">
        <x:v>byte8..9；显示低10位；多路径读取完整LE16</x:v>
      </x:c>
      <x:c r="E25" s="16" t="str">
        <x:v>作为剧本资源分配，不属于人物固有属性；保留原版单将兵规模。</x:v>
      </x:c>
      <x:c r="F25" s="16" t="str">
        <x:v>依剧本/资源/关系确定，非人物固定值</x:v>
      </x:c>
      <x:c r="G25" s="16" t="str">
        <x:v>原分配常见0..999，部分合法入侵写1000；不得把SAN14万级人数直接装入低10位。</x:v>
      </x:c>
      <x:c r="H25" s="16" t="str">
        <x:v>source/recovered/officers.py:46
source/recovered/troop_fields.py:1</x:v>
      </x:c>
    </x:row>
    <x:row r="26" ht="39" customHeight="1">
      <x:c r="A26" s="16" t="str">
        <x:v>兵数高6位</x:v>
      </x:c>
      <x:c r="B26" s="16" t="str">
        <x:v>无</x:v>
      </x:c>
      <x:c r="C26" s="16" t="str">
        <x:v>legacy_troops_raw_upper6</x:v>
      </x:c>
      <x:c r="D26" s="16" t="str">
        <x:v>byte9高6位</x:v>
      </x:c>
      <x:c r="E26" s="16" t="str">
        <x:v>仅导入原始记录时保留；新增人物不命名/不赋予技能语义。</x:v>
      </x:c>
      <x:c r="F26" s="16" t="str">
        <x:v>未命名原始值保留</x:v>
      </x:c>
      <x:c r="G26" s="16" t="str">
        <x:v>不能命名为训练、士气、伤兵或隐藏状态；完整word不同消费者行为保留。</x:v>
      </x:c>
      <x:c r="H26" s="16" t="str">
        <x:v>source/recovered/officers.py:50
source/recovered/troop_fields.py:1</x:v>
      </x:c>
    </x:row>
    <x:row r="27" ht="39" customHeight="1">
      <x:c r="A27" s="16" t="str">
        <x:v>武器</x:v>
      </x:c>
      <x:c r="B27" s="16" t="str">
        <x:v>SAN14名品与人物关系</x:v>
      </x:c>
      <x:c r="C27" s="16" t="str">
        <x:v>weapon_id</x:v>
      </x:c>
      <x:c r="D27" s="16" t="str">
        <x:v>byte10低5位；有效命名0..23</x:v>
      </x:c>
      <x:c r="E27" s="16" t="str">
        <x:v>名品与原24种武器逐项人工对照，暂无匹配则待配置；不按数值序号搬运。</x:v>
      </x:c>
      <x:c r="F27" s="16" t="str">
        <x:v>需逐人设计/复核，不自动换算</x:v>
      </x:c>
      <x:c r="G27" s="16" t="str">
        <x:v>24..31不作为正常新增武器；宝物不全是武器。</x:v>
      </x:c>
      <x:c r="H27" s="16" t="str">
        <x:v>source/recovered/officers.py:57</x:v>
      </x:c>
    </x:row>
    <x:row r="28" ht="39" customHeight="1">
      <x:c r="A28" s="16" t="str">
        <x:v>防具</x:v>
      </x:c>
      <x:c r="B28" s="16" t="str">
        <x:v>SAN14名品与人物关系</x:v>
      </x:c>
      <x:c r="C28" s="16" t="str">
        <x:v>armor_id</x:v>
      </x:c>
      <x:c r="D28" s="16" t="str">
        <x:v>byte10高3位；0..7</x:v>
      </x:c>
      <x:c r="E28" s="16" t="str">
        <x:v>人工对照原8种防具；没有对应项留null等待默认装备配置。</x:v>
      </x:c>
      <x:c r="F28" s="16" t="str">
        <x:v>需逐人设计/复核，不自动换算</x:v>
      </x:c>
      <x:c r="G28" s="16" t="str">
        <x:v>不是坐骑字段；不能把马匹写进这里。</x:v>
      </x:c>
      <x:c r="H28" s="16" t="str">
        <x:v>source/recovered/officers.py:59</x:v>
      </x:c>
    </x:row>
    <x:row r="29" ht="39" customHeight="1">
      <x:c r="A29" s="16" t="str">
        <x:v>在野/待登场/已任职/移除</x:v>
      </x:c>
      <x:c r="B29" s="16" t="str">
        <x:v>剧本状态、年代筛选</x:v>
      </x:c>
      <x:c r="C29" s="16" t="str">
        <x:v>status</x:v>
      </x:c>
      <x:c r="D29" s="16" t="str">
        <x:v>byte11低2位；0/1/2/3</x:v>
      </x:c>
      <x:c r="E29" s="16" t="str">
        <x:v>按流程映射：在野0、待登场1、城市名册2；3只作原移除兼容，扩展层用独立死亡状态。</x:v>
      </x:c>
      <x:c r="F29" s="16" t="str">
        <x:v>依剧本/资源/关系确定，非人物固定值</x:v>
      </x:c>
      <x:c r="G29" s="16" t="str">
        <x:v>未发现与在野应在扩展层分开；原code3不等同历史死亡。</x:v>
      </x:c>
      <x:c r="H29" s="16" t="str">
        <x:v>source/recovered/game_enums.py:33
source/recovered/game_enums.py:52</x:v>
      </x:c>
    </x:row>
    <x:row r="30" ht="39" customHeight="1">
      <x:c r="A30" s="16" t="str">
        <x:v>平/山/水适性</x:v>
      </x:c>
      <x:c r="B30" s="16" t="str">
        <x:v>SAN14阵形、个性、生平作人工参考</x:v>
      </x:c>
      <x:c r="C30" s="16" t="str">
        <x:v>terrain_affinity_code</x:v>
      </x:c>
      <x:c r="D30" s="16" t="str">
        <x:v>byte11 bits2..3；合法0平1山2水</x:v>
      </x:c>
      <x:c r="E30" s="16" t="str">
        <x:v>重合人物保留原值；新增人物人工分配0/1/2并记录依据；暂null。</x:v>
      </x:c>
      <x:c r="F30" s="16" t="str">
        <x:v>需逐人设计/复核，不自动换算</x:v>
      </x:c>
      <x:c r="G30" s="16" t="str">
        <x:v>SAN14不是原版同一适性系统；code3有越界行为，禁止作为新第四适性。</x:v>
      </x:c>
      <x:c r="H30" s="16" t="str">
        <x:v>source/recovered/officers.py:67
analysis/phase16/README.md:13</x:v>
      </x:c>
    </x:row>
    <x:row r="31" ht="54" customHeight="1">
      <x:c r="A31" s="16" t="str">
        <x:v>计略资格</x:v>
      </x:c>
      <x:c r="B31" s="16" t="str">
        <x:v>SAN14战法/个性</x:v>
      </x:c>
      <x:c r="C31" s="16" t="str">
        <x:v>tactic_profile</x:v>
      </x:c>
      <x:c r="D31" s="16" t="str">
        <x:v>原16计略；知/等级/ID白名单等</x:v>
      </x:c>
      <x:c r="E31" s="16" t="str">
        <x:v>不做SAN14战法名称一一对应；保留原16计略；通过人物身份迁移原ID特例，再设计新增人物技能配置。</x:v>
      </x:c>
      <x:c r="F31" s="16" t="str">
        <x:v>需逐人设计/复核，不自动换算</x:v>
      </x:c>
      <x:c r="G31" s="16" t="str">
        <x:v>诸葛亮原ID109奇门遁甲等门槛须迁移成person_id规则，不能&amp;255截断后使用新ID。</x:v>
      </x:c>
      <x:c r="H31" s="16" t="str">
        <x:v>source/recovered/ai.py:199
source/recovered/ai.py:291
source/recovered/game_enums.py:15</x:v>
      </x:c>
    </x:row>
    <x:row r="32" ht="54" customHeight="1">
      <x:c r="A32" s="16" t="str">
        <x:v>亲族/亲爱/厌恶</x:v>
      </x:c>
      <x:c r="B32" s="16" t="str">
        <x:v>SAN14关系或可核对史料</x:v>
      </x:c>
      <x:c r="C32" s="16" t="str">
        <x:v>relations</x:v>
      </x:c>
      <x:c r="D32" s="16" t="str">
        <x:v>原7家族ID表、特殊招募偏好</x:v>
      </x:c>
      <x:c r="E32" s="16" t="str">
        <x:v>保留有来源的关系边；新增人物不自动继承同姓特权。</x:v>
      </x:c>
      <x:c r="F32" s="16" t="str">
        <x:v>须独立人物身份核对</x:v>
      </x:c>
      <x:c r="G32" s="16" t="str">
        <x:v>原招募概率少量特定君主/武将对是90其余10；不是SAN14关系的通用同义物。</x:v>
      </x:c>
      <x:c r="H32" s="16" t="str">
        <x:v>source/recovered/officer_transfer.py:25
source/recovered/domestic_ai.py:96
official-sortie</x:v>
      </x:c>
    </x:row>
    <x:row r="33" ht="39" customHeight="1">
      <x:c r="A33" s="16" t="str">
        <x:v>肖像</x:v>
      </x:c>
      <x:c r="B33" s="16" t="str">
        <x:v>另行制作的像素头像资源</x:v>
      </x:c>
      <x:c r="C33" s="16" t="str">
        <x:v>portrait_asset_id</x:v>
      </x:c>
      <x:c r="D33" s="16" t="str">
        <x:v>原肖像与CHR资源索引</x:v>
      </x:c>
      <x:c r="E33" s="16" t="str">
        <x:v>先使用合法占位/自制像素头像键；候选名单不复制SAN14整张画像素材。</x:v>
      </x:c>
      <x:c r="F33" s="16" t="str">
        <x:v>后续资源工作</x:v>
      </x:c>
      <x:c r="G33" s="16" t="str">
        <x:v>只做资料表不意味着已扩容CHR、字体或运行时UI。</x:v>
      </x:c>
      <x:c r="H33" s="16" t="str">
        <x:v>source/README.md</x:v>
      </x:c>
    </x:row>
    <x:row r="34" ht="39" customHeight="1">
      <x:c r="A34" s="16" t="str">
        <x:v>生年</x:v>
      </x:c>
      <x:c r="B34" s="16" t="str">
        <x:v>年代来源表生年</x:v>
      </x:c>
      <x:c r="C34" s="16" t="str">
        <x:v>san14_game_birth_year</x:v>
      </x:c>
      <x:c r="D34" s="16" t="str">
        <x:v>原12字节无此字段</x:v>
      </x:c>
      <x:c r="E34" s="16" t="str">
        <x:v>以整数公元年保存原表，缺失null；单独history_birth_year/精度/出处。</x:v>
      </x:c>
      <x:c r="F34" s="16" t="str">
        <x:v>来源表游戏设定，非史实认证</x:v>
      </x:c>
      <x:c r="G34" s="16" t="str">
        <x:v>光荣设置的估年或小说人物年表不等于经史书证实。</x:v>
      </x:c>
      <x:c r="H34" s="16" t="str">
        <x:v>chronology-table</x:v>
      </x:c>
    </x:row>
    <x:row r="35" ht="39" customHeight="1">
      <x:c r="A35" s="16" t="str">
        <x:v>登场年</x:v>
      </x:c>
      <x:c r="B35" s="16" t="str">
        <x:v>年代来源表登場</x:v>
      </x:c>
      <x:c r="C35" s="16" t="str">
        <x:v>san14_game_appearance_year</x:v>
      </x:c>
      <x:c r="D35" s="16" t="str">
        <x:v>原流程有独立出现表，不在12字节内</x:v>
      </x:c>
      <x:c r="E35" s="16" t="str">
        <x:v>原表直接保存；不以生年+15推导；日期精度只到年时不造月份。</x:v>
      </x:c>
      <x:c r="F35" s="16" t="str">
        <x:v>来源表游戏设定，非史实认证</x:v>
      </x:c>
      <x:c r="G35" s="16" t="str">
        <x:v>来源表明确存在低龄例外；原版出现表的城市与概率需另映射。</x:v>
      </x:c>
      <x:c r="H35" s="16" t="str">
        <x:v>chronology-table
source/recovered/appearance_pointer_services.py:1</x:v>
      </x:c>
    </x:row>
    <x:row r="36" ht="39" customHeight="1">
      <x:c r="A36" s="16" t="str">
        <x:v>卒年/寿命</x:v>
      </x:c>
      <x:c r="B36" s="16" t="str">
        <x:v>年代来源表卒年</x:v>
      </x:c>
      <x:c r="C36" s="16" t="str">
        <x:v>san14_game_death_year</x:v>
      </x:c>
      <x:c r="D36" s="16" t="str">
        <x:v>原12字节无历史卒年字段</x:v>
      </x:c>
      <x:c r="E36" s="16" t="str">
        <x:v>原表直接保存；历史卒年独立存；剧本自然寿命规则另配置。</x:v>
      </x:c>
      <x:c r="F36" s="16" t="str">
        <x:v>来源表游戏设定，非史实认证</x:v>
      </x:c>
      <x:c r="G36" s="16" t="str">
        <x:v>死亡年筛选采用年粒度边界，不声称该年全年存活。</x:v>
      </x:c>
      <x:c r="H36" s="16" t="str">
        <x:v>chronology-table
source/recovered/game_enums.py:52</x:v>
      </x:c>
    </x:row>
    <x:row r="37" ht="39" customHeight="1">
      <x:c r="A37" s="16" t="str">
        <x:v>剧本登场状态</x:v>
      </x:c>
      <x:c r="B37" s="16" t="str">
        <x:v>10列剧本原始值</x:v>
      </x:c>
      <x:c r="C37" s="16" t="str">
        <x:v>san14_scenario_status</x:v>
      </x:c>
      <x:c r="D37" s="16" t="str">
        <x:v>原枚举不含未发现独立值</x:v>
      </x:c>
      <x:c r="E37" s="16" t="str">
        <x:v>保留raw和解析：(-)待登场、(未)未发现、(野)在野、君主名已仕官、x来源表死亡。</x:v>
      </x:c>
      <x:c r="F37" s="16" t="str">
        <x:v>来源表游戏设定，非史实认证</x:v>
      </x:c>
      <x:c r="G37" s="16" t="str">
        <x:v>不得把SAN14来源剧本状态直接写入当前NES存档；251英雄为假想模式。</x:v>
      </x:c>
      <x:c r="H37" s="16" t="str">
        <x:v>chronology-table</x:v>
      </x:c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</x:row>
  </x:sheetData>
  <x:pageMargins left="0.7" right="0.7" top="0.75" bottom="0.75" header="0.3" footer="0.3"/>
  <x:tableParts count="1">
    <x:tablePart xmlns:r="http://schemas.openxmlformats.org/officeDocument/2006/relationships" r:id="R573a72b3766447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7" hidden="0" customWidth="1"/>
    <x:col min="3" max="3" width="43" hidden="0" customWidth="1"/>
    <x:col min="4" max="4" width="47" hidden="0" customWidth="1"/>
    <x:col min="5" max="5" width="22" hidden="0" customWidth="1"/>
    <x:col min="6" max="6" width="54" hidden="0" customWidth="1"/>
    <x:col min="7" max="7" width="3" hidden="0" customWidth="1"/>
    <x:col min="8" max="8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4" t="str">
        <x:v>去重、同名与资料来源</x:v>
      </x:c>
      <x:c r="B2" s="5"/>
      <x:c r="C2" s="5"/>
      <x:c r="D2" s="5"/>
      <x:c r="E2" s="5"/>
      <x:c r="F2" s="5"/>
      <x:c r="G2" s="5"/>
      <x:c r="H2" s="5"/>
      <x:c r="I2" s="14"/>
      <x:c r="J2" s="14"/>
      <x:c r="K2" s="14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2" t="str">
        <x:v>官方独立记录</x:v>
      </x:c>
      <x:c r="B4" s="2" t="n">
        <x:v>1000</x:v>
      </x:c>
      <x:c r="C4" s="2"/>
      <x:c r="D4" s="15" t="str">
        <x:v>按独立人物ID保留，同名不删人。</x:v>
      </x:c>
      <x:c r="E4" s="15"/>
      <x:c r="F4" s="15"/>
      <x:c r="G4" s="2"/>
      <x:c r="H4" s="2"/>
    </x:row>
    <x:row r="5" ht="30" customHeight="1">
      <x:c r="A5" s="2" t="str">
        <x:v>保留候选人物</x:v>
      </x:c>
      <x:c r="B5" s="2" t="n">
        <x:v>1000</x:v>
      </x:c>
      <x:c r="C5" s="2"/>
      <x:c r="D5" s="15"/>
      <x:c r="E5" s="15"/>
      <x:c r="F5" s="15"/>
      <x:c r="G5" s="2"/>
      <x:c r="H5" s="2"/>
    </x:row>
    <x:row r="6" ht="30" customHeight="1">
      <x:c r="A6" s="2" t="str">
        <x:v>不同姓名文本</x:v>
      </x:c>
      <x:c r="B6" s="2" t="n">
        <x:v>994</x:v>
      </x:c>
      <x:c r="C6" s="2"/>
      <x:c r="D6" s="15" t="str">
        <x:v>第二张年代表重复列同一1000人，不计新增。</x:v>
      </x:c>
      <x:c r="E6" s="15"/>
      <x:c r="F6" s="15"/>
      <x:c r="G6" s="2"/>
      <x:c r="H6" s="2"/>
    </x:row>
    <x:row r="7" ht="30" customHeight="1">
      <x:c r="A7" s="2" t="str">
        <x:v>同名组数</x:v>
      </x:c>
      <x:c r="B7" s="2" t="n">
        <x:v>5</x:v>
      </x:c>
      <x:c r="C7" s="2"/>
      <x:c r="D7" s="15"/>
      <x:c r="E7" s="15"/>
      <x:c r="F7" s="15"/>
      <x:c r="G7" s="2"/>
      <x:c r="H7" s="2"/>
    </x:row>
    <x:row r="8" ht="30" customHeight="1">
      <x:c r="A8" s="2" t="str">
        <x:v>同名人物</x:v>
      </x:c>
      <x:c r="B8" s="2" t="n">
        <x:v>11</x:v>
      </x:c>
      <x:c r="C8" s="2"/>
      <x:c r="D8" s="15" t="str">
        <x:v>历史生卒待逐人核对；表中是游戏设定。</x:v>
      </x:c>
      <x:c r="E8" s="15"/>
      <x:c r="F8" s="15"/>
      <x:c r="G8" s="2"/>
      <x:c r="H8" s="2"/>
    </x:row>
    <x:row r="9" ht="23" customHeight="1">
      <x:c r="A9" s="2" t="str">
        <x:v>确认重复人物剔除</x:v>
      </x:c>
      <x:c r="B9" s="2" t="n">
        <x:v>0</x:v>
      </x:c>
      <x:c r="C9" s="2"/>
      <x:c r="D9" s="2"/>
      <x:c r="E9" s="2"/>
      <x:c r="F9" s="2"/>
      <x:c r="G9" s="2"/>
      <x:c r="H9" s="2"/>
    </x:row>
    <x:row r="10" ht="23" customHeight="1">
      <x:c r="A10" s="2" t="str">
        <x:v>年代覆盖</x:v>
      </x:c>
      <x:c r="B10" s="2" t="n">
        <x:v>1000</x:v>
      </x:c>
      <x:c r="C10" s="2"/>
      <x:c r="D10" s="2"/>
      <x:c r="E10" s="2"/>
      <x:c r="F10" s="2"/>
      <x:c r="G10" s="2"/>
      <x:c r="H10" s="2"/>
    </x:row>
    <x:row r="11" ht="23" customHeight="1">
      <x:c r="A11" s="2" t="str">
        <x:v>历史生卒逐人认证</x:v>
      </x:c>
      <x:c r="B11" s="2" t="n">
        <x:v>0</x:v>
      </x:c>
      <x:c r="C11" s="2"/>
      <x:c r="D11" s="2"/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32" customHeight="1">
      <x:c r="A14" s="11" t="str">
        <x:v>同名</x:v>
      </x:c>
      <x:c r="B14" s="11" t="str">
        <x:v>官方序号</x:v>
      </x:c>
      <x:c r="C14" s="11" t="str">
        <x:v>人物ID</x:v>
      </x:c>
      <x:c r="D14" s="11" t="str">
        <x:v>生年</x:v>
      </x:c>
      <x:c r="E14" s="11" t="str">
        <x:v>卒年</x:v>
      </x:c>
      <x:c r="F14" s="11" t="str">
        <x:v>辨识</x:v>
      </x:c>
      <x:c r="G14" s="2"/>
      <x:c r="H14" s="2"/>
    </x:row>
    <x:row r="15" ht="28" customHeight="1">
      <x:c r="A15" s="2" t="str">
        <x:v>韓忠</x:v>
      </x:c>
      <x:c r="B15" s="2" t="n">
        <x:v>173</x:v>
      </x:c>
      <x:c r="C15" s="2" t="str">
        <x:v>san14-candidate-0173</x:v>
      </x:c>
      <x:c r="D15" s="2" t="n">
        <x:v>151</x:v>
      </x:c>
      <x:c r="E15" s="2" t="n">
        <x:v>184</x:v>
      </x:c>
      <x:c r="F15" s="15" t="str">
        <x:v>黄巾军，第三方设定151—184</x:v>
      </x:c>
      <x:c r="G15" s="2"/>
      <x:c r="H15" s="2"/>
    </x:row>
    <x:row r="16" ht="28" customHeight="1">
      <x:c r="A16" s="2" t="str">
        <x:v>韓忠</x:v>
      </x:c>
      <x:c r="B16" s="2" t="n">
        <x:v>174</x:v>
      </x:c>
      <x:c r="C16" s="2" t="str">
        <x:v>san14-candidate-0174</x:v>
      </x:c>
      <x:c r="D16" s="2" t="n">
        <x:v>170</x:v>
      </x:c>
      <x:c r="E16" s="2" t="n">
        <x:v>213</x:v>
      </x:c>
      <x:c r="F16" s="15" t="str">
        <x:v>辽东公孙氏，第三方设定170—213</x:v>
      </x:c>
      <x:c r="G16" s="2"/>
      <x:c r="H16" s="2"/>
    </x:row>
    <x:row r="17" ht="28" customHeight="1">
      <x:c r="A17" s="2" t="str">
        <x:v>張承</x:v>
      </x:c>
      <x:c r="B17" s="2" t="n">
        <x:v>634</x:v>
      </x:c>
      <x:c r="C17" s="2" t="str">
        <x:v>san14-candidate-0634</x:v>
      </x:c>
      <x:c r="D17" s="2" t="n">
        <x:v>178</x:v>
      </x:c>
      <x:c r="E17" s="2" t="n">
        <x:v>244</x:v>
      </x:c>
      <x:c r="F17" s="15" t="str">
        <x:v>孙吴系，第三方设定178—244</x:v>
      </x:c>
      <x:c r="G17" s="2"/>
      <x:c r="H17" s="2"/>
    </x:row>
    <x:row r="18" ht="28" customHeight="1">
      <x:c r="A18" s="2" t="str">
        <x:v>張承</x:v>
      </x:c>
      <x:c r="B18" s="2" t="n">
        <x:v>635</x:v>
      </x:c>
      <x:c r="C18" s="2" t="str">
        <x:v>san14-candidate-0635</x:v>
      </x:c>
      <x:c r="D18" s="2" t="n">
        <x:v>156</x:v>
      </x:c>
      <x:c r="E18" s="2" t="n">
        <x:v>215</x:v>
      </x:c>
      <x:c r="F18" s="15" t="str">
        <x:v>东汉、曹操系，第三方设定156—215</x:v>
      </x:c>
      <x:c r="G18" s="2"/>
      <x:c r="H18" s="2"/>
    </x:row>
    <x:row r="19" ht="28" customHeight="1">
      <x:c r="A19" s="2" t="str">
        <x:v>張南</x:v>
      </x:c>
      <x:c r="B19" s="2" t="n">
        <x:v>651</x:v>
      </x:c>
      <x:c r="C19" s="2" t="str">
        <x:v>san14-candidate-0651</x:v>
      </x:c>
      <x:c r="D19" s="2" t="n">
        <x:v>168</x:v>
      </x:c>
      <x:c r="E19" s="2" t="n">
        <x:v>208</x:v>
      </x:c>
      <x:c r="F19" s="15" t="str">
        <x:v>袁绍、曹操系，第三方设定168—208</x:v>
      </x:c>
      <x:c r="G19" s="2"/>
      <x:c r="H19" s="2"/>
    </x:row>
    <x:row r="20" ht="28" customHeight="1">
      <x:c r="A20" s="2" t="str">
        <x:v>張南</x:v>
      </x:c>
      <x:c r="B20" s="2" t="n">
        <x:v>652</x:v>
      </x:c>
      <x:c r="C20" s="2" t="str">
        <x:v>san14-candidate-0652</x:v>
      </x:c>
      <x:c r="D20" s="2" t="n">
        <x:v>187</x:v>
      </x:c>
      <x:c r="E20" s="2" t="n">
        <x:v>222</x:v>
      </x:c>
      <x:c r="F20" s="15" t="str">
        <x:v>蜀汉刘备系，第三方设定187—222</x:v>
      </x:c>
      <x:c r="G20" s="2"/>
      <x:c r="H20" s="2"/>
    </x:row>
    <x:row r="21" ht="28" customHeight="1">
      <x:c r="A21" s="2" t="str">
        <x:v>馬忠</x:v>
      </x:c>
      <x:c r="B21" s="2" t="n">
        <x:v>767</x:v>
      </x:c>
      <x:c r="C21" s="2" t="str">
        <x:v>san14-candidate-0767</x:v>
      </x:c>
      <x:c r="D21" s="2" t="n">
        <x:v>186</x:v>
      </x:c>
      <x:c r="E21" s="2" t="n">
        <x:v>222</x:v>
      </x:c>
      <x:c r="F21" s="15" t="str">
        <x:v>孙吴系，第三方设定186—222</x:v>
      </x:c>
      <x:c r="G21" s="2"/>
      <x:c r="H21" s="2"/>
    </x:row>
    <x:row r="22" ht="28" customHeight="1">
      <x:c r="A22" s="2" t="str">
        <x:v>馬忠</x:v>
      </x:c>
      <x:c r="B22" s="2" t="n">
        <x:v>768</x:v>
      </x:c>
      <x:c r="C22" s="2" t="str">
        <x:v>san14-candidate-0768</x:v>
      </x:c>
      <x:c r="D22" s="2" t="n">
        <x:v>187</x:v>
      </x:c>
      <x:c r="E22" s="2" t="n">
        <x:v>249</x:v>
      </x:c>
      <x:c r="F22" s="15" t="str">
        <x:v>蜀汉系，第三方设定187—249</x:v>
      </x:c>
      <x:c r="G22" s="2"/>
      <x:c r="H22" s="2"/>
    </x:row>
    <x:row r="23" ht="28" customHeight="1">
      <x:c r="A23" s="2" t="str">
        <x:v>李豐</x:v>
      </x:c>
      <x:c r="B23" s="2" t="n">
        <x:v>917</x:v>
      </x:c>
      <x:c r="C23" s="2" t="str">
        <x:v>san14-candidate-0917</x:v>
      </x:c>
      <x:c r="D23" s="2" t="n">
        <x:v>202</x:v>
      </x:c>
      <x:c r="E23" s="2" t="n">
        <x:v>260</x:v>
      </x:c>
      <x:c r="F23" s="15" t="str">
        <x:v>蜀汉系，第三方设定202—260</x:v>
      </x:c>
      <x:c r="G23" s="2"/>
      <x:c r="H23" s="2"/>
    </x:row>
    <x:row r="24" ht="28" customHeight="1">
      <x:c r="A24" s="2" t="str">
        <x:v>李豐</x:v>
      </x:c>
      <x:c r="B24" s="2" t="n">
        <x:v>918</x:v>
      </x:c>
      <x:c r="C24" s="2" t="str">
        <x:v>san14-candidate-0918</x:v>
      </x:c>
      <x:c r="D24" s="2" t="n">
        <x:v>204</x:v>
      </x:c>
      <x:c r="E24" s="2" t="n">
        <x:v>254</x:v>
      </x:c>
      <x:c r="F24" s="15" t="str">
        <x:v>曹魏系，第三方设定204—254</x:v>
      </x:c>
      <x:c r="G24" s="2"/>
      <x:c r="H24" s="2"/>
    </x:row>
    <x:row r="25" ht="28" customHeight="1">
      <x:c r="A25" s="2" t="str">
        <x:v>李豐</x:v>
      </x:c>
      <x:c r="B25" s="2" t="n">
        <x:v>919</x:v>
      </x:c>
      <x:c r="C25" s="2" t="str">
        <x:v>san14-candidate-0919</x:v>
      </x:c>
      <x:c r="D25" s="2" t="n">
        <x:v>158</x:v>
      </x:c>
      <x:c r="E25" s="2" t="n">
        <x:v>199</x:v>
      </x:c>
      <x:c r="F25" s="15" t="str">
        <x:v>袁术系，第三方设定158—199</x:v>
      </x:c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32" customHeight="1">
      <x:c r="A29" s="11" t="str">
        <x:v>官方序号</x:v>
      </x:c>
      <x:c r="B29" s="11" t="str">
        <x:v>官方姓名</x:v>
      </x:c>
      <x:c r="C29" s="11" t="str">
        <x:v>年代来源姓名</x:v>
      </x:c>
      <x:c r="D29" s="11" t="str">
        <x:v>处理</x:v>
      </x:c>
      <x:c r="E29" s="11" t="str">
        <x:v>史实别名已认证</x:v>
      </x:c>
      <x:c r="F29" s="2"/>
      <x:c r="G29" s="2"/>
      <x:c r="H29" s="2"/>
    </x:row>
    <x:row r="30" ht="32" customHeight="1">
      <x:c r="A30" s="2" t="n">
        <x:v>797</x:v>
      </x:c>
      <x:c r="B30" s="2" t="str">
        <x:v>閔純</x:v>
      </x:c>
      <x:c r="C30" s="2" t="str">
        <x:v>關純</x:v>
      </x:c>
      <x:c r="D30" s="15" t="str">
        <x:v>按同序对齐，异写待核</x:v>
      </x:c>
      <x:c r="E30" s="2" t="str">
        <x:v>否</x:v>
      </x:c>
      <x:c r="F30" s="2"/>
      <x:c r="G30" s="2"/>
      <x:c r="H30" s="2"/>
    </x:row>
    <x:row r="31" ht="32" customHeight="1">
      <x:c r="A31" s="2" t="n">
        <x:v>875</x:v>
      </x:c>
      <x:c r="B31" s="2" t="str">
        <x:v>羊衜</x:v>
      </x:c>
      <x:c r="C31" s="2" t="str">
        <x:v>羊</x:v>
      </x:c>
      <x:c r="D31" s="15" t="str">
        <x:v>保留截断来源原文</x:v>
      </x:c>
      <x:c r="E31" s="2" t="str">
        <x:v>否</x:v>
      </x:c>
      <x:c r="F31" s="2"/>
      <x:c r="G31" s="2"/>
      <x:c r="H31" s="2"/>
    </x:row>
    <x:row r="32" ht="32" customHeight="1">
      <x:c r="A32" s="2" t="n">
        <x:v>876</x:v>
      </x:c>
      <x:c r="B32" s="2" t="str">
        <x:v>楊白</x:v>
      </x:c>
      <x:c r="C32" s="2" t="str">
        <x:v>楊柏</x:v>
      </x:c>
      <x:c r="D32" s="15" t="str">
        <x:v>按同序对齐，异写待核</x:v>
      </x:c>
      <x:c r="E32" s="2" t="str">
        <x:v>否</x:v>
      </x:c>
      <x:c r="F32" s="2"/>
      <x:c r="G32" s="2"/>
      <x:c r="H32" s="2"/>
    </x:row>
    <x:row r="33" ht="32" customHeight="1">
      <x:c r="A33" s="2" t="n">
        <x:v>990</x:v>
      </x:c>
      <x:c r="B33" s="2" t="str">
        <x:v>綸直</x:v>
      </x:c>
      <x:c r="C33" s="2" t="str">
        <x:v>倫直</x:v>
      </x:c>
      <x:c r="D33" s="15" t="str">
        <x:v>按同序对齐，异写待核</x:v>
      </x:c>
      <x:c r="E33" s="2" t="str">
        <x:v>否</x:v>
      </x:c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36" customHeight="1">
      <x:c r="A36" s="2" t="str">
        <x:v>原版记录数</x:v>
      </x:c>
      <x:c r="B36" s="2" t="n">
        <x:v>237</x:v>
      </x:c>
      <x:c r="C36" s="2"/>
      <x:c r="D36" s="15" t="str">
        <x:v>原237人尚有229人身份待核，暂不计算净新增。</x:v>
      </x:c>
      <x:c r="E36" s="15"/>
      <x:c r="F36" s="15"/>
      <x:c r="G36" s="2"/>
      <x:c r="H36" s="2"/>
    </x:row>
    <x:row r="37" ht="36" customHeight="1">
      <x:c r="A37" s="2" t="str">
        <x:v>有姓名转写可核对</x:v>
      </x:c>
      <x:c r="B37" s="2" t="n">
        <x:v>8</x:v>
      </x:c>
      <x:c r="C37" s="2"/>
      <x:c r="D37" s="15"/>
      <x:c r="E37" s="15"/>
      <x:c r="F37" s="15"/>
      <x:c r="G37" s="2"/>
      <x:c r="H37" s="2"/>
    </x:row>
    <x:row r="38" ht="36" customHeight="1">
      <x:c r="A38" s="2" t="str">
        <x:v>已确认匹配</x:v>
      </x:c>
      <x:c r="B38" s="2" t="n">
        <x:v>8</x:v>
      </x:c>
      <x:c r="C38" s="2"/>
      <x:c r="D38" s="15"/>
      <x:c r="E38" s="15"/>
      <x:c r="F38" s="15"/>
      <x:c r="G38" s="2"/>
      <x:c r="H38" s="2"/>
    </x:row>
    <x:row r="39" ht="23" customHeight="1">
      <x:c r="A39" s="2" t="str">
        <x:v>原版身份待核</x:v>
      </x:c>
      <x:c r="B39" s="2" t="n">
        <x:v>229</x:v>
      </x:c>
      <x:c r="C39" s="2"/>
      <x:c r="D39" s="2"/>
      <x:c r="E39" s="2"/>
      <x:c r="F39" s="2"/>
      <x:c r="G39" s="2"/>
      <x:c r="H39" s="2"/>
    </x:row>
    <x:row r="40" ht="23" customHeight="1">
      <x:c r="A40" s="2" t="str">
        <x:v>确认净新增人数</x:v>
      </x:c>
      <x:c r="B40" s="2" t="str">
        <x:v>待原版全量身份核对</x:v>
      </x:c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32" customHeight="1">
      <x:c r="A43" s="11" t="str">
        <x:v>原版ID</x:v>
      </x:c>
      <x:c r="B43" s="11" t="str">
        <x:v>已转写姓名</x:v>
      </x:c>
      <x:c r="C43" s="11" t="str">
        <x:v>官方序号</x:v>
      </x:c>
      <x:c r="D43" s="11" t="str">
        <x:v>候选人物ID</x:v>
      </x:c>
      <x:c r="E43" s="2"/>
      <x:c r="F43" s="2"/>
      <x:c r="G43" s="2"/>
      <x:c r="H43" s="2"/>
    </x:row>
    <x:row r="44" ht="23" customHeight="1">
      <x:c r="A44" s="2" t="n">
        <x:v>0</x:v>
      </x:c>
      <x:c r="B44" s="2" t="str">
        <x:v>阿会喃</x:v>
      </x:c>
      <x:c r="C44" s="2" t="n">
        <x:v>1</x:v>
      </x:c>
      <x:c r="D44" s="2" t="str">
        <x:v>san14-candidate-0001</x:v>
      </x:c>
      <x:c r="E44" s="2"/>
      <x:c r="F44" s="2"/>
      <x:c r="G44" s="2"/>
      <x:c r="H44" s="2"/>
    </x:row>
    <x:row r="45" ht="23" customHeight="1">
      <x:c r="A45" s="2" t="n">
        <x:v>2</x:v>
      </x:c>
      <x:c r="B45" s="2" t="str">
        <x:v>伊籍</x:v>
      </x:c>
      <x:c r="C45" s="2" t="n">
        <x:v>5</x:v>
      </x:c>
      <x:c r="D45" s="2" t="str">
        <x:v>san14-candidate-0005</x:v>
      </x:c>
      <x:c r="E45" s="2"/>
      <x:c r="F45" s="2"/>
      <x:c r="G45" s="2"/>
      <x:c r="H45" s="2"/>
    </x:row>
    <x:row r="46" ht="23" customHeight="1">
      <x:c r="A46" s="2" t="n">
        <x:v>30</x:v>
      </x:c>
      <x:c r="B46" s="2" t="str">
        <x:v>夏侯惇</x:v>
      </x:c>
      <x:c r="C46" s="2" t="n">
        <x:v>124</x:v>
      </x:c>
      <x:c r="D46" s="2" t="str">
        <x:v>san14-candidate-0124</x:v>
      </x:c>
      <x:c r="E46" s="2"/>
      <x:c r="F46" s="2"/>
      <x:c r="G46" s="2"/>
      <x:c r="H46" s="2"/>
    </x:row>
    <x:row r="47" ht="23" customHeight="1">
      <x:c r="A47" s="2" t="n">
        <x:v>38</x:v>
      </x:c>
      <x:c r="B47" s="2" t="str">
        <x:v>関羽</x:v>
      </x:c>
      <x:c r="C47" s="2" t="n">
        <x:v>147</x:v>
      </x:c>
      <x:c r="D47" s="2" t="str">
        <x:v>san14-candidate-0147</x:v>
      </x:c>
      <x:c r="E47" s="2"/>
      <x:c r="F47" s="2"/>
      <x:c r="G47" s="2"/>
      <x:c r="H47" s="2"/>
    </x:row>
    <x:row r="48" ht="23" customHeight="1">
      <x:c r="A48" s="2" t="n">
        <x:v>47</x:v>
      </x:c>
      <x:c r="B48" s="2" t="str">
        <x:v>甘寧</x:v>
      </x:c>
      <x:c r="C48" s="2" t="n">
        <x:v>179</x:v>
      </x:c>
      <x:c r="D48" s="2" t="str">
        <x:v>san14-candidate-0179</x:v>
      </x:c>
      <x:c r="E48" s="2"/>
      <x:c r="F48" s="2"/>
      <x:c r="G48" s="2"/>
      <x:c r="H48" s="2"/>
    </x:row>
    <x:row r="49" ht="23" customHeight="1">
      <x:c r="A49" s="2" t="n">
        <x:v>55</x:v>
      </x:c>
      <x:c r="B49" s="2" t="str">
        <x:v>姜維</x:v>
      </x:c>
      <x:c r="C49" s="2" t="n">
        <x:v>203</x:v>
      </x:c>
      <x:c r="D49" s="2" t="str">
        <x:v>san14-candidate-0203</x:v>
      </x:c>
      <x:c r="E49" s="2"/>
      <x:c r="F49" s="2"/>
      <x:c r="G49" s="2"/>
      <x:c r="H49" s="2"/>
    </x:row>
    <x:row r="50" ht="23" customHeight="1">
      <x:c r="A50" s="2" t="n">
        <x:v>109</x:v>
      </x:c>
      <x:c r="B50" s="2" t="str">
        <x:v>諸葛亮</x:v>
      </x:c>
      <x:c r="C50" s="2" t="n">
        <x:v>440</x:v>
      </x:c>
      <x:c r="D50" s="2" t="str">
        <x:v>san14-candidate-0440</x:v>
      </x:c>
      <x:c r="E50" s="2"/>
      <x:c r="F50" s="2"/>
      <x:c r="G50" s="2"/>
      <x:c r="H50" s="2"/>
    </x:row>
    <x:row r="51" ht="23" customHeight="1">
      <x:c r="A51" s="2" t="n">
        <x:v>222</x:v>
      </x:c>
      <x:c r="B51" s="2" t="str">
        <x:v>劉備</x:v>
      </x:c>
      <x:c r="C51" s="2" t="n">
        <x:v>952</x:v>
      </x:c>
      <x:c r="D51" s="2" t="str">
        <x:v>san14-candidate-0952</x:v>
      </x:c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32" customHeight="1">
      <x:c r="A54" s="11" t="str">
        <x:v>来源</x:v>
      </x:c>
      <x:c r="B54" s="11" t="str">
        <x:v>范围</x:v>
      </x:c>
      <x:c r="C54" s="11" t="str">
        <x:v>链接</x:v>
      </x:c>
      <x:c r="D54" s="2"/>
      <x:c r="E54" s="2"/>
      <x:c r="F54" s="2"/>
      <x:c r="G54" s="2"/>
      <x:c r="H54" s="2"/>
    </x:row>
    <x:row r="55" ht="38" customHeight="1">
      <x:c r="A55" s="2" t="str">
        <x:v>光荣特库摩官方繁中名单</x:v>
      </x:c>
      <x:c r="B55" s="2" t="str">
        <x:v>1000条姓名与公开顺序</x:v>
      </x:c>
      <x:c r="C55" s="15" t="str">
        <x:v>https://www.gamecity.com.tw/sangokushi14/officers-list.html</x:v>
      </x:c>
      <x:c r="D55" s="15"/>
      <x:c r="E55" s="15"/>
      <x:c r="F55" s="15"/>
      <x:c r="G55" s="2"/>
      <x:c r="H55" s="2"/>
    </x:row>
    <x:row r="56" ht="38" customHeight="1">
      <x:c r="A56" s="2" t="str">
        <x:v>光荣特库摩官方日文名单</x:v>
      </x:c>
      <x:c r="B56" s="2" t="str">
        <x:v>日文名与读音</x:v>
      </x:c>
      <x:c r="C56" s="15" t="str">
        <x:v>https://www.gamecity.ne.jp/sangokushi14/officers-list.html</x:v>
      </x:c>
      <x:c r="D56" s="15"/>
      <x:c r="E56" s="15"/>
      <x:c r="F56" s="15"/>
      <x:c r="G56" s="2"/>
      <x:c r="H56" s="2"/>
    </x:row>
    <x:row r="57" ht="38" customHeight="1">
      <x:c r="A57" s="2" t="str">
        <x:v>X GOD GAME玩家整理表</x:v>
      </x:c>
      <x:c r="B57" s="2" t="str">
        <x:v>游戏年代与10剧本状态</x:v>
      </x:c>
      <x:c r="C57" s="15" t="str">
        <x:v>https://xgodgame.blogspot.com/2020/02/14_9.html</x:v>
      </x:c>
      <x:c r="D57" s="15"/>
      <x:c r="E57" s="15"/>
      <x:c r="F57" s="15"/>
      <x:c r="G57" s="2"/>
      <x:c r="H57" s="2"/>
    </x:row>
    <x:row r="58" ht="38" customHeight="1">
      <x:c r="A58" s="2" t="str">
        <x:v>本工程原版解析</x:v>
      </x:c>
      <x:c r="B58" s="2" t="str">
        <x:v>原作字段与已转写姓名</x:v>
      </x:c>
      <x:c r="C58" s="15" t="str">
        <x:v>source/recovered/officers.py；scripts/make_portal.py</x:v>
      </x:c>
      <x:c r="D58" s="15"/>
      <x:c r="E58" s="15"/>
      <x:c r="F58" s="15"/>
      <x:c r="G58" s="2"/>
      <x:c r="H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</x:sheetData>
  <x:pageMargins left="0.7" right="0.7" top="0.75" bottom="0.75" header="0.3" footer="0.3"/>
</x:worksheet>
</file>